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visible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  <sheet name="_Metadata" sheetId="10" state="visible" r:id="rId10"/>
    <sheet name="_FormulaGroup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Intro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H2" t="inlineStr"/>
      <c r="I2" t="inlineStr">
        <is>
          <t>General</t>
        </is>
      </c>
      <c r="J2" t="b">
        <v>0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00000000</t>
        </is>
      </c>
      <c r="O2" t="n">
        <v/>
      </c>
      <c r="R2" t="b">
        <v>0</v>
      </c>
      <c r="V2" t="b">
        <v>0</v>
      </c>
      <c r="W2" t="inlineStr"/>
    </row>
    <row r="3">
      <c r="A3" t="inlineStr">
        <is>
          <t>Intro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H3" t="inlineStr"/>
      <c r="I3" t="inlineStr">
        <is>
          <t>General</t>
        </is>
      </c>
      <c r="J3" t="b">
        <v>0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00000000</t>
        </is>
      </c>
      <c r="O3" t="n">
        <v/>
      </c>
      <c r="R3" t="b">
        <v>0</v>
      </c>
      <c r="V3" t="b">
        <v>0</v>
      </c>
      <c r="W3" t="inlineStr"/>
    </row>
    <row r="4">
      <c r="A4" t="inlineStr">
        <is>
          <t>Intro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H4" t="inlineStr"/>
      <c r="I4" t="inlineStr">
        <is>
          <t>General</t>
        </is>
      </c>
      <c r="J4" t="b">
        <v>0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00000000</t>
        </is>
      </c>
      <c r="O4" t="n">
        <v/>
      </c>
      <c r="R4" t="b">
        <v>0</v>
      </c>
      <c r="V4" t="b">
        <v>0</v>
      </c>
      <c r="W4" t="inlineStr"/>
    </row>
    <row r="5">
      <c r="A5" t="inlineStr">
        <is>
          <t>Intro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H5" t="inlineStr"/>
      <c r="I5" t="inlineStr">
        <is>
          <t>General</t>
        </is>
      </c>
      <c r="J5" t="b">
        <v>0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00000000</t>
        </is>
      </c>
      <c r="O5" t="n">
        <v/>
      </c>
      <c r="R5" t="b">
        <v>0</v>
      </c>
      <c r="V5" t="b">
        <v>0</v>
      </c>
      <c r="W5" t="inlineStr"/>
    </row>
    <row r="6">
      <c r="A6" t="inlineStr">
        <is>
          <t>Intro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H6" t="inlineStr"/>
      <c r="I6" t="inlineStr">
        <is>
          <t>General</t>
        </is>
      </c>
      <c r="J6" t="b">
        <v>0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00000000</t>
        </is>
      </c>
      <c r="O6" t="n">
        <v/>
      </c>
      <c r="R6" t="b">
        <v>0</v>
      </c>
      <c r="V6" t="b">
        <v>0</v>
      </c>
      <c r="W6" t="inlineStr"/>
    </row>
    <row r="7">
      <c r="A7" t="inlineStr">
        <is>
          <t>Intro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00000000</t>
        </is>
      </c>
      <c r="O7" t="n">
        <v/>
      </c>
      <c r="R7" t="b">
        <v>0</v>
      </c>
      <c r="V7" t="b">
        <v>0</v>
      </c>
      <c r="W7" t="inlineStr"/>
    </row>
    <row r="8">
      <c r="A8" t="inlineStr">
        <is>
          <t>Intro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H8" t="inlineStr"/>
      <c r="I8" t="inlineStr">
        <is>
          <t>General</t>
        </is>
      </c>
      <c r="J8" t="b">
        <v>0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00000000</t>
        </is>
      </c>
      <c r="O8" t="n">
        <v/>
      </c>
      <c r="R8" t="b">
        <v>0</v>
      </c>
      <c r="V8" t="b">
        <v>0</v>
      </c>
      <c r="W8" t="inlineStr"/>
    </row>
    <row r="9">
      <c r="A9" t="inlineStr">
        <is>
          <t>Intro</t>
        </is>
      </c>
      <c r="B9" t="inlineStr">
        <is>
          <t>A2</t>
        </is>
      </c>
      <c r="C9" t="n">
        <v>2</v>
      </c>
      <c r="D9" t="n">
        <v>1</v>
      </c>
      <c r="E9" t="inlineStr">
        <is>
          <t>Input</t>
        </is>
      </c>
      <c r="H9" t="inlineStr"/>
      <c r="I9" t="inlineStr">
        <is>
          <t>General</t>
        </is>
      </c>
      <c r="J9" t="b">
        <v>0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00000000</t>
        </is>
      </c>
      <c r="O9" t="n">
        <v/>
      </c>
      <c r="R9" t="b">
        <v>0</v>
      </c>
      <c r="V9" t="b">
        <v>0</v>
      </c>
      <c r="W9" t="inlineStr"/>
    </row>
    <row r="10">
      <c r="A10" t="inlineStr">
        <is>
          <t>Intro</t>
        </is>
      </c>
      <c r="B10" t="inlineStr">
        <is>
          <t>B2</t>
        </is>
      </c>
      <c r="C10" t="n">
        <v>2</v>
      </c>
      <c r="D10" t="n">
        <v>2</v>
      </c>
      <c r="E10" t="inlineStr">
        <is>
          <t>Input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00000000</t>
        </is>
      </c>
      <c r="O10" t="n">
        <v/>
      </c>
      <c r="R10" t="b">
        <v>0</v>
      </c>
      <c r="V10" t="b">
        <v>0</v>
      </c>
      <c r="W10" t="inlineStr"/>
    </row>
    <row r="11">
      <c r="A11" t="inlineStr">
        <is>
          <t>Intro</t>
        </is>
      </c>
      <c r="B11" t="inlineStr">
        <is>
          <t>C2</t>
        </is>
      </c>
      <c r="C11" t="n">
        <v>2</v>
      </c>
      <c r="D11" t="n">
        <v>3</v>
      </c>
      <c r="E11" t="inlineStr">
        <is>
          <t>Input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00000000</t>
        </is>
      </c>
      <c r="O11" t="n">
        <v/>
      </c>
      <c r="R11" t="b">
        <v>0</v>
      </c>
      <c r="V11" t="b">
        <v>0</v>
      </c>
      <c r="W11" t="inlineStr"/>
    </row>
    <row r="12">
      <c r="A12" t="inlineStr">
        <is>
          <t>Intro</t>
        </is>
      </c>
      <c r="B12" t="inlineStr">
        <is>
          <t>D2</t>
        </is>
      </c>
      <c r="C12" t="n">
        <v>2</v>
      </c>
      <c r="D12" t="n">
        <v>4</v>
      </c>
      <c r="E12" t="inlineStr">
        <is>
          <t>Input</t>
        </is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00000000</t>
        </is>
      </c>
      <c r="O12" t="n">
        <v/>
      </c>
      <c r="R12" t="b">
        <v>0</v>
      </c>
      <c r="V12" t="b">
        <v>0</v>
      </c>
      <c r="W12" t="inlineStr"/>
    </row>
    <row r="13">
      <c r="A13" t="inlineStr">
        <is>
          <t>Intro</t>
        </is>
      </c>
      <c r="B13" t="inlineStr">
        <is>
          <t>E2</t>
        </is>
      </c>
      <c r="C13" t="n">
        <v>2</v>
      </c>
      <c r="D13" t="n">
        <v>5</v>
      </c>
      <c r="E13" t="inlineStr">
        <is>
          <t>Input</t>
        </is>
      </c>
      <c r="G13" t="inlineStr">
        <is>
          <t>Reference Model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22</v>
      </c>
      <c r="M13" t="inlineStr">
        <is>
          <t>FF404040</t>
        </is>
      </c>
      <c r="N13" t="inlineStr">
        <is>
          <t>00000000</t>
        </is>
      </c>
      <c r="O13" t="inlineStr">
        <is>
          <t>center</t>
        </is>
      </c>
      <c r="R13" t="b">
        <v>1</v>
      </c>
      <c r="V13" t="b">
        <v>0</v>
      </c>
      <c r="W13" t="inlineStr"/>
    </row>
    <row r="14">
      <c r="A14" t="inlineStr">
        <is>
          <t>Intro</t>
        </is>
      </c>
      <c r="B14" t="inlineStr">
        <is>
          <t>F2</t>
        </is>
      </c>
      <c r="C14" t="n">
        <v>2</v>
      </c>
      <c r="D14" t="n">
        <v>6</v>
      </c>
      <c r="E14" t="inlineStr">
        <is>
          <t>Input</t>
        </is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00000000</t>
        </is>
      </c>
      <c r="O14" t="n">
        <v/>
      </c>
      <c r="R14" t="b">
        <v>0</v>
      </c>
      <c r="V14" t="b">
        <v>0</v>
      </c>
      <c r="W14" t="inlineStr"/>
    </row>
    <row r="15">
      <c r="A15" t="inlineStr">
        <is>
          <t>Intro</t>
        </is>
      </c>
      <c r="B15" t="inlineStr">
        <is>
          <t>G2</t>
        </is>
      </c>
      <c r="C15" t="n">
        <v>2</v>
      </c>
      <c r="D15" t="n">
        <v>7</v>
      </c>
      <c r="E15" t="inlineStr">
        <is>
          <t>Input</t>
        </is>
      </c>
      <c r="H15" t="inlineStr"/>
      <c r="I15" t="inlineStr">
        <is>
          <t>General</t>
        </is>
      </c>
      <c r="J15" t="b">
        <v>0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00000000</t>
        </is>
      </c>
      <c r="O15" t="n">
        <v/>
      </c>
      <c r="R15" t="b">
        <v>0</v>
      </c>
      <c r="V15" t="b">
        <v>0</v>
      </c>
      <c r="W15" t="inlineStr"/>
    </row>
    <row r="16">
      <c r="A16" t="inlineStr">
        <is>
          <t>Intro</t>
        </is>
      </c>
      <c r="B16" t="inlineStr">
        <is>
          <t>A3</t>
        </is>
      </c>
      <c r="C16" t="n">
        <v>3</v>
      </c>
      <c r="D16" t="n">
        <v>1</v>
      </c>
      <c r="E16" t="inlineStr">
        <is>
          <t>Input</t>
        </is>
      </c>
      <c r="H16" t="inlineStr"/>
      <c r="I16" t="inlineStr">
        <is>
          <t>General</t>
        </is>
      </c>
      <c r="J16" t="b">
        <v>0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00000000</t>
        </is>
      </c>
      <c r="O16" t="n">
        <v/>
      </c>
      <c r="R16" t="b">
        <v>0</v>
      </c>
      <c r="V16" t="b">
        <v>0</v>
      </c>
      <c r="W16" t="inlineStr"/>
    </row>
    <row r="17">
      <c r="A17" t="inlineStr">
        <is>
          <t>Intro</t>
        </is>
      </c>
      <c r="B17" t="inlineStr">
        <is>
          <t>B3</t>
        </is>
      </c>
      <c r="C17" t="n">
        <v>3</v>
      </c>
      <c r="D17" t="n">
        <v>2</v>
      </c>
      <c r="E17" t="inlineStr">
        <is>
          <t>Input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Values must be of type &lt;class 'str'&gt;</t>
        </is>
      </c>
      <c r="N17" t="inlineStr">
        <is>
          <t>00000000</t>
        </is>
      </c>
      <c r="O17" t="n">
        <v/>
      </c>
      <c r="R17" t="b">
        <v>0</v>
      </c>
      <c r="V17" t="b">
        <v>0</v>
      </c>
      <c r="W17" t="inlineStr"/>
    </row>
    <row r="18">
      <c r="A18" t="inlineStr">
        <is>
          <t>Intro</t>
        </is>
      </c>
      <c r="B18" t="inlineStr">
        <is>
          <t>C3</t>
        </is>
      </c>
      <c r="C18" t="n">
        <v>3</v>
      </c>
      <c r="D18" t="n">
        <v>3</v>
      </c>
      <c r="E18" t="inlineStr">
        <is>
          <t>Input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Values must be of type &lt;class 'str'&gt;</t>
        </is>
      </c>
      <c r="N18" t="inlineStr">
        <is>
          <t>00000000</t>
        </is>
      </c>
      <c r="O18" t="n">
        <v/>
      </c>
      <c r="R18" t="b">
        <v>0</v>
      </c>
      <c r="V18" t="b">
        <v>0</v>
      </c>
      <c r="W18" t="inlineStr"/>
    </row>
    <row r="19">
      <c r="A19" t="inlineStr">
        <is>
          <t>Intro</t>
        </is>
      </c>
      <c r="B19" t="inlineStr">
        <is>
          <t>D3</t>
        </is>
      </c>
      <c r="C19" t="n">
        <v>3</v>
      </c>
      <c r="D19" t="n">
        <v>4</v>
      </c>
      <c r="E19" t="inlineStr">
        <is>
          <t>Input</t>
        </is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Values must be of type &lt;class 'str'&gt;</t>
        </is>
      </c>
      <c r="N19" t="inlineStr">
        <is>
          <t>00000000</t>
        </is>
      </c>
      <c r="O19" t="n">
        <v/>
      </c>
      <c r="R19" t="b">
        <v>0</v>
      </c>
      <c r="V19" t="b">
        <v>0</v>
      </c>
      <c r="W19" t="inlineStr"/>
    </row>
    <row r="20">
      <c r="A20" t="inlineStr">
        <is>
          <t>Intro</t>
        </is>
      </c>
      <c r="B20" t="inlineStr">
        <is>
          <t>E3</t>
        </is>
      </c>
      <c r="C20" t="n">
        <v>3</v>
      </c>
      <c r="D20" t="n">
        <v>5</v>
      </c>
      <c r="E20" t="inlineStr">
        <is>
          <t>Input</t>
        </is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Values must be of type &lt;class 'str'&gt;</t>
        </is>
      </c>
      <c r="N20" t="inlineStr">
        <is>
          <t>00000000</t>
        </is>
      </c>
      <c r="O20" t="n">
        <v/>
      </c>
      <c r="R20" t="b">
        <v>0</v>
      </c>
      <c r="V20" t="b">
        <v>0</v>
      </c>
      <c r="W20" t="inlineStr"/>
    </row>
    <row r="21">
      <c r="A21" t="inlineStr">
        <is>
          <t>Intro</t>
        </is>
      </c>
      <c r="B21" t="inlineStr">
        <is>
          <t>F3</t>
        </is>
      </c>
      <c r="C21" t="n">
        <v>3</v>
      </c>
      <c r="D21" t="n">
        <v>6</v>
      </c>
      <c r="E21" t="inlineStr">
        <is>
          <t>Input</t>
        </is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Values must be of type &lt;class 'str'&gt;</t>
        </is>
      </c>
      <c r="N21" t="inlineStr">
        <is>
          <t>00000000</t>
        </is>
      </c>
      <c r="O21" t="n">
        <v/>
      </c>
      <c r="R21" t="b">
        <v>0</v>
      </c>
      <c r="V21" t="b">
        <v>0</v>
      </c>
      <c r="W21" t="inlineStr"/>
    </row>
    <row r="22">
      <c r="A22" t="inlineStr">
        <is>
          <t>Intro</t>
        </is>
      </c>
      <c r="B22" t="inlineStr">
        <is>
          <t>G3</t>
        </is>
      </c>
      <c r="C22" t="n">
        <v>3</v>
      </c>
      <c r="D22" t="n">
        <v>7</v>
      </c>
      <c r="E22" t="inlineStr">
        <is>
          <t>Input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Values must be of type &lt;class 'str'&gt;</t>
        </is>
      </c>
      <c r="N22" t="inlineStr">
        <is>
          <t>00000000</t>
        </is>
      </c>
      <c r="O22" t="n">
        <v/>
      </c>
      <c r="R22" t="b">
        <v>0</v>
      </c>
      <c r="V22" t="b">
        <v>0</v>
      </c>
      <c r="W22" t="inlineStr"/>
    </row>
    <row r="23">
      <c r="A23" t="inlineStr">
        <is>
          <t>Intro</t>
        </is>
      </c>
      <c r="B23" t="inlineStr">
        <is>
          <t>A4</t>
        </is>
      </c>
      <c r="C23" t="n">
        <v>4</v>
      </c>
      <c r="D23" t="n">
        <v>1</v>
      </c>
      <c r="E23" t="inlineStr">
        <is>
          <t>Input</t>
        </is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Values must be of type &lt;class 'str'&gt;</t>
        </is>
      </c>
      <c r="N23" t="inlineStr">
        <is>
          <t>00000000</t>
        </is>
      </c>
      <c r="O23" t="n">
        <v/>
      </c>
      <c r="R23" t="b">
        <v>0</v>
      </c>
      <c r="V23" t="b">
        <v>0</v>
      </c>
      <c r="W23" t="inlineStr"/>
    </row>
    <row r="24">
      <c r="A24" t="inlineStr">
        <is>
          <t>Intro</t>
        </is>
      </c>
      <c r="B24" t="inlineStr">
        <is>
          <t>B4</t>
        </is>
      </c>
      <c r="C24" t="n">
        <v>4</v>
      </c>
      <c r="D24" t="n">
        <v>2</v>
      </c>
      <c r="E24" t="inlineStr">
        <is>
          <t>Input</t>
        </is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inlineStr">
        <is>
          <t>Values must be of type &lt;class 'str'&gt;</t>
        </is>
      </c>
      <c r="N24" t="inlineStr">
        <is>
          <t>00000000</t>
        </is>
      </c>
      <c r="O24" t="n">
        <v/>
      </c>
      <c r="R24" t="b">
        <v>0</v>
      </c>
      <c r="V24" t="b">
        <v>0</v>
      </c>
      <c r="W24" t="inlineStr"/>
    </row>
    <row r="25">
      <c r="A25" t="inlineStr">
        <is>
          <t>Intro</t>
        </is>
      </c>
      <c r="B25" t="inlineStr">
        <is>
          <t>C4</t>
        </is>
      </c>
      <c r="C25" t="n">
        <v>4</v>
      </c>
      <c r="D25" t="n">
        <v>3</v>
      </c>
      <c r="E25" t="inlineStr">
        <is>
          <t>Input</t>
        </is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Values must be of type &lt;class 'str'&gt;</t>
        </is>
      </c>
      <c r="N25" t="inlineStr">
        <is>
          <t>00000000</t>
        </is>
      </c>
      <c r="O25" t="n">
        <v/>
      </c>
      <c r="R25" t="b">
        <v>0</v>
      </c>
      <c r="V25" t="b">
        <v>0</v>
      </c>
      <c r="W25" t="inlineStr"/>
    </row>
    <row r="26">
      <c r="A26" t="inlineStr">
        <is>
          <t>Intro</t>
        </is>
      </c>
      <c r="B26" t="inlineStr">
        <is>
          <t>D4</t>
        </is>
      </c>
      <c r="C26" t="n">
        <v>4</v>
      </c>
      <c r="D26" t="n">
        <v>4</v>
      </c>
      <c r="E26" t="inlineStr">
        <is>
          <t>Input</t>
        </is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Values must be of type &lt;class 'str'&gt;</t>
        </is>
      </c>
      <c r="N26" t="inlineStr">
        <is>
          <t>00000000</t>
        </is>
      </c>
      <c r="O26" t="n">
        <v/>
      </c>
      <c r="R26" t="b">
        <v>0</v>
      </c>
      <c r="V26" t="b">
        <v>0</v>
      </c>
      <c r="W26" t="inlineStr"/>
    </row>
    <row r="27">
      <c r="A27" t="inlineStr">
        <is>
          <t>Intro</t>
        </is>
      </c>
      <c r="B27" t="inlineStr">
        <is>
          <t>E4</t>
        </is>
      </c>
      <c r="C27" t="n">
        <v>4</v>
      </c>
      <c r="D27" t="n">
        <v>5</v>
      </c>
      <c r="E27" t="inlineStr">
        <is>
          <t>Input</t>
        </is>
      </c>
      <c r="G27" t="inlineStr">
        <is>
          <t>ACC Cement</t>
        </is>
      </c>
      <c r="H27" t="inlineStr"/>
      <c r="I27" t="inlineStr">
        <is>
          <t>General</t>
        </is>
      </c>
      <c r="J27" t="b">
        <v>1</v>
      </c>
      <c r="K27" t="b">
        <v>0</v>
      </c>
      <c r="L27" t="n">
        <v>32</v>
      </c>
      <c r="M27" t="inlineStr">
        <is>
          <t>Values must be of type &lt;class 'str'&gt;</t>
        </is>
      </c>
      <c r="N27" t="inlineStr">
        <is>
          <t>00000000</t>
        </is>
      </c>
      <c r="O27" t="inlineStr">
        <is>
          <t>center</t>
        </is>
      </c>
      <c r="R27" t="b">
        <v>1</v>
      </c>
      <c r="V27" t="b">
        <v>0</v>
      </c>
      <c r="W27" t="inlineStr"/>
    </row>
    <row r="28">
      <c r="A28" t="inlineStr">
        <is>
          <t>Intro</t>
        </is>
      </c>
      <c r="B28" t="inlineStr">
        <is>
          <t>F4</t>
        </is>
      </c>
      <c r="C28" t="n">
        <v>4</v>
      </c>
      <c r="D28" t="n">
        <v>6</v>
      </c>
      <c r="E28" t="inlineStr">
        <is>
          <t>Input</t>
        </is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Values must be of type &lt;class 'str'&gt;</t>
        </is>
      </c>
      <c r="N28" t="inlineStr">
        <is>
          <t>00000000</t>
        </is>
      </c>
      <c r="O28" t="n">
        <v/>
      </c>
      <c r="R28" t="b">
        <v>0</v>
      </c>
      <c r="V28" t="b">
        <v>0</v>
      </c>
      <c r="W28" t="inlineStr"/>
    </row>
    <row r="29">
      <c r="A29" t="inlineStr">
        <is>
          <t>Intro</t>
        </is>
      </c>
      <c r="B29" t="inlineStr">
        <is>
          <t>G4</t>
        </is>
      </c>
      <c r="C29" t="n">
        <v>4</v>
      </c>
      <c r="D29" t="n">
        <v>7</v>
      </c>
      <c r="E29" t="inlineStr">
        <is>
          <t>Input</t>
        </is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Values must be of type &lt;class 'str'&gt;</t>
        </is>
      </c>
      <c r="N29" t="inlineStr">
        <is>
          <t>00000000</t>
        </is>
      </c>
      <c r="O29" t="n">
        <v/>
      </c>
      <c r="R29" t="b">
        <v>0</v>
      </c>
      <c r="V29" t="b">
        <v>0</v>
      </c>
      <c r="W29" t="inlineStr"/>
    </row>
    <row r="30">
      <c r="A30" t="inlineStr">
        <is>
          <t>Intro</t>
        </is>
      </c>
      <c r="B30" t="inlineStr">
        <is>
          <t>A5</t>
        </is>
      </c>
      <c r="C30" t="n">
        <v>5</v>
      </c>
      <c r="D30" t="n">
        <v>1</v>
      </c>
      <c r="E30" t="inlineStr">
        <is>
          <t>Input</t>
        </is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Values must be of type &lt;class 'str'&gt;</t>
        </is>
      </c>
      <c r="N30" t="inlineStr">
        <is>
          <t>00000000</t>
        </is>
      </c>
      <c r="O30" t="n">
        <v/>
      </c>
      <c r="R30" t="b">
        <v>0</v>
      </c>
      <c r="V30" t="b">
        <v>0</v>
      </c>
      <c r="W30" t="inlineStr"/>
    </row>
    <row r="31">
      <c r="A31" t="inlineStr">
        <is>
          <t>Intro</t>
        </is>
      </c>
      <c r="B31" t="inlineStr">
        <is>
          <t>B5</t>
        </is>
      </c>
      <c r="C31" t="n">
        <v>5</v>
      </c>
      <c r="D31" t="n">
        <v>2</v>
      </c>
      <c r="E31" t="inlineStr">
        <is>
          <t>Input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Values must be of type &lt;class 'str'&gt;</t>
        </is>
      </c>
      <c r="N31" t="inlineStr">
        <is>
          <t>00000000</t>
        </is>
      </c>
      <c r="O31" t="n">
        <v/>
      </c>
      <c r="R31" t="b">
        <v>0</v>
      </c>
      <c r="V31" t="b">
        <v>0</v>
      </c>
      <c r="W31" t="inlineStr"/>
    </row>
    <row r="32">
      <c r="A32" t="inlineStr">
        <is>
          <t>Intro</t>
        </is>
      </c>
      <c r="B32" t="inlineStr">
        <is>
          <t>C5</t>
        </is>
      </c>
      <c r="C32" t="n">
        <v>5</v>
      </c>
      <c r="D32" t="n">
        <v>3</v>
      </c>
      <c r="E32" t="inlineStr">
        <is>
          <t>Input</t>
        </is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Values must be of type &lt;class 'str'&gt;</t>
        </is>
      </c>
      <c r="N32" t="inlineStr">
        <is>
          <t>00000000</t>
        </is>
      </c>
      <c r="O32" t="n">
        <v/>
      </c>
      <c r="R32" t="b">
        <v>0</v>
      </c>
      <c r="V32" t="b">
        <v>0</v>
      </c>
      <c r="W32" t="inlineStr"/>
    </row>
    <row r="33">
      <c r="A33" t="inlineStr">
        <is>
          <t>Intro</t>
        </is>
      </c>
      <c r="B33" t="inlineStr">
        <is>
          <t>D5</t>
        </is>
      </c>
      <c r="C33" t="n">
        <v>5</v>
      </c>
      <c r="D33" t="n">
        <v>4</v>
      </c>
      <c r="E33" t="inlineStr">
        <is>
          <t>Input</t>
        </is>
      </c>
      <c r="G33" t="inlineStr">
        <is>
          <t xml:space="preserve">Prepared By: </t>
        </is>
      </c>
      <c r="H33" t="inlineStr"/>
      <c r="I33" t="inlineStr">
        <is>
          <t>General</t>
        </is>
      </c>
      <c r="J33" t="b">
        <v>1</v>
      </c>
      <c r="K33" t="b">
        <v>0</v>
      </c>
      <c r="L33" t="n">
        <v>11</v>
      </c>
      <c r="M33" t="inlineStr">
        <is>
          <t>Values must be of type &lt;class 'str'&gt;</t>
        </is>
      </c>
      <c r="N33" t="inlineStr">
        <is>
          <t>00000000</t>
        </is>
      </c>
      <c r="O33" t="inlineStr">
        <is>
          <t>center</t>
        </is>
      </c>
      <c r="R33" t="b">
        <v>1</v>
      </c>
      <c r="V33" t="b">
        <v>0</v>
      </c>
      <c r="W33" t="inlineStr"/>
    </row>
    <row r="34">
      <c r="A34" t="inlineStr">
        <is>
          <t>Intro</t>
        </is>
      </c>
      <c r="B34" t="inlineStr">
        <is>
          <t>E5</t>
        </is>
      </c>
      <c r="C34" t="n">
        <v>5</v>
      </c>
      <c r="D34" t="n">
        <v>5</v>
      </c>
      <c r="E34" t="inlineStr">
        <is>
          <t>Input</t>
        </is>
      </c>
      <c r="G34" t="inlineStr">
        <is>
          <t xml:space="preserve">Suvin Shetty , Yogesh Choudhari , Akshada Joshi </t>
        </is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R34" t="b">
        <v>1</v>
      </c>
      <c r="V34" t="b">
        <v>0</v>
      </c>
      <c r="W34" t="inlineStr"/>
    </row>
    <row r="35">
      <c r="A35" t="inlineStr">
        <is>
          <t>Intro</t>
        </is>
      </c>
      <c r="B35" t="inlineStr">
        <is>
          <t>F5</t>
        </is>
      </c>
      <c r="C35" t="n">
        <v>5</v>
      </c>
      <c r="D35" t="n">
        <v>6</v>
      </c>
      <c r="E35" t="inlineStr">
        <is>
          <t>Input</t>
        </is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Values must be of type &lt;class 'str'&gt;</t>
        </is>
      </c>
      <c r="N35" t="inlineStr">
        <is>
          <t>00000000</t>
        </is>
      </c>
      <c r="O35" t="n">
        <v/>
      </c>
      <c r="R35" t="b">
        <v>0</v>
      </c>
      <c r="V35" t="b">
        <v>0</v>
      </c>
      <c r="W35" t="inlineStr"/>
    </row>
    <row r="36">
      <c r="A36" t="inlineStr">
        <is>
          <t>Intro</t>
        </is>
      </c>
      <c r="B36" t="inlineStr">
        <is>
          <t>G5</t>
        </is>
      </c>
      <c r="C36" t="n">
        <v>5</v>
      </c>
      <c r="D36" t="n">
        <v>7</v>
      </c>
      <c r="E36" t="inlineStr">
        <is>
          <t>Input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Values must be of type &lt;class 'str'&gt;</t>
        </is>
      </c>
      <c r="N36" t="inlineStr">
        <is>
          <t>00000000</t>
        </is>
      </c>
      <c r="O36" t="n">
        <v/>
      </c>
      <c r="R36" t="b">
        <v>0</v>
      </c>
      <c r="V36" t="b">
        <v>0</v>
      </c>
      <c r="W36" t="inlineStr"/>
    </row>
    <row r="37">
      <c r="A37" t="inlineStr">
        <is>
          <t>Intro</t>
        </is>
      </c>
      <c r="B37" t="inlineStr">
        <is>
          <t>A6</t>
        </is>
      </c>
      <c r="C37" t="n">
        <v>6</v>
      </c>
      <c r="D37" t="n">
        <v>1</v>
      </c>
      <c r="E37" t="inlineStr">
        <is>
          <t>Input</t>
        </is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Values must be of type &lt;class 'str'&gt;</t>
        </is>
      </c>
      <c r="N37" t="inlineStr">
        <is>
          <t>00000000</t>
        </is>
      </c>
      <c r="O37" t="n">
        <v/>
      </c>
      <c r="R37" t="b">
        <v>0</v>
      </c>
      <c r="V37" t="b">
        <v>0</v>
      </c>
      <c r="W37" t="inlineStr"/>
    </row>
    <row r="38">
      <c r="A38" t="inlineStr">
        <is>
          <t>Intro</t>
        </is>
      </c>
      <c r="B38" t="inlineStr">
        <is>
          <t>B6</t>
        </is>
      </c>
      <c r="C38" t="n">
        <v>6</v>
      </c>
      <c r="D38" t="n">
        <v>2</v>
      </c>
      <c r="E38" t="inlineStr">
        <is>
          <t>Input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Values must be of type &lt;class 'str'&gt;</t>
        </is>
      </c>
      <c r="N38" t="inlineStr">
        <is>
          <t>00000000</t>
        </is>
      </c>
      <c r="O38" t="n">
        <v/>
      </c>
      <c r="R38" t="b">
        <v>0</v>
      </c>
      <c r="V38" t="b">
        <v>0</v>
      </c>
      <c r="W38" t="inlineStr"/>
    </row>
    <row r="39">
      <c r="A39" t="inlineStr">
        <is>
          <t>Intro</t>
        </is>
      </c>
      <c r="B39" t="inlineStr">
        <is>
          <t>C6</t>
        </is>
      </c>
      <c r="C39" t="n">
        <v>6</v>
      </c>
      <c r="D39" t="n">
        <v>3</v>
      </c>
      <c r="E39" t="inlineStr">
        <is>
          <t>Input</t>
        </is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Values must be of type &lt;class 'str'&gt;</t>
        </is>
      </c>
      <c r="N39" t="inlineStr">
        <is>
          <t>00000000</t>
        </is>
      </c>
      <c r="O39" t="n">
        <v/>
      </c>
      <c r="R39" t="b">
        <v>0</v>
      </c>
      <c r="V39" t="b">
        <v>0</v>
      </c>
      <c r="W39" t="inlineStr"/>
    </row>
    <row r="40">
      <c r="A40" t="inlineStr">
        <is>
          <t>Intro</t>
        </is>
      </c>
      <c r="B40" t="inlineStr">
        <is>
          <t>D6</t>
        </is>
      </c>
      <c r="C40" t="n">
        <v>6</v>
      </c>
      <c r="D40" t="n">
        <v>4</v>
      </c>
      <c r="E40" t="inlineStr">
        <is>
          <t>Input</t>
        </is>
      </c>
      <c r="G40" t="inlineStr">
        <is>
          <t>Year</t>
        </is>
      </c>
      <c r="H40" t="inlineStr"/>
      <c r="I40" t="inlineStr">
        <is>
          <t>General</t>
        </is>
      </c>
      <c r="J40" t="b">
        <v>1</v>
      </c>
      <c r="K40" t="b">
        <v>0</v>
      </c>
      <c r="L40" t="n">
        <v>11</v>
      </c>
      <c r="M40" t="inlineStr">
        <is>
          <t>Values must be of type &lt;class 'str'&gt;</t>
        </is>
      </c>
      <c r="N40" t="inlineStr">
        <is>
          <t>00000000</t>
        </is>
      </c>
      <c r="O40" t="inlineStr">
        <is>
          <t>center</t>
        </is>
      </c>
      <c r="R40" t="b">
        <v>1</v>
      </c>
      <c r="V40" t="b">
        <v>0</v>
      </c>
      <c r="W40" t="inlineStr"/>
    </row>
    <row r="41">
      <c r="A41" t="inlineStr">
        <is>
          <t>Intro</t>
        </is>
      </c>
      <c r="B41" t="inlineStr">
        <is>
          <t>E6</t>
        </is>
      </c>
      <c r="C41" t="n">
        <v>6</v>
      </c>
      <c r="D41" t="n">
        <v>5</v>
      </c>
      <c r="E41" t="inlineStr">
        <is>
          <t>Input</t>
        </is>
      </c>
      <c r="G41" t="n">
        <v>2017</v>
      </c>
      <c r="H41" t="inlineStr"/>
      <c r="I41" t="inlineStr">
        <is>
          <t>General</t>
        </is>
      </c>
      <c r="J41" t="b">
        <v>1</v>
      </c>
      <c r="K41" t="b">
        <v>0</v>
      </c>
      <c r="L41" t="n">
        <v>11</v>
      </c>
      <c r="M41" t="inlineStr">
        <is>
          <t>Values must be of type &lt;class 'str'&gt;</t>
        </is>
      </c>
      <c r="N41" t="inlineStr">
        <is>
          <t>00000000</t>
        </is>
      </c>
      <c r="O41" t="inlineStr">
        <is>
          <t>center</t>
        </is>
      </c>
      <c r="R41" t="b">
        <v>1</v>
      </c>
      <c r="V41" t="b">
        <v>0</v>
      </c>
      <c r="W41" t="inlineStr"/>
    </row>
    <row r="42">
      <c r="A42" t="inlineStr">
        <is>
          <t>Intro</t>
        </is>
      </c>
      <c r="B42" t="inlineStr">
        <is>
          <t>F6</t>
        </is>
      </c>
      <c r="C42" t="n">
        <v>6</v>
      </c>
      <c r="D42" t="n">
        <v>6</v>
      </c>
      <c r="E42" t="inlineStr">
        <is>
          <t>Input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Values must be of type &lt;class 'str'&gt;</t>
        </is>
      </c>
      <c r="N42" t="inlineStr">
        <is>
          <t>00000000</t>
        </is>
      </c>
      <c r="O42" t="n">
        <v/>
      </c>
      <c r="R42" t="b">
        <v>0</v>
      </c>
      <c r="V42" t="b">
        <v>0</v>
      </c>
      <c r="W42" t="inlineStr"/>
    </row>
    <row r="43">
      <c r="A43" t="inlineStr">
        <is>
          <t>Intro</t>
        </is>
      </c>
      <c r="B43" t="inlineStr">
        <is>
          <t>G6</t>
        </is>
      </c>
      <c r="C43" t="n">
        <v>6</v>
      </c>
      <c r="D43" t="n">
        <v>7</v>
      </c>
      <c r="E43" t="inlineStr">
        <is>
          <t>Input</t>
        </is>
      </c>
      <c r="H43" t="inlineStr"/>
      <c r="I43" t="inlineStr">
        <is>
          <t>General</t>
        </is>
      </c>
      <c r="J43" t="b">
        <v>0</v>
      </c>
      <c r="K43" t="b">
        <v>0</v>
      </c>
      <c r="L43" t="n">
        <v>11</v>
      </c>
      <c r="M43" t="inlineStr">
        <is>
          <t>Values must be of type &lt;class 'str'&gt;</t>
        </is>
      </c>
      <c r="N43" t="inlineStr">
        <is>
          <t>00000000</t>
        </is>
      </c>
      <c r="O43" t="n">
        <v/>
      </c>
      <c r="R43" t="b">
        <v>0</v>
      </c>
      <c r="V43" t="b">
        <v>0</v>
      </c>
      <c r="W43" t="inlineStr"/>
    </row>
    <row r="44">
      <c r="A44" t="inlineStr">
        <is>
          <t>Intro</t>
        </is>
      </c>
      <c r="B44" t="inlineStr">
        <is>
          <t>A7</t>
        </is>
      </c>
      <c r="C44" t="n">
        <v>7</v>
      </c>
      <c r="D44" t="n">
        <v>1</v>
      </c>
      <c r="E44" t="inlineStr">
        <is>
          <t>Input</t>
        </is>
      </c>
      <c r="H44" t="inlineStr"/>
      <c r="I44" t="inlineStr">
        <is>
          <t>General</t>
        </is>
      </c>
      <c r="J44" t="b">
        <v>0</v>
      </c>
      <c r="K44" t="b">
        <v>0</v>
      </c>
      <c r="L44" t="n">
        <v>11</v>
      </c>
      <c r="M44" t="inlineStr">
        <is>
          <t>Values must be of type &lt;class 'str'&gt;</t>
        </is>
      </c>
      <c r="N44" t="inlineStr">
        <is>
          <t>00000000</t>
        </is>
      </c>
      <c r="O44" t="n">
        <v/>
      </c>
      <c r="R44" t="b">
        <v>0</v>
      </c>
      <c r="V44" t="b">
        <v>0</v>
      </c>
      <c r="W44" t="inlineStr"/>
    </row>
    <row r="45">
      <c r="A45" t="inlineStr">
        <is>
          <t>Intro</t>
        </is>
      </c>
      <c r="B45" t="inlineStr">
        <is>
          <t>B7</t>
        </is>
      </c>
      <c r="C45" t="n">
        <v>7</v>
      </c>
      <c r="D45" t="n">
        <v>2</v>
      </c>
      <c r="E45" t="inlineStr">
        <is>
          <t>Input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Values must be of type &lt;class 'str'&gt;</t>
        </is>
      </c>
      <c r="N45" t="inlineStr">
        <is>
          <t>00000000</t>
        </is>
      </c>
      <c r="O45" t="n">
        <v/>
      </c>
      <c r="R45" t="b">
        <v>0</v>
      </c>
      <c r="V45" t="b">
        <v>0</v>
      </c>
      <c r="W45" t="inlineStr"/>
    </row>
    <row r="46">
      <c r="A46" t="inlineStr">
        <is>
          <t>Intro</t>
        </is>
      </c>
      <c r="B46" t="inlineStr">
        <is>
          <t>C7</t>
        </is>
      </c>
      <c r="C46" t="n">
        <v>7</v>
      </c>
      <c r="D46" t="n">
        <v>3</v>
      </c>
      <c r="E46" t="inlineStr">
        <is>
          <t>Input</t>
        </is>
      </c>
      <c r="H46" t="inlineStr"/>
      <c r="I46" t="inlineStr">
        <is>
          <t>General</t>
        </is>
      </c>
      <c r="J46" t="b">
        <v>0</v>
      </c>
      <c r="K46" t="b">
        <v>0</v>
      </c>
      <c r="L46" t="n">
        <v>11</v>
      </c>
      <c r="M46" t="inlineStr">
        <is>
          <t>Values must be of type &lt;class 'str'&gt;</t>
        </is>
      </c>
      <c r="N46" t="inlineStr">
        <is>
          <t>00000000</t>
        </is>
      </c>
      <c r="O46" t="n">
        <v/>
      </c>
      <c r="R46" t="b">
        <v>0</v>
      </c>
      <c r="V46" t="b">
        <v>0</v>
      </c>
      <c r="W46" t="inlineStr"/>
    </row>
    <row r="47">
      <c r="A47" t="inlineStr">
        <is>
          <t>Intro</t>
        </is>
      </c>
      <c r="B47" t="inlineStr">
        <is>
          <t>D7</t>
        </is>
      </c>
      <c r="C47" t="n">
        <v>7</v>
      </c>
      <c r="D47" t="n">
        <v>4</v>
      </c>
      <c r="E47" t="inlineStr">
        <is>
          <t>Input</t>
        </is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Values must be of type &lt;class 'str'&gt;</t>
        </is>
      </c>
      <c r="N47" t="inlineStr">
        <is>
          <t>00000000</t>
        </is>
      </c>
      <c r="O47" t="n">
        <v/>
      </c>
      <c r="R47" t="b">
        <v>0</v>
      </c>
      <c r="V47" t="b">
        <v>0</v>
      </c>
      <c r="W47" t="inlineStr"/>
    </row>
    <row r="48">
      <c r="A48" t="inlineStr">
        <is>
          <t>Intro</t>
        </is>
      </c>
      <c r="B48" t="inlineStr">
        <is>
          <t>E7</t>
        </is>
      </c>
      <c r="C48" t="n">
        <v>7</v>
      </c>
      <c r="D48" t="n">
        <v>5</v>
      </c>
      <c r="E48" t="inlineStr">
        <is>
          <t>Input</t>
        </is>
      </c>
      <c r="H48" t="inlineStr"/>
      <c r="I48" t="inlineStr">
        <is>
          <t>General</t>
        </is>
      </c>
      <c r="J48" t="b">
        <v>0</v>
      </c>
      <c r="K48" t="b">
        <v>0</v>
      </c>
      <c r="L48" t="n">
        <v>11</v>
      </c>
      <c r="M48" t="inlineStr">
        <is>
          <t>Values must be of type &lt;class 'str'&gt;</t>
        </is>
      </c>
      <c r="N48" t="inlineStr">
        <is>
          <t>00000000</t>
        </is>
      </c>
      <c r="O48" t="n">
        <v/>
      </c>
      <c r="R48" t="b">
        <v>0</v>
      </c>
      <c r="V48" t="b">
        <v>0</v>
      </c>
      <c r="W48" t="inlineStr"/>
    </row>
    <row r="49">
      <c r="A49" t="inlineStr">
        <is>
          <t>Intro</t>
        </is>
      </c>
      <c r="B49" t="inlineStr">
        <is>
          <t>F7</t>
        </is>
      </c>
      <c r="C49" t="n">
        <v>7</v>
      </c>
      <c r="D49" t="n">
        <v>6</v>
      </c>
      <c r="E49" t="inlineStr">
        <is>
          <t>Input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Values must be of type &lt;class 'str'&gt;</t>
        </is>
      </c>
      <c r="N49" t="inlineStr">
        <is>
          <t>00000000</t>
        </is>
      </c>
      <c r="O49" t="n">
        <v/>
      </c>
      <c r="R49" t="b">
        <v>0</v>
      </c>
      <c r="V49" t="b">
        <v>0</v>
      </c>
      <c r="W49" t="inlineStr"/>
    </row>
    <row r="50">
      <c r="A50" t="inlineStr">
        <is>
          <t>Intro</t>
        </is>
      </c>
      <c r="B50" t="inlineStr">
        <is>
          <t>G7</t>
        </is>
      </c>
      <c r="C50" t="n">
        <v>7</v>
      </c>
      <c r="D50" t="n">
        <v>7</v>
      </c>
      <c r="E50" t="inlineStr">
        <is>
          <t>Input</t>
        </is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Values must be of type &lt;class 'str'&gt;</t>
        </is>
      </c>
      <c r="N50" t="inlineStr">
        <is>
          <t>00000000</t>
        </is>
      </c>
      <c r="O50" t="n">
        <v/>
      </c>
      <c r="R50" t="b">
        <v>0</v>
      </c>
      <c r="V50" t="b">
        <v>0</v>
      </c>
      <c r="W50" t="inlineStr"/>
    </row>
    <row r="51">
      <c r="A51" t="inlineStr">
        <is>
          <t>Intro</t>
        </is>
      </c>
      <c r="B51" t="inlineStr">
        <is>
          <t>A8</t>
        </is>
      </c>
      <c r="C51" t="n">
        <v>8</v>
      </c>
      <c r="D51" t="n">
        <v>1</v>
      </c>
      <c r="E51" t="inlineStr">
        <is>
          <t>Input</t>
        </is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Values must be of type &lt;class 'str'&gt;</t>
        </is>
      </c>
      <c r="N51" t="inlineStr">
        <is>
          <t>00000000</t>
        </is>
      </c>
      <c r="O51" t="n">
        <v/>
      </c>
      <c r="R51" t="b">
        <v>0</v>
      </c>
      <c r="V51" t="b">
        <v>0</v>
      </c>
      <c r="W51" t="inlineStr"/>
    </row>
    <row r="52">
      <c r="A52" t="inlineStr">
        <is>
          <t>Intro</t>
        </is>
      </c>
      <c r="B52" t="inlineStr">
        <is>
          <t>B8</t>
        </is>
      </c>
      <c r="C52" t="n">
        <v>8</v>
      </c>
      <c r="D52" t="n">
        <v>2</v>
      </c>
      <c r="E52" t="inlineStr">
        <is>
          <t>Input</t>
        </is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Values must be of type &lt;class 'str'&gt;</t>
        </is>
      </c>
      <c r="N52" t="inlineStr">
        <is>
          <t>00000000</t>
        </is>
      </c>
      <c r="O52" t="n">
        <v/>
      </c>
      <c r="R52" t="b">
        <v>0</v>
      </c>
      <c r="V52" t="b">
        <v>0</v>
      </c>
      <c r="W52" t="inlineStr"/>
    </row>
    <row r="53">
      <c r="A53" t="inlineStr">
        <is>
          <t>Intro</t>
        </is>
      </c>
      <c r="B53" t="inlineStr">
        <is>
          <t>C8</t>
        </is>
      </c>
      <c r="C53" t="n">
        <v>8</v>
      </c>
      <c r="D53" t="n">
        <v>3</v>
      </c>
      <c r="E53" t="inlineStr">
        <is>
          <t>Input</t>
        </is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Values must be of type &lt;class 'str'&gt;</t>
        </is>
      </c>
      <c r="N53" t="inlineStr">
        <is>
          <t>00000000</t>
        </is>
      </c>
      <c r="O53" t="n">
        <v/>
      </c>
      <c r="R53" t="b">
        <v>0</v>
      </c>
      <c r="V53" t="b">
        <v>0</v>
      </c>
      <c r="W53" t="inlineStr"/>
    </row>
    <row r="54">
      <c r="A54" t="inlineStr">
        <is>
          <t>Intro</t>
        </is>
      </c>
      <c r="B54" t="inlineStr">
        <is>
          <t>D8</t>
        </is>
      </c>
      <c r="C54" t="n">
        <v>8</v>
      </c>
      <c r="D54" t="n">
        <v>4</v>
      </c>
      <c r="E54" t="inlineStr">
        <is>
          <t>Input</t>
        </is>
      </c>
      <c r="H54" t="inlineStr"/>
      <c r="I54" t="inlineStr">
        <is>
          <t>General</t>
        </is>
      </c>
      <c r="J54" t="b">
        <v>0</v>
      </c>
      <c r="K54" t="b">
        <v>0</v>
      </c>
      <c r="L54" t="n">
        <v>11</v>
      </c>
      <c r="M54" t="inlineStr">
        <is>
          <t>Values must be of type &lt;class 'str'&gt;</t>
        </is>
      </c>
      <c r="N54" t="inlineStr">
        <is>
          <t>00000000</t>
        </is>
      </c>
      <c r="O54" t="n">
        <v/>
      </c>
      <c r="R54" t="b">
        <v>0</v>
      </c>
      <c r="V54" t="b">
        <v>0</v>
      </c>
      <c r="W54" t="inlineStr"/>
    </row>
    <row r="55">
      <c r="A55" t="inlineStr">
        <is>
          <t>Intro</t>
        </is>
      </c>
      <c r="B55" t="inlineStr">
        <is>
          <t>E8</t>
        </is>
      </c>
      <c r="C55" t="n">
        <v>8</v>
      </c>
      <c r="D55" t="n">
        <v>5</v>
      </c>
      <c r="E55" t="inlineStr">
        <is>
          <t>Input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Values must be of type &lt;class 'str'&gt;</t>
        </is>
      </c>
      <c r="N55" t="inlineStr">
        <is>
          <t>00000000</t>
        </is>
      </c>
      <c r="O55" t="n">
        <v/>
      </c>
      <c r="R55" t="b">
        <v>0</v>
      </c>
      <c r="V55" t="b">
        <v>0</v>
      </c>
      <c r="W55" t="inlineStr"/>
    </row>
    <row r="56">
      <c r="A56" t="inlineStr">
        <is>
          <t>Intro</t>
        </is>
      </c>
      <c r="B56" t="inlineStr">
        <is>
          <t>F8</t>
        </is>
      </c>
      <c r="C56" t="n">
        <v>8</v>
      </c>
      <c r="D56" t="n">
        <v>6</v>
      </c>
      <c r="E56" t="inlineStr">
        <is>
          <t>Input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Values must be of type &lt;class 'str'&gt;</t>
        </is>
      </c>
      <c r="N56" t="inlineStr">
        <is>
          <t>00000000</t>
        </is>
      </c>
      <c r="O56" t="n">
        <v/>
      </c>
      <c r="R56" t="b">
        <v>0</v>
      </c>
      <c r="V56" t="b">
        <v>0</v>
      </c>
      <c r="W56" t="inlineStr"/>
    </row>
    <row r="57">
      <c r="A57" t="inlineStr">
        <is>
          <t>Intro</t>
        </is>
      </c>
      <c r="B57" t="inlineStr">
        <is>
          <t>G8</t>
        </is>
      </c>
      <c r="C57" t="n">
        <v>8</v>
      </c>
      <c r="D57" t="n">
        <v>7</v>
      </c>
      <c r="E57" t="inlineStr">
        <is>
          <t>Input</t>
        </is>
      </c>
      <c r="H57" t="inlineStr"/>
      <c r="I57" t="inlineStr">
        <is>
          <t>General</t>
        </is>
      </c>
      <c r="J57" t="b">
        <v>0</v>
      </c>
      <c r="K57" t="b">
        <v>0</v>
      </c>
      <c r="L57" t="n">
        <v>11</v>
      </c>
      <c r="M57" t="inlineStr">
        <is>
          <t>Values must be of type &lt;class 'str'&gt;</t>
        </is>
      </c>
      <c r="N57" t="inlineStr">
        <is>
          <t>00000000</t>
        </is>
      </c>
      <c r="O57" t="n">
        <v/>
      </c>
      <c r="R57" t="b">
        <v>0</v>
      </c>
      <c r="V57" t="b">
        <v>0</v>
      </c>
      <c r="W57" t="inlineStr"/>
    </row>
    <row r="58">
      <c r="A58" t="inlineStr">
        <is>
          <t>Intro</t>
        </is>
      </c>
      <c r="B58" t="inlineStr">
        <is>
          <t>A9</t>
        </is>
      </c>
      <c r="C58" t="n">
        <v>9</v>
      </c>
      <c r="D58" t="n">
        <v>1</v>
      </c>
      <c r="E58" t="inlineStr">
        <is>
          <t>Input</t>
        </is>
      </c>
      <c r="H58" t="inlineStr"/>
      <c r="I58" t="inlineStr">
        <is>
          <t>General</t>
        </is>
      </c>
      <c r="J58" t="b">
        <v>0</v>
      </c>
      <c r="K58" t="b">
        <v>0</v>
      </c>
      <c r="L58" t="n">
        <v>11</v>
      </c>
      <c r="M58" t="inlineStr">
        <is>
          <t>Values must be of type &lt;class 'str'&gt;</t>
        </is>
      </c>
      <c r="N58" t="inlineStr">
        <is>
          <t>00000000</t>
        </is>
      </c>
      <c r="O58" t="n">
        <v/>
      </c>
      <c r="R58" t="b">
        <v>0</v>
      </c>
      <c r="V58" t="b">
        <v>0</v>
      </c>
      <c r="W58" t="inlineStr"/>
    </row>
    <row r="59">
      <c r="A59" t="inlineStr">
        <is>
          <t>Intro</t>
        </is>
      </c>
      <c r="B59" t="inlineStr">
        <is>
          <t>B9</t>
        </is>
      </c>
      <c r="C59" t="n">
        <v>9</v>
      </c>
      <c r="D59" t="n">
        <v>2</v>
      </c>
      <c r="E59" t="inlineStr">
        <is>
          <t>Input</t>
        </is>
      </c>
      <c r="H59" t="inlineStr"/>
      <c r="I59" t="inlineStr">
        <is>
          <t>General</t>
        </is>
      </c>
      <c r="J59" t="b">
        <v>0</v>
      </c>
      <c r="K59" t="b">
        <v>0</v>
      </c>
      <c r="L59" t="n">
        <v>11</v>
      </c>
      <c r="M59" t="inlineStr">
        <is>
          <t>Values must be of type &lt;class 'str'&gt;</t>
        </is>
      </c>
      <c r="N59" t="inlineStr">
        <is>
          <t>00000000</t>
        </is>
      </c>
      <c r="O59" t="n">
        <v/>
      </c>
      <c r="R59" t="b">
        <v>0</v>
      </c>
      <c r="V59" t="b">
        <v>0</v>
      </c>
      <c r="W59" t="inlineStr"/>
    </row>
    <row r="60">
      <c r="A60" t="inlineStr">
        <is>
          <t>Intro</t>
        </is>
      </c>
      <c r="B60" t="inlineStr">
        <is>
          <t>C9</t>
        </is>
      </c>
      <c r="C60" t="n">
        <v>9</v>
      </c>
      <c r="D60" t="n">
        <v>3</v>
      </c>
      <c r="E60" t="inlineStr">
        <is>
          <t>Input</t>
        </is>
      </c>
      <c r="H60" t="inlineStr"/>
      <c r="I60" t="inlineStr">
        <is>
          <t>General</t>
        </is>
      </c>
      <c r="J60" t="b">
        <v>0</v>
      </c>
      <c r="K60" t="b">
        <v>0</v>
      </c>
      <c r="L60" t="n">
        <v>11</v>
      </c>
      <c r="M60" t="inlineStr">
        <is>
          <t>Values must be of type &lt;class 'str'&gt;</t>
        </is>
      </c>
      <c r="N60" t="inlineStr">
        <is>
          <t>00000000</t>
        </is>
      </c>
      <c r="O60" t="n">
        <v/>
      </c>
      <c r="R60" t="b">
        <v>0</v>
      </c>
      <c r="V60" t="b">
        <v>0</v>
      </c>
      <c r="W60" t="inlineStr"/>
    </row>
    <row r="61">
      <c r="A61" t="inlineStr">
        <is>
          <t>Intro</t>
        </is>
      </c>
      <c r="B61" t="inlineStr">
        <is>
          <t>D9</t>
        </is>
      </c>
      <c r="C61" t="n">
        <v>9</v>
      </c>
      <c r="D61" t="n">
        <v>4</v>
      </c>
      <c r="E61" t="inlineStr">
        <is>
          <t>Input</t>
        </is>
      </c>
      <c r="H61" t="inlineStr"/>
      <c r="I61" t="inlineStr">
        <is>
          <t>General</t>
        </is>
      </c>
      <c r="J61" t="b">
        <v>0</v>
      </c>
      <c r="K61" t="b">
        <v>0</v>
      </c>
      <c r="L61" t="n">
        <v>11</v>
      </c>
      <c r="M61" t="inlineStr">
        <is>
          <t>Values must be of type &lt;class 'str'&gt;</t>
        </is>
      </c>
      <c r="N61" t="inlineStr">
        <is>
          <t>00000000</t>
        </is>
      </c>
      <c r="O61" t="n">
        <v/>
      </c>
      <c r="R61" t="b">
        <v>0</v>
      </c>
      <c r="V61" t="b">
        <v>0</v>
      </c>
      <c r="W61" t="inlineStr"/>
    </row>
    <row r="62">
      <c r="A62" t="inlineStr">
        <is>
          <t>Intro</t>
        </is>
      </c>
      <c r="B62" t="inlineStr">
        <is>
          <t>E9</t>
        </is>
      </c>
      <c r="C62" t="n">
        <v>9</v>
      </c>
      <c r="D62" t="n">
        <v>5</v>
      </c>
      <c r="E62" t="inlineStr">
        <is>
          <t>Input</t>
        </is>
      </c>
      <c r="H62" t="inlineStr"/>
      <c r="I62" t="inlineStr">
        <is>
          <t>General</t>
        </is>
      </c>
      <c r="J62" t="b">
        <v>0</v>
      </c>
      <c r="K62" t="b">
        <v>0</v>
      </c>
      <c r="L62" t="n">
        <v>11</v>
      </c>
      <c r="M62" t="inlineStr">
        <is>
          <t>Values must be of type &lt;class 'str'&gt;</t>
        </is>
      </c>
      <c r="N62" t="inlineStr">
        <is>
          <t>00000000</t>
        </is>
      </c>
      <c r="O62" t="n">
        <v/>
      </c>
      <c r="R62" t="b">
        <v>0</v>
      </c>
      <c r="V62" t="b">
        <v>0</v>
      </c>
      <c r="W62" t="inlineStr"/>
    </row>
    <row r="63">
      <c r="A63" t="inlineStr">
        <is>
          <t>Intro</t>
        </is>
      </c>
      <c r="B63" t="inlineStr">
        <is>
          <t>F9</t>
        </is>
      </c>
      <c r="C63" t="n">
        <v>9</v>
      </c>
      <c r="D63" t="n">
        <v>6</v>
      </c>
      <c r="E63" t="inlineStr">
        <is>
          <t>Input</t>
        </is>
      </c>
      <c r="H63" t="inlineStr"/>
      <c r="I63" t="inlineStr">
        <is>
          <t>General</t>
        </is>
      </c>
      <c r="J63" t="b">
        <v>0</v>
      </c>
      <c r="K63" t="b">
        <v>0</v>
      </c>
      <c r="L63" t="n">
        <v>11</v>
      </c>
      <c r="M63" t="inlineStr">
        <is>
          <t>Values must be of type &lt;class 'str'&gt;</t>
        </is>
      </c>
      <c r="N63" t="inlineStr">
        <is>
          <t>00000000</t>
        </is>
      </c>
      <c r="O63" t="n">
        <v/>
      </c>
      <c r="R63" t="b">
        <v>0</v>
      </c>
      <c r="V63" t="b">
        <v>0</v>
      </c>
      <c r="W63" t="inlineStr"/>
    </row>
    <row r="64">
      <c r="A64" t="inlineStr">
        <is>
          <t>Intro</t>
        </is>
      </c>
      <c r="B64" t="inlineStr">
        <is>
          <t>G9</t>
        </is>
      </c>
      <c r="C64" t="n">
        <v>9</v>
      </c>
      <c r="D64" t="n">
        <v>7</v>
      </c>
      <c r="E64" t="inlineStr">
        <is>
          <t>Input</t>
        </is>
      </c>
      <c r="H64" t="inlineStr"/>
      <c r="I64" t="inlineStr">
        <is>
          <t>General</t>
        </is>
      </c>
      <c r="J64" t="b">
        <v>0</v>
      </c>
      <c r="K64" t="b">
        <v>0</v>
      </c>
      <c r="L64" t="n">
        <v>11</v>
      </c>
      <c r="M64" t="inlineStr">
        <is>
          <t>Values must be of type &lt;class 'str'&gt;</t>
        </is>
      </c>
      <c r="N64" t="inlineStr">
        <is>
          <t>00000000</t>
        </is>
      </c>
      <c r="O64" t="n">
        <v/>
      </c>
      <c r="R64" t="b">
        <v>0</v>
      </c>
      <c r="V64" t="b">
        <v>0</v>
      </c>
      <c r="W64" t="inlineStr"/>
    </row>
    <row r="65">
      <c r="A65" t="inlineStr">
        <is>
          <t>Intro</t>
        </is>
      </c>
      <c r="B65" t="inlineStr">
        <is>
          <t>A10</t>
        </is>
      </c>
      <c r="C65" t="n">
        <v>10</v>
      </c>
      <c r="D65" t="n">
        <v>1</v>
      </c>
      <c r="E65" t="inlineStr">
        <is>
          <t>Input</t>
        </is>
      </c>
      <c r="H65" t="inlineStr"/>
      <c r="I65" t="inlineStr">
        <is>
          <t>General</t>
        </is>
      </c>
      <c r="J65" t="b">
        <v>0</v>
      </c>
      <c r="K65" t="b">
        <v>0</v>
      </c>
      <c r="L65" t="n">
        <v>11</v>
      </c>
      <c r="M65" t="inlineStr">
        <is>
          <t>Values must be of type &lt;class 'str'&gt;</t>
        </is>
      </c>
      <c r="N65" t="inlineStr">
        <is>
          <t>00000000</t>
        </is>
      </c>
      <c r="O65" t="n">
        <v/>
      </c>
      <c r="R65" t="b">
        <v>0</v>
      </c>
      <c r="V65" t="b">
        <v>0</v>
      </c>
      <c r="W65" t="inlineStr"/>
    </row>
    <row r="66">
      <c r="A66" t="inlineStr">
        <is>
          <t>Intro</t>
        </is>
      </c>
      <c r="B66" t="inlineStr">
        <is>
          <t>B10</t>
        </is>
      </c>
      <c r="C66" t="n">
        <v>10</v>
      </c>
      <c r="D66" t="n">
        <v>2</v>
      </c>
      <c r="E66" t="inlineStr">
        <is>
          <t>Input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Values must be of type &lt;class 'str'&gt;</t>
        </is>
      </c>
      <c r="N66" t="inlineStr">
        <is>
          <t>00000000</t>
        </is>
      </c>
      <c r="O66" t="n">
        <v/>
      </c>
      <c r="R66" t="b">
        <v>0</v>
      </c>
      <c r="V66" t="b">
        <v>0</v>
      </c>
      <c r="W66" t="inlineStr"/>
    </row>
    <row r="67">
      <c r="A67" t="inlineStr">
        <is>
          <t>Intro</t>
        </is>
      </c>
      <c r="B67" t="inlineStr">
        <is>
          <t>C10</t>
        </is>
      </c>
      <c r="C67" t="n">
        <v>10</v>
      </c>
      <c r="D67" t="n">
        <v>3</v>
      </c>
      <c r="E67" t="inlineStr">
        <is>
          <t>Input</t>
        </is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Values must be of type &lt;class 'str'&gt;</t>
        </is>
      </c>
      <c r="N67" t="inlineStr">
        <is>
          <t>00000000</t>
        </is>
      </c>
      <c r="O67" t="n">
        <v/>
      </c>
      <c r="R67" t="b">
        <v>0</v>
      </c>
      <c r="V67" t="b">
        <v>0</v>
      </c>
      <c r="W67" t="inlineStr"/>
    </row>
    <row r="68">
      <c r="A68" t="inlineStr">
        <is>
          <t>Intro</t>
        </is>
      </c>
      <c r="B68" t="inlineStr">
        <is>
          <t>D10</t>
        </is>
      </c>
      <c r="C68" t="n">
        <v>10</v>
      </c>
      <c r="D68" t="n">
        <v>4</v>
      </c>
      <c r="E68" t="inlineStr">
        <is>
          <t>Input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Values must be of type &lt;class 'str'&gt;</t>
        </is>
      </c>
      <c r="N68" t="inlineStr">
        <is>
          <t>00000000</t>
        </is>
      </c>
      <c r="O68" t="n">
        <v/>
      </c>
      <c r="R68" t="b">
        <v>0</v>
      </c>
      <c r="V68" t="b">
        <v>0</v>
      </c>
      <c r="W68" t="inlineStr"/>
    </row>
    <row r="69">
      <c r="A69" t="inlineStr">
        <is>
          <t>Intro</t>
        </is>
      </c>
      <c r="B69" t="inlineStr">
        <is>
          <t>E10</t>
        </is>
      </c>
      <c r="C69" t="n">
        <v>10</v>
      </c>
      <c r="D69" t="n">
        <v>5</v>
      </c>
      <c r="E69" t="inlineStr">
        <is>
          <t>Input</t>
        </is>
      </c>
      <c r="H69" t="inlineStr"/>
      <c r="I69" t="inlineStr">
        <is>
          <t>General</t>
        </is>
      </c>
      <c r="J69" t="b">
        <v>0</v>
      </c>
      <c r="K69" t="b">
        <v>0</v>
      </c>
      <c r="L69" t="n">
        <v>11</v>
      </c>
      <c r="M69" t="inlineStr">
        <is>
          <t>Values must be of type &lt;class 'str'&gt;</t>
        </is>
      </c>
      <c r="N69" t="inlineStr">
        <is>
          <t>00000000</t>
        </is>
      </c>
      <c r="O69" t="n">
        <v/>
      </c>
      <c r="R69" t="b">
        <v>0</v>
      </c>
      <c r="V69" t="b">
        <v>0</v>
      </c>
      <c r="W69" t="inlineStr"/>
    </row>
    <row r="70">
      <c r="A70" t="inlineStr">
        <is>
          <t>Intro</t>
        </is>
      </c>
      <c r="B70" t="inlineStr">
        <is>
          <t>F10</t>
        </is>
      </c>
      <c r="C70" t="n">
        <v>10</v>
      </c>
      <c r="D70" t="n">
        <v>6</v>
      </c>
      <c r="E70" t="inlineStr">
        <is>
          <t>Input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Values must be of type &lt;class 'str'&gt;</t>
        </is>
      </c>
      <c r="N70" t="inlineStr">
        <is>
          <t>00000000</t>
        </is>
      </c>
      <c r="O70" t="n">
        <v/>
      </c>
      <c r="R70" t="b">
        <v>0</v>
      </c>
      <c r="V70" t="b">
        <v>0</v>
      </c>
      <c r="W70" t="inlineStr"/>
    </row>
    <row r="71">
      <c r="A71" t="inlineStr">
        <is>
          <t>Intro</t>
        </is>
      </c>
      <c r="B71" t="inlineStr">
        <is>
          <t>G10</t>
        </is>
      </c>
      <c r="C71" t="n">
        <v>10</v>
      </c>
      <c r="D71" t="n">
        <v>7</v>
      </c>
      <c r="E71" t="inlineStr">
        <is>
          <t>Input</t>
        </is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Values must be of type &lt;class 'str'&gt;</t>
        </is>
      </c>
      <c r="N71" t="inlineStr">
        <is>
          <t>00000000</t>
        </is>
      </c>
      <c r="O71" t="n">
        <v/>
      </c>
      <c r="R71" t="b">
        <v>0</v>
      </c>
      <c r="V71" t="b">
        <v>0</v>
      </c>
      <c r="W71" t="inlineStr"/>
    </row>
    <row r="72">
      <c r="A72" t="inlineStr">
        <is>
          <t>Intro</t>
        </is>
      </c>
      <c r="B72" t="inlineStr">
        <is>
          <t>A11</t>
        </is>
      </c>
      <c r="C72" t="n">
        <v>11</v>
      </c>
      <c r="D72" t="n">
        <v>1</v>
      </c>
      <c r="E72" t="inlineStr">
        <is>
          <t>Input</t>
        </is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Values must be of type &lt;class 'str'&gt;</t>
        </is>
      </c>
      <c r="N72" t="inlineStr">
        <is>
          <t>00000000</t>
        </is>
      </c>
      <c r="O72" t="n">
        <v/>
      </c>
      <c r="R72" t="b">
        <v>0</v>
      </c>
      <c r="V72" t="b">
        <v>0</v>
      </c>
      <c r="W72" t="inlineStr"/>
    </row>
    <row r="73">
      <c r="A73" t="inlineStr">
        <is>
          <t>Intro</t>
        </is>
      </c>
      <c r="B73" t="inlineStr">
        <is>
          <t>B11</t>
        </is>
      </c>
      <c r="C73" t="n">
        <v>11</v>
      </c>
      <c r="D73" t="n">
        <v>2</v>
      </c>
      <c r="E73" t="inlineStr">
        <is>
          <t>Input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Values must be of type &lt;class 'str'&gt;</t>
        </is>
      </c>
      <c r="N73" t="inlineStr">
        <is>
          <t>00000000</t>
        </is>
      </c>
      <c r="O73" t="n">
        <v/>
      </c>
      <c r="R73" t="b">
        <v>0</v>
      </c>
      <c r="V73" t="b">
        <v>0</v>
      </c>
      <c r="W73" t="inlineStr"/>
    </row>
    <row r="74">
      <c r="A74" t="inlineStr">
        <is>
          <t>Intro</t>
        </is>
      </c>
      <c r="B74" t="inlineStr">
        <is>
          <t>C11</t>
        </is>
      </c>
      <c r="C74" t="n">
        <v>11</v>
      </c>
      <c r="D74" t="n">
        <v>3</v>
      </c>
      <c r="E74" t="inlineStr">
        <is>
          <t>Input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Values must be of type &lt;class 'str'&gt;</t>
        </is>
      </c>
      <c r="N74" t="inlineStr">
        <is>
          <t>00000000</t>
        </is>
      </c>
      <c r="O74" t="n">
        <v/>
      </c>
      <c r="R74" t="b">
        <v>0</v>
      </c>
      <c r="V74" t="b">
        <v>0</v>
      </c>
      <c r="W74" t="inlineStr"/>
    </row>
    <row r="75">
      <c r="A75" t="inlineStr">
        <is>
          <t>Intro</t>
        </is>
      </c>
      <c r="B75" t="inlineStr">
        <is>
          <t>D11</t>
        </is>
      </c>
      <c r="C75" t="n">
        <v>11</v>
      </c>
      <c r="D75" t="n">
        <v>4</v>
      </c>
      <c r="E75" t="inlineStr">
        <is>
          <t>Input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Values must be of type &lt;class 'str'&gt;</t>
        </is>
      </c>
      <c r="N75" t="inlineStr">
        <is>
          <t>00000000</t>
        </is>
      </c>
      <c r="O75" t="n">
        <v/>
      </c>
      <c r="R75" t="b">
        <v>0</v>
      </c>
      <c r="V75" t="b">
        <v>0</v>
      </c>
      <c r="W75" t="inlineStr"/>
    </row>
    <row r="76">
      <c r="A76" t="inlineStr">
        <is>
          <t>Intro</t>
        </is>
      </c>
      <c r="B76" t="inlineStr">
        <is>
          <t>E11</t>
        </is>
      </c>
      <c r="C76" t="n">
        <v>11</v>
      </c>
      <c r="D76" t="n">
        <v>5</v>
      </c>
      <c r="E76" t="inlineStr">
        <is>
          <t>Input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Values must be of type &lt;class 'str'&gt;</t>
        </is>
      </c>
      <c r="N76" t="inlineStr">
        <is>
          <t>00000000</t>
        </is>
      </c>
      <c r="O76" t="n">
        <v/>
      </c>
      <c r="R76" t="b">
        <v>0</v>
      </c>
      <c r="V76" t="b">
        <v>0</v>
      </c>
      <c r="W76" t="inlineStr"/>
    </row>
    <row r="77">
      <c r="A77" t="inlineStr">
        <is>
          <t>Intro</t>
        </is>
      </c>
      <c r="B77" t="inlineStr">
        <is>
          <t>F11</t>
        </is>
      </c>
      <c r="C77" t="n">
        <v>11</v>
      </c>
      <c r="D77" t="n">
        <v>6</v>
      </c>
      <c r="E77" t="inlineStr">
        <is>
          <t>Input</t>
        </is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Values must be of type &lt;class 'str'&gt;</t>
        </is>
      </c>
      <c r="N77" t="inlineStr">
        <is>
          <t>00000000</t>
        </is>
      </c>
      <c r="O77" t="n">
        <v/>
      </c>
      <c r="R77" t="b">
        <v>0</v>
      </c>
      <c r="V77" t="b">
        <v>0</v>
      </c>
      <c r="W77" t="inlineStr"/>
    </row>
    <row r="78">
      <c r="A78" t="inlineStr">
        <is>
          <t>Intro</t>
        </is>
      </c>
      <c r="B78" t="inlineStr">
        <is>
          <t>G11</t>
        </is>
      </c>
      <c r="C78" t="n">
        <v>11</v>
      </c>
      <c r="D78" t="n">
        <v>7</v>
      </c>
      <c r="E78" t="inlineStr">
        <is>
          <t>Input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Values must be of type &lt;class 'str'&gt;</t>
        </is>
      </c>
      <c r="N78" t="inlineStr">
        <is>
          <t>00000000</t>
        </is>
      </c>
      <c r="O78" t="n">
        <v/>
      </c>
      <c r="R78" t="b">
        <v>0</v>
      </c>
      <c r="V78" t="b">
        <v>0</v>
      </c>
      <c r="W78" t="inlineStr"/>
    </row>
    <row r="79">
      <c r="A79" t="inlineStr">
        <is>
          <t>Intro</t>
        </is>
      </c>
      <c r="B79" t="inlineStr">
        <is>
          <t>A12</t>
        </is>
      </c>
      <c r="C79" t="n">
        <v>12</v>
      </c>
      <c r="D79" t="n">
        <v>1</v>
      </c>
      <c r="E79" t="inlineStr">
        <is>
          <t>Input</t>
        </is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Values must be of type &lt;class 'str'&gt;</t>
        </is>
      </c>
      <c r="N79" t="inlineStr">
        <is>
          <t>00000000</t>
        </is>
      </c>
      <c r="O79" t="n">
        <v/>
      </c>
      <c r="R79" t="b">
        <v>0</v>
      </c>
      <c r="V79" t="b">
        <v>0</v>
      </c>
      <c r="W79" t="inlineStr"/>
    </row>
    <row r="80">
      <c r="A80" t="inlineStr">
        <is>
          <t>Intro</t>
        </is>
      </c>
      <c r="B80" t="inlineStr">
        <is>
          <t>B12</t>
        </is>
      </c>
      <c r="C80" t="n">
        <v>12</v>
      </c>
      <c r="D80" t="n">
        <v>2</v>
      </c>
      <c r="E80" t="inlineStr">
        <is>
          <t>Input</t>
        </is>
      </c>
      <c r="H80" t="inlineStr"/>
      <c r="I80" t="inlineStr">
        <is>
          <t>General</t>
        </is>
      </c>
      <c r="J80" t="b">
        <v>0</v>
      </c>
      <c r="K80" t="b">
        <v>0</v>
      </c>
      <c r="L80" t="n">
        <v>11</v>
      </c>
      <c r="M80" t="inlineStr">
        <is>
          <t>Values must be of type &lt;class 'str'&gt;</t>
        </is>
      </c>
      <c r="N80" t="inlineStr">
        <is>
          <t>00000000</t>
        </is>
      </c>
      <c r="O80" t="n">
        <v/>
      </c>
      <c r="R80" t="b">
        <v>0</v>
      </c>
      <c r="V80" t="b">
        <v>0</v>
      </c>
      <c r="W80" t="inlineStr"/>
    </row>
    <row r="81">
      <c r="A81" t="inlineStr">
        <is>
          <t>Intro</t>
        </is>
      </c>
      <c r="B81" t="inlineStr">
        <is>
          <t>C12</t>
        </is>
      </c>
      <c r="C81" t="n">
        <v>12</v>
      </c>
      <c r="D81" t="n">
        <v>3</v>
      </c>
      <c r="E81" t="inlineStr">
        <is>
          <t>Input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Values must be of type &lt;class 'str'&gt;</t>
        </is>
      </c>
      <c r="N81" t="inlineStr">
        <is>
          <t>00000000</t>
        </is>
      </c>
      <c r="O81" t="n">
        <v/>
      </c>
      <c r="R81" t="b">
        <v>0</v>
      </c>
      <c r="V81" t="b">
        <v>0</v>
      </c>
      <c r="W81" t="inlineStr"/>
    </row>
    <row r="82">
      <c r="A82" t="inlineStr">
        <is>
          <t>Intro</t>
        </is>
      </c>
      <c r="B82" t="inlineStr">
        <is>
          <t>D12</t>
        </is>
      </c>
      <c r="C82" t="n">
        <v>12</v>
      </c>
      <c r="D82" t="n">
        <v>4</v>
      </c>
      <c r="E82" t="inlineStr">
        <is>
          <t>Input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Values must be of type &lt;class 'str'&gt;</t>
        </is>
      </c>
      <c r="N82" t="inlineStr">
        <is>
          <t>00000000</t>
        </is>
      </c>
      <c r="O82" t="n">
        <v/>
      </c>
      <c r="R82" t="b">
        <v>0</v>
      </c>
      <c r="V82" t="b">
        <v>0</v>
      </c>
      <c r="W82" t="inlineStr"/>
    </row>
    <row r="83">
      <c r="A83" t="inlineStr">
        <is>
          <t>Intro</t>
        </is>
      </c>
      <c r="B83" t="inlineStr">
        <is>
          <t>E12</t>
        </is>
      </c>
      <c r="C83" t="n">
        <v>12</v>
      </c>
      <c r="D83" t="n">
        <v>5</v>
      </c>
      <c r="E83" t="inlineStr">
        <is>
          <t>Input</t>
        </is>
      </c>
      <c r="H83" t="inlineStr"/>
      <c r="I83" t="inlineStr">
        <is>
          <t>General</t>
        </is>
      </c>
      <c r="J83" t="b">
        <v>0</v>
      </c>
      <c r="K83" t="b">
        <v>0</v>
      </c>
      <c r="L83" t="n">
        <v>11</v>
      </c>
      <c r="M83" t="inlineStr">
        <is>
          <t>Values must be of type &lt;class 'str'&gt;</t>
        </is>
      </c>
      <c r="N83" t="inlineStr">
        <is>
          <t>00000000</t>
        </is>
      </c>
      <c r="O83" t="n">
        <v/>
      </c>
      <c r="R83" t="b">
        <v>0</v>
      </c>
      <c r="V83" t="b">
        <v>0</v>
      </c>
      <c r="W83" t="inlineStr"/>
    </row>
    <row r="84">
      <c r="A84" t="inlineStr">
        <is>
          <t>Intro</t>
        </is>
      </c>
      <c r="B84" t="inlineStr">
        <is>
          <t>F12</t>
        </is>
      </c>
      <c r="C84" t="n">
        <v>12</v>
      </c>
      <c r="D84" t="n">
        <v>6</v>
      </c>
      <c r="E84" t="inlineStr">
        <is>
          <t>Input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Values must be of type &lt;class 'str'&gt;</t>
        </is>
      </c>
      <c r="N84" t="inlineStr">
        <is>
          <t>00000000</t>
        </is>
      </c>
      <c r="O84" t="n">
        <v/>
      </c>
      <c r="R84" t="b">
        <v>0</v>
      </c>
      <c r="V84" t="b">
        <v>0</v>
      </c>
      <c r="W84" t="inlineStr"/>
    </row>
    <row r="85">
      <c r="A85" t="inlineStr">
        <is>
          <t>Intro</t>
        </is>
      </c>
      <c r="B85" t="inlineStr">
        <is>
          <t>G12</t>
        </is>
      </c>
      <c r="C85" t="n">
        <v>12</v>
      </c>
      <c r="D85" t="n">
        <v>7</v>
      </c>
      <c r="E85" t="inlineStr">
        <is>
          <t>Input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Values must be of type &lt;class 'str'&gt;</t>
        </is>
      </c>
      <c r="N85" t="inlineStr">
        <is>
          <t>00000000</t>
        </is>
      </c>
      <c r="O85" t="n">
        <v/>
      </c>
      <c r="R85" t="b">
        <v>0</v>
      </c>
      <c r="V85" t="b">
        <v>0</v>
      </c>
      <c r="W85" t="inlineStr"/>
    </row>
    <row r="86">
      <c r="A86" t="inlineStr">
        <is>
          <t>Intro</t>
        </is>
      </c>
      <c r="B86" t="inlineStr">
        <is>
          <t>A13</t>
        </is>
      </c>
      <c r="C86" t="n">
        <v>13</v>
      </c>
      <c r="D86" t="n">
        <v>1</v>
      </c>
      <c r="E86" t="inlineStr">
        <is>
          <t>Input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Values must be of type &lt;class 'str'&gt;</t>
        </is>
      </c>
      <c r="N86" t="inlineStr">
        <is>
          <t>00000000</t>
        </is>
      </c>
      <c r="O86" t="n">
        <v/>
      </c>
      <c r="R86" t="b">
        <v>0</v>
      </c>
      <c r="V86" t="b">
        <v>0</v>
      </c>
      <c r="W86" t="inlineStr"/>
    </row>
    <row r="87">
      <c r="A87" t="inlineStr">
        <is>
          <t>Intro</t>
        </is>
      </c>
      <c r="B87" t="inlineStr">
        <is>
          <t>B13</t>
        </is>
      </c>
      <c r="C87" t="n">
        <v>13</v>
      </c>
      <c r="D87" t="n">
        <v>2</v>
      </c>
      <c r="E87" t="inlineStr">
        <is>
          <t>Input</t>
        </is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Values must be of type &lt;class 'str'&gt;</t>
        </is>
      </c>
      <c r="N87" t="inlineStr">
        <is>
          <t>00000000</t>
        </is>
      </c>
      <c r="O87" t="n">
        <v/>
      </c>
      <c r="R87" t="b">
        <v>0</v>
      </c>
      <c r="V87" t="b">
        <v>0</v>
      </c>
      <c r="W87" t="inlineStr"/>
    </row>
    <row r="88">
      <c r="A88" t="inlineStr">
        <is>
          <t>Intro</t>
        </is>
      </c>
      <c r="B88" t="inlineStr">
        <is>
          <t>C13</t>
        </is>
      </c>
      <c r="C88" t="n">
        <v>13</v>
      </c>
      <c r="D88" t="n">
        <v>3</v>
      </c>
      <c r="E88" t="inlineStr">
        <is>
          <t>Input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Values must be of type &lt;class 'str'&gt;</t>
        </is>
      </c>
      <c r="N88" t="inlineStr">
        <is>
          <t>00000000</t>
        </is>
      </c>
      <c r="O88" t="n">
        <v/>
      </c>
      <c r="R88" t="b">
        <v>0</v>
      </c>
      <c r="V88" t="b">
        <v>0</v>
      </c>
      <c r="W88" t="inlineStr"/>
    </row>
    <row r="89">
      <c r="A89" t="inlineStr">
        <is>
          <t>Intro</t>
        </is>
      </c>
      <c r="B89" t="inlineStr">
        <is>
          <t>D13</t>
        </is>
      </c>
      <c r="C89" t="n">
        <v>13</v>
      </c>
      <c r="D89" t="n">
        <v>4</v>
      </c>
      <c r="E89" t="inlineStr">
        <is>
          <t>Input</t>
        </is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Values must be of type &lt;class 'str'&gt;</t>
        </is>
      </c>
      <c r="N89" t="inlineStr">
        <is>
          <t>00000000</t>
        </is>
      </c>
      <c r="O89" t="n">
        <v/>
      </c>
      <c r="R89" t="b">
        <v>0</v>
      </c>
      <c r="V89" t="b">
        <v>0</v>
      </c>
      <c r="W89" t="inlineStr"/>
    </row>
    <row r="90">
      <c r="A90" t="inlineStr">
        <is>
          <t>Intro</t>
        </is>
      </c>
      <c r="B90" t="inlineStr">
        <is>
          <t>E13</t>
        </is>
      </c>
      <c r="C90" t="n">
        <v>13</v>
      </c>
      <c r="D90" t="n">
        <v>5</v>
      </c>
      <c r="E90" t="inlineStr">
        <is>
          <t>Input</t>
        </is>
      </c>
      <c r="G90" t="inlineStr">
        <is>
          <t>http://proschoolonline.com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FF0000FF</t>
        </is>
      </c>
      <c r="N90" t="inlineStr">
        <is>
          <t>00000000</t>
        </is>
      </c>
      <c r="O90" t="inlineStr">
        <is>
          <t>center</t>
        </is>
      </c>
      <c r="R90" t="b">
        <v>1</v>
      </c>
      <c r="V90" t="b">
        <v>0</v>
      </c>
      <c r="W90" t="inlineStr"/>
    </row>
    <row r="91">
      <c r="A91" t="inlineStr">
        <is>
          <t>Intro</t>
        </is>
      </c>
      <c r="B91" t="inlineStr">
        <is>
          <t>F13</t>
        </is>
      </c>
      <c r="C91" t="n">
        <v>13</v>
      </c>
      <c r="D91" t="n">
        <v>6</v>
      </c>
      <c r="E91" t="inlineStr">
        <is>
          <t>Input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Values must be of type &lt;class 'str'&gt;</t>
        </is>
      </c>
      <c r="N91" t="inlineStr">
        <is>
          <t>00000000</t>
        </is>
      </c>
      <c r="O91" t="n">
        <v/>
      </c>
      <c r="R91" t="b">
        <v>0</v>
      </c>
      <c r="V91" t="b">
        <v>0</v>
      </c>
      <c r="W91" t="inlineStr"/>
    </row>
    <row r="92">
      <c r="A92" t="inlineStr">
        <is>
          <t>Intro</t>
        </is>
      </c>
      <c r="B92" t="inlineStr">
        <is>
          <t>G13</t>
        </is>
      </c>
      <c r="C92" t="n">
        <v>13</v>
      </c>
      <c r="D92" t="n">
        <v>7</v>
      </c>
      <c r="E92" t="inlineStr">
        <is>
          <t>Input</t>
        </is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Values must be of type &lt;class 'str'&gt;</t>
        </is>
      </c>
      <c r="N92" t="inlineStr">
        <is>
          <t>00000000</t>
        </is>
      </c>
      <c r="O92" t="n">
        <v/>
      </c>
      <c r="R92" t="b">
        <v>0</v>
      </c>
      <c r="V92" t="b">
        <v>0</v>
      </c>
      <c r="W92" t="inlineStr"/>
    </row>
    <row r="93">
      <c r="A93" t="inlineStr">
        <is>
          <t>Intro</t>
        </is>
      </c>
      <c r="B93" t="inlineStr">
        <is>
          <t>A14</t>
        </is>
      </c>
      <c r="C93" t="n">
        <v>14</v>
      </c>
      <c r="D93" t="n">
        <v>1</v>
      </c>
      <c r="E93" t="inlineStr">
        <is>
          <t>Input</t>
        </is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Values must be of type &lt;class 'str'&gt;</t>
        </is>
      </c>
      <c r="N93" t="inlineStr">
        <is>
          <t>00000000</t>
        </is>
      </c>
      <c r="O93" t="n">
        <v/>
      </c>
      <c r="R93" t="b">
        <v>0</v>
      </c>
      <c r="V93" t="b">
        <v>0</v>
      </c>
      <c r="W93" t="inlineStr"/>
    </row>
    <row r="94">
      <c r="A94" t="inlineStr">
        <is>
          <t>Intro</t>
        </is>
      </c>
      <c r="B94" t="inlineStr">
        <is>
          <t>B14</t>
        </is>
      </c>
      <c r="C94" t="n">
        <v>14</v>
      </c>
      <c r="D94" t="n">
        <v>2</v>
      </c>
      <c r="E94" t="inlineStr">
        <is>
          <t>Input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Values must be of type &lt;class 'str'&gt;</t>
        </is>
      </c>
      <c r="N94" t="inlineStr">
        <is>
          <t>00000000</t>
        </is>
      </c>
      <c r="O94" t="n">
        <v/>
      </c>
      <c r="R94" t="b">
        <v>0</v>
      </c>
      <c r="V94" t="b">
        <v>0</v>
      </c>
      <c r="W94" t="inlineStr"/>
    </row>
    <row r="95">
      <c r="A95" t="inlineStr">
        <is>
          <t>Intro</t>
        </is>
      </c>
      <c r="B95" t="inlineStr">
        <is>
          <t>C14</t>
        </is>
      </c>
      <c r="C95" t="n">
        <v>14</v>
      </c>
      <c r="D95" t="n">
        <v>3</v>
      </c>
      <c r="E95" t="inlineStr">
        <is>
          <t>Input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Values must be of type &lt;class 'str'&gt;</t>
        </is>
      </c>
      <c r="N95" t="inlineStr">
        <is>
          <t>00000000</t>
        </is>
      </c>
      <c r="O95" t="n">
        <v/>
      </c>
      <c r="R95" t="b">
        <v>0</v>
      </c>
      <c r="V95" t="b">
        <v>0</v>
      </c>
      <c r="W95" t="inlineStr"/>
    </row>
    <row r="96">
      <c r="A96" t="inlineStr">
        <is>
          <t>Intro</t>
        </is>
      </c>
      <c r="B96" t="inlineStr">
        <is>
          <t>D14</t>
        </is>
      </c>
      <c r="C96" t="n">
        <v>14</v>
      </c>
      <c r="D96" t="n">
        <v>4</v>
      </c>
      <c r="E96" t="inlineStr">
        <is>
          <t>Input</t>
        </is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Values must be of type &lt;class 'str'&gt;</t>
        </is>
      </c>
      <c r="N96" t="inlineStr">
        <is>
          <t>00000000</t>
        </is>
      </c>
      <c r="O96" t="n">
        <v/>
      </c>
      <c r="R96" t="b">
        <v>0</v>
      </c>
      <c r="V96" t="b">
        <v>0</v>
      </c>
      <c r="W96" t="inlineStr"/>
    </row>
    <row r="97">
      <c r="A97" t="inlineStr">
        <is>
          <t>Intro</t>
        </is>
      </c>
      <c r="B97" t="inlineStr">
        <is>
          <t>E14</t>
        </is>
      </c>
      <c r="C97" t="n">
        <v>14</v>
      </c>
      <c r="D97" t="n">
        <v>5</v>
      </c>
      <c r="E97" t="inlineStr">
        <is>
          <t>Input</t>
        </is>
      </c>
      <c r="G97" t="inlineStr">
        <is>
          <t>Email ID : mumbai@proschoolonline.com</t>
        </is>
      </c>
      <c r="H97" t="inlineStr"/>
      <c r="I97" t="inlineStr">
        <is>
          <t>General</t>
        </is>
      </c>
      <c r="J97" t="b">
        <v>1</v>
      </c>
      <c r="K97" t="b">
        <v>0</v>
      </c>
      <c r="L97" t="n">
        <v>9</v>
      </c>
      <c r="M97" t="inlineStr">
        <is>
          <t>FF444444</t>
        </is>
      </c>
      <c r="N97" t="inlineStr">
        <is>
          <t>00000000</t>
        </is>
      </c>
      <c r="O97" t="inlineStr">
        <is>
          <t>center</t>
        </is>
      </c>
      <c r="R97" t="b">
        <v>1</v>
      </c>
      <c r="V97" t="b">
        <v>0</v>
      </c>
      <c r="W97" t="inlineStr"/>
    </row>
    <row r="98">
      <c r="A98" t="inlineStr">
        <is>
          <t>Intro</t>
        </is>
      </c>
      <c r="B98" t="inlineStr">
        <is>
          <t>F14</t>
        </is>
      </c>
      <c r="C98" t="n">
        <v>14</v>
      </c>
      <c r="D98" t="n">
        <v>6</v>
      </c>
      <c r="E98" t="inlineStr">
        <is>
          <t>Input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Values must be of type &lt;class 'str'&gt;</t>
        </is>
      </c>
      <c r="N98" t="inlineStr">
        <is>
          <t>00000000</t>
        </is>
      </c>
      <c r="O98" t="n">
        <v/>
      </c>
      <c r="R98" t="b">
        <v>0</v>
      </c>
      <c r="V98" t="b">
        <v>0</v>
      </c>
      <c r="W98" t="inlineStr"/>
    </row>
    <row r="99">
      <c r="A99" t="inlineStr">
        <is>
          <t>Intro</t>
        </is>
      </c>
      <c r="B99" t="inlineStr">
        <is>
          <t>G14</t>
        </is>
      </c>
      <c r="C99" t="n">
        <v>14</v>
      </c>
      <c r="D99" t="n">
        <v>7</v>
      </c>
      <c r="E99" t="inlineStr">
        <is>
          <t>Input</t>
        </is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Values must be of type &lt;class 'str'&gt;</t>
        </is>
      </c>
      <c r="N99" t="inlineStr">
        <is>
          <t>00000000</t>
        </is>
      </c>
      <c r="O99" t="n">
        <v/>
      </c>
      <c r="R99" t="b">
        <v>0</v>
      </c>
      <c r="V99" t="b">
        <v>0</v>
      </c>
      <c r="W99" t="inlineStr"/>
    </row>
    <row r="100">
      <c r="A100" t="inlineStr">
        <is>
          <t>Intro</t>
        </is>
      </c>
      <c r="B100" t="inlineStr">
        <is>
          <t>A15</t>
        </is>
      </c>
      <c r="C100" t="n">
        <v>15</v>
      </c>
      <c r="D100" t="n">
        <v>1</v>
      </c>
      <c r="E100" t="inlineStr">
        <is>
          <t>Input</t>
        </is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Values must be of type &lt;class 'str'&gt;</t>
        </is>
      </c>
      <c r="N100" t="inlineStr">
        <is>
          <t>00000000</t>
        </is>
      </c>
      <c r="O100" t="n">
        <v/>
      </c>
      <c r="R100" t="b">
        <v>0</v>
      </c>
      <c r="V100" t="b">
        <v>0</v>
      </c>
      <c r="W100" t="inlineStr"/>
    </row>
    <row r="101">
      <c r="A101" t="inlineStr">
        <is>
          <t>Intro</t>
        </is>
      </c>
      <c r="B101" t="inlineStr">
        <is>
          <t>B15</t>
        </is>
      </c>
      <c r="C101" t="n">
        <v>15</v>
      </c>
      <c r="D101" t="n">
        <v>2</v>
      </c>
      <c r="E101" t="inlineStr">
        <is>
          <t>Input</t>
        </is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Values must be of type &lt;class 'str'&gt;</t>
        </is>
      </c>
      <c r="N101" t="inlineStr">
        <is>
          <t>00000000</t>
        </is>
      </c>
      <c r="O101" t="n">
        <v/>
      </c>
      <c r="R101" t="b">
        <v>0</v>
      </c>
      <c r="V101" t="b">
        <v>0</v>
      </c>
      <c r="W101" t="inlineStr"/>
    </row>
    <row r="102">
      <c r="A102" t="inlineStr">
        <is>
          <t>Intro</t>
        </is>
      </c>
      <c r="B102" t="inlineStr">
        <is>
          <t>C15</t>
        </is>
      </c>
      <c r="C102" t="n">
        <v>15</v>
      </c>
      <c r="D102" t="n">
        <v>3</v>
      </c>
      <c r="E102" t="inlineStr">
        <is>
          <t>Input</t>
        </is>
      </c>
      <c r="H102" t="inlineStr"/>
      <c r="I102" t="inlineStr">
        <is>
          <t>General</t>
        </is>
      </c>
      <c r="J102" t="b">
        <v>0</v>
      </c>
      <c r="K102" t="b">
        <v>0</v>
      </c>
      <c r="L102" t="n">
        <v>11</v>
      </c>
      <c r="M102" t="inlineStr">
        <is>
          <t>Values must be of type &lt;class 'str'&gt;</t>
        </is>
      </c>
      <c r="N102" t="inlineStr">
        <is>
          <t>00000000</t>
        </is>
      </c>
      <c r="O102" t="n">
        <v/>
      </c>
      <c r="R102" t="b">
        <v>0</v>
      </c>
      <c r="V102" t="b">
        <v>0</v>
      </c>
      <c r="W102" t="inlineStr"/>
    </row>
    <row r="103">
      <c r="A103" t="inlineStr">
        <is>
          <t>Intro</t>
        </is>
      </c>
      <c r="B103" t="inlineStr">
        <is>
          <t>D15</t>
        </is>
      </c>
      <c r="C103" t="n">
        <v>15</v>
      </c>
      <c r="D103" t="n">
        <v>4</v>
      </c>
      <c r="E103" t="inlineStr">
        <is>
          <t>Input</t>
        </is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Values must be of type &lt;class 'str'&gt;</t>
        </is>
      </c>
      <c r="N103" t="inlineStr">
        <is>
          <t>00000000</t>
        </is>
      </c>
      <c r="O103" t="n">
        <v/>
      </c>
      <c r="R103" t="b">
        <v>0</v>
      </c>
      <c r="V103" t="b">
        <v>0</v>
      </c>
      <c r="W103" t="inlineStr"/>
    </row>
    <row r="104">
      <c r="A104" t="inlineStr">
        <is>
          <t>Intro</t>
        </is>
      </c>
      <c r="B104" t="inlineStr">
        <is>
          <t>E15</t>
        </is>
      </c>
      <c r="C104" t="n">
        <v>15</v>
      </c>
      <c r="D104" t="n">
        <v>5</v>
      </c>
      <c r="E104" t="inlineStr">
        <is>
          <t>Input</t>
        </is>
      </c>
      <c r="H104" t="inlineStr"/>
      <c r="I104" t="inlineStr">
        <is>
          <t>General</t>
        </is>
      </c>
      <c r="J104" t="b">
        <v>1</v>
      </c>
      <c r="K104" t="b">
        <v>0</v>
      </c>
      <c r="L104" t="n">
        <v>9</v>
      </c>
      <c r="M104" t="inlineStr">
        <is>
          <t>FF444444</t>
        </is>
      </c>
      <c r="N104" t="inlineStr">
        <is>
          <t>00000000</t>
        </is>
      </c>
      <c r="O104" t="inlineStr">
        <is>
          <t>center</t>
        </is>
      </c>
      <c r="R104" t="b">
        <v>0</v>
      </c>
      <c r="V104" t="b">
        <v>0</v>
      </c>
      <c r="W104" t="inlineStr"/>
    </row>
    <row r="105">
      <c r="A105" t="inlineStr">
        <is>
          <t>Intro</t>
        </is>
      </c>
      <c r="B105" t="inlineStr">
        <is>
          <t>F15</t>
        </is>
      </c>
      <c r="C105" t="n">
        <v>15</v>
      </c>
      <c r="D105" t="n">
        <v>6</v>
      </c>
      <c r="E105" t="inlineStr">
        <is>
          <t>Input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Values must be of type &lt;class 'str'&gt;</t>
        </is>
      </c>
      <c r="N105" t="inlineStr">
        <is>
          <t>00000000</t>
        </is>
      </c>
      <c r="O105" t="n">
        <v/>
      </c>
      <c r="R105" t="b">
        <v>0</v>
      </c>
      <c r="V105" t="b">
        <v>0</v>
      </c>
      <c r="W105" t="inlineStr"/>
    </row>
    <row r="106">
      <c r="A106" t="inlineStr">
        <is>
          <t>Intro</t>
        </is>
      </c>
      <c r="B106" t="inlineStr">
        <is>
          <t>G15</t>
        </is>
      </c>
      <c r="C106" t="n">
        <v>15</v>
      </c>
      <c r="D106" t="n">
        <v>7</v>
      </c>
      <c r="E106" t="inlineStr">
        <is>
          <t>Input</t>
        </is>
      </c>
      <c r="H106" t="inlineStr"/>
      <c r="I106" t="inlineStr">
        <is>
          <t>General</t>
        </is>
      </c>
      <c r="J106" t="b">
        <v>0</v>
      </c>
      <c r="K106" t="b">
        <v>0</v>
      </c>
      <c r="L106" t="n">
        <v>11</v>
      </c>
      <c r="M106" t="inlineStr">
        <is>
          <t>Values must be of type &lt;class 'str'&gt;</t>
        </is>
      </c>
      <c r="N106" t="inlineStr">
        <is>
          <t>00000000</t>
        </is>
      </c>
      <c r="O106" t="n">
        <v/>
      </c>
      <c r="R106" t="b">
        <v>0</v>
      </c>
      <c r="V106" t="b">
        <v>0</v>
      </c>
      <c r="W106" t="inlineStr"/>
    </row>
    <row r="107">
      <c r="A107" t="inlineStr">
        <is>
          <t>Intro</t>
        </is>
      </c>
      <c r="B107" t="inlineStr">
        <is>
          <t>A16</t>
        </is>
      </c>
      <c r="C107" t="n">
        <v>16</v>
      </c>
      <c r="D107" t="n">
        <v>1</v>
      </c>
      <c r="E107" t="inlineStr">
        <is>
          <t>Input</t>
        </is>
      </c>
      <c r="H107" t="inlineStr"/>
      <c r="I107" t="inlineStr">
        <is>
          <t>General</t>
        </is>
      </c>
      <c r="J107" t="b">
        <v>0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00000000</t>
        </is>
      </c>
      <c r="O107" t="n">
        <v/>
      </c>
      <c r="R107" t="b">
        <v>0</v>
      </c>
      <c r="V107" t="b">
        <v>0</v>
      </c>
      <c r="W107" t="inlineStr"/>
    </row>
    <row r="108">
      <c r="A108" t="inlineStr">
        <is>
          <t>Intro</t>
        </is>
      </c>
      <c r="B108" t="inlineStr">
        <is>
          <t>B16</t>
        </is>
      </c>
      <c r="C108" t="n">
        <v>16</v>
      </c>
      <c r="D108" t="n">
        <v>2</v>
      </c>
      <c r="E108" t="inlineStr">
        <is>
          <t>Input</t>
        </is>
      </c>
      <c r="H108" t="inlineStr"/>
      <c r="I108" t="inlineStr">
        <is>
          <t>General</t>
        </is>
      </c>
      <c r="J108" t="b">
        <v>0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00000000</t>
        </is>
      </c>
      <c r="O108" t="n">
        <v/>
      </c>
      <c r="R108" t="b">
        <v>0</v>
      </c>
      <c r="V108" t="b">
        <v>0</v>
      </c>
      <c r="W108" t="inlineStr"/>
    </row>
    <row r="109">
      <c r="A109" t="inlineStr">
        <is>
          <t>Intro</t>
        </is>
      </c>
      <c r="B109" t="inlineStr">
        <is>
          <t>C16</t>
        </is>
      </c>
      <c r="C109" t="n">
        <v>16</v>
      </c>
      <c r="D109" t="n">
        <v>3</v>
      </c>
      <c r="E109" t="inlineStr">
        <is>
          <t>Input</t>
        </is>
      </c>
      <c r="H109" t="inlineStr"/>
      <c r="I109" t="inlineStr">
        <is>
          <t>General</t>
        </is>
      </c>
      <c r="J109" t="b">
        <v>0</v>
      </c>
      <c r="K109" t="b">
        <v>0</v>
      </c>
      <c r="L109" t="n">
        <v>11</v>
      </c>
      <c r="M109" t="inlineStr">
        <is>
          <t>Values must be of type &lt;class 'str'&gt;</t>
        </is>
      </c>
      <c r="N109" t="inlineStr">
        <is>
          <t>00000000</t>
        </is>
      </c>
      <c r="O109" t="n">
        <v/>
      </c>
      <c r="R109" t="b">
        <v>0</v>
      </c>
      <c r="V109" t="b">
        <v>0</v>
      </c>
      <c r="W109" t="inlineStr"/>
    </row>
    <row r="110">
      <c r="A110" t="inlineStr">
        <is>
          <t>Intro</t>
        </is>
      </c>
      <c r="B110" t="inlineStr">
        <is>
          <t>D16</t>
        </is>
      </c>
      <c r="C110" t="n">
        <v>16</v>
      </c>
      <c r="D110" t="n">
        <v>4</v>
      </c>
      <c r="E110" t="inlineStr">
        <is>
          <t>Input</t>
        </is>
      </c>
      <c r="H110" t="inlineStr"/>
      <c r="I110" t="inlineStr">
        <is>
          <t>General</t>
        </is>
      </c>
      <c r="J110" t="b">
        <v>0</v>
      </c>
      <c r="K110" t="b">
        <v>0</v>
      </c>
      <c r="L110" t="n">
        <v>11</v>
      </c>
      <c r="M110" t="inlineStr">
        <is>
          <t>Values must be of type &lt;class 'str'&gt;</t>
        </is>
      </c>
      <c r="N110" t="inlineStr">
        <is>
          <t>00000000</t>
        </is>
      </c>
      <c r="O110" t="n">
        <v/>
      </c>
      <c r="R110" t="b">
        <v>0</v>
      </c>
      <c r="V110" t="b">
        <v>0</v>
      </c>
      <c r="W110" t="inlineStr"/>
    </row>
    <row r="111">
      <c r="A111" t="inlineStr">
        <is>
          <t>Intro</t>
        </is>
      </c>
      <c r="B111" t="inlineStr">
        <is>
          <t>E16</t>
        </is>
      </c>
      <c r="C111" t="n">
        <v>16</v>
      </c>
      <c r="D111" t="n">
        <v>5</v>
      </c>
      <c r="E111" t="inlineStr">
        <is>
          <t>Input</t>
        </is>
      </c>
      <c r="G111" t="inlineStr">
        <is>
          <t>Mumbai</t>
        </is>
      </c>
      <c r="H111" t="inlineStr"/>
      <c r="I111" t="inlineStr">
        <is>
          <t>General</t>
        </is>
      </c>
      <c r="J111" t="b">
        <v>1</v>
      </c>
      <c r="K111" t="b">
        <v>0</v>
      </c>
      <c r="L111" t="n">
        <v>9</v>
      </c>
      <c r="M111" t="inlineStr">
        <is>
          <t>FF444444</t>
        </is>
      </c>
      <c r="N111" t="inlineStr">
        <is>
          <t>00000000</t>
        </is>
      </c>
      <c r="O111" t="inlineStr">
        <is>
          <t>center</t>
        </is>
      </c>
      <c r="R111" t="b">
        <v>1</v>
      </c>
      <c r="V111" t="b">
        <v>0</v>
      </c>
      <c r="W111" t="inlineStr"/>
    </row>
    <row r="112">
      <c r="A112" t="inlineStr">
        <is>
          <t>Intro</t>
        </is>
      </c>
      <c r="B112" t="inlineStr">
        <is>
          <t>F16</t>
        </is>
      </c>
      <c r="C112" t="n">
        <v>16</v>
      </c>
      <c r="D112" t="n">
        <v>6</v>
      </c>
      <c r="E112" t="inlineStr">
        <is>
          <t>Input</t>
        </is>
      </c>
      <c r="H112" t="inlineStr"/>
      <c r="I112" t="inlineStr">
        <is>
          <t>General</t>
        </is>
      </c>
      <c r="J112" t="b">
        <v>0</v>
      </c>
      <c r="K112" t="b">
        <v>0</v>
      </c>
      <c r="L112" t="n">
        <v>11</v>
      </c>
      <c r="M112" t="inlineStr">
        <is>
          <t>Values must be of type &lt;class 'str'&gt;</t>
        </is>
      </c>
      <c r="N112" t="inlineStr">
        <is>
          <t>00000000</t>
        </is>
      </c>
      <c r="O112" t="n">
        <v/>
      </c>
      <c r="R112" t="b">
        <v>0</v>
      </c>
      <c r="V112" t="b">
        <v>0</v>
      </c>
      <c r="W112" t="inlineStr"/>
    </row>
    <row r="113">
      <c r="A113" t="inlineStr">
        <is>
          <t>Intro</t>
        </is>
      </c>
      <c r="B113" t="inlineStr">
        <is>
          <t>G16</t>
        </is>
      </c>
      <c r="C113" t="n">
        <v>16</v>
      </c>
      <c r="D113" t="n">
        <v>7</v>
      </c>
      <c r="E113" t="inlineStr">
        <is>
          <t>Input</t>
        </is>
      </c>
      <c r="H113" t="inlineStr"/>
      <c r="I113" t="inlineStr">
        <is>
          <t>General</t>
        </is>
      </c>
      <c r="J113" t="b">
        <v>0</v>
      </c>
      <c r="K113" t="b">
        <v>0</v>
      </c>
      <c r="L113" t="n">
        <v>11</v>
      </c>
      <c r="M113" t="inlineStr">
        <is>
          <t>Values must be of type &lt;class 'str'&gt;</t>
        </is>
      </c>
      <c r="N113" t="inlineStr">
        <is>
          <t>00000000</t>
        </is>
      </c>
      <c r="O113" t="n">
        <v/>
      </c>
      <c r="R113" t="b">
        <v>0</v>
      </c>
      <c r="V113" t="b">
        <v>0</v>
      </c>
      <c r="W113" t="inlineStr"/>
    </row>
    <row r="114">
      <c r="A114" t="inlineStr">
        <is>
          <t>Intro</t>
        </is>
      </c>
      <c r="B114" t="inlineStr">
        <is>
          <t>A17</t>
        </is>
      </c>
      <c r="C114" t="n">
        <v>17</v>
      </c>
      <c r="D114" t="n">
        <v>1</v>
      </c>
      <c r="E114" t="inlineStr">
        <is>
          <t>Input</t>
        </is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Values must be of type &lt;class 'str'&gt;</t>
        </is>
      </c>
      <c r="N114" t="inlineStr">
        <is>
          <t>00000000</t>
        </is>
      </c>
      <c r="O114" t="n">
        <v/>
      </c>
      <c r="R114" t="b">
        <v>0</v>
      </c>
      <c r="V114" t="b">
        <v>0</v>
      </c>
      <c r="W114" t="inlineStr"/>
    </row>
    <row r="115">
      <c r="A115" t="inlineStr">
        <is>
          <t>Intro</t>
        </is>
      </c>
      <c r="B115" t="inlineStr">
        <is>
          <t>B17</t>
        </is>
      </c>
      <c r="C115" t="n">
        <v>17</v>
      </c>
      <c r="D115" t="n">
        <v>2</v>
      </c>
      <c r="E115" t="inlineStr">
        <is>
          <t>Input</t>
        </is>
      </c>
      <c r="H115" t="inlineStr"/>
      <c r="I115" t="inlineStr">
        <is>
          <t>General</t>
        </is>
      </c>
      <c r="J115" t="b">
        <v>0</v>
      </c>
      <c r="K115" t="b">
        <v>0</v>
      </c>
      <c r="L115" t="n">
        <v>11</v>
      </c>
      <c r="M115" t="inlineStr">
        <is>
          <t>Values must be of type &lt;class 'str'&gt;</t>
        </is>
      </c>
      <c r="N115" t="inlineStr">
        <is>
          <t>00000000</t>
        </is>
      </c>
      <c r="O115" t="n">
        <v/>
      </c>
      <c r="R115" t="b">
        <v>0</v>
      </c>
      <c r="V115" t="b">
        <v>0</v>
      </c>
      <c r="W115" t="inlineStr"/>
    </row>
    <row r="116">
      <c r="A116" t="inlineStr">
        <is>
          <t>Intro</t>
        </is>
      </c>
      <c r="B116" t="inlineStr">
        <is>
          <t>C17</t>
        </is>
      </c>
      <c r="C116" t="n">
        <v>17</v>
      </c>
      <c r="D116" t="n">
        <v>3</v>
      </c>
      <c r="E116" t="inlineStr">
        <is>
          <t>Input</t>
        </is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Values must be of type &lt;class 'str'&gt;</t>
        </is>
      </c>
      <c r="N116" t="inlineStr">
        <is>
          <t>00000000</t>
        </is>
      </c>
      <c r="O116" t="n">
        <v/>
      </c>
      <c r="R116" t="b">
        <v>0</v>
      </c>
      <c r="V116" t="b">
        <v>0</v>
      </c>
      <c r="W116" t="inlineStr"/>
    </row>
    <row r="117">
      <c r="A117" t="inlineStr">
        <is>
          <t>Intro</t>
        </is>
      </c>
      <c r="B117" t="inlineStr">
        <is>
          <t>D17</t>
        </is>
      </c>
      <c r="C117" t="n">
        <v>17</v>
      </c>
      <c r="D117" t="n">
        <v>4</v>
      </c>
      <c r="E117" t="inlineStr">
        <is>
          <t>Input</t>
        </is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Values must be of type &lt;class 'str'&gt;</t>
        </is>
      </c>
      <c r="N117" t="inlineStr">
        <is>
          <t>00000000</t>
        </is>
      </c>
      <c r="O117" t="n">
        <v/>
      </c>
      <c r="R117" t="b">
        <v>0</v>
      </c>
      <c r="V117" t="b">
        <v>0</v>
      </c>
      <c r="W117" t="inlineStr"/>
    </row>
    <row r="118">
      <c r="A118" t="inlineStr">
        <is>
          <t>Intro</t>
        </is>
      </c>
      <c r="B118" t="inlineStr">
        <is>
          <t>E17</t>
        </is>
      </c>
      <c r="C118" t="n">
        <v>17</v>
      </c>
      <c r="D118" t="n">
        <v>5</v>
      </c>
      <c r="E118" t="inlineStr">
        <is>
          <t>Input</t>
        </is>
      </c>
      <c r="H118" t="inlineStr"/>
      <c r="I118" t="inlineStr">
        <is>
          <t>General</t>
        </is>
      </c>
      <c r="J118" t="b">
        <v>0</v>
      </c>
      <c r="K118" t="b">
        <v>0</v>
      </c>
      <c r="L118" t="n">
        <v>11</v>
      </c>
      <c r="M118" t="inlineStr">
        <is>
          <t>Values must be of type &lt;class 'str'&gt;</t>
        </is>
      </c>
      <c r="N118" t="inlineStr">
        <is>
          <t>00000000</t>
        </is>
      </c>
      <c r="O118" t="inlineStr">
        <is>
          <t>center</t>
        </is>
      </c>
      <c r="R118" t="b">
        <v>0</v>
      </c>
      <c r="V118" t="b">
        <v>0</v>
      </c>
      <c r="W118" t="inlineStr"/>
    </row>
    <row r="119">
      <c r="A119" t="inlineStr">
        <is>
          <t>Intro</t>
        </is>
      </c>
      <c r="B119" t="inlineStr">
        <is>
          <t>F17</t>
        </is>
      </c>
      <c r="C119" t="n">
        <v>17</v>
      </c>
      <c r="D119" t="n">
        <v>6</v>
      </c>
      <c r="E119" t="inlineStr">
        <is>
          <t>Input</t>
        </is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Values must be of type &lt;class 'str'&gt;</t>
        </is>
      </c>
      <c r="N119" t="inlineStr">
        <is>
          <t>00000000</t>
        </is>
      </c>
      <c r="O119" t="n">
        <v/>
      </c>
      <c r="R119" t="b">
        <v>0</v>
      </c>
      <c r="V119" t="b">
        <v>0</v>
      </c>
      <c r="W119" t="inlineStr"/>
    </row>
    <row r="120">
      <c r="A120" t="inlineStr">
        <is>
          <t>Intro</t>
        </is>
      </c>
      <c r="B120" t="inlineStr">
        <is>
          <t>G17</t>
        </is>
      </c>
      <c r="C120" t="n">
        <v>17</v>
      </c>
      <c r="D120" t="n">
        <v>7</v>
      </c>
      <c r="E120" t="inlineStr">
        <is>
          <t>Input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Values must be of type &lt;class 'str'&gt;</t>
        </is>
      </c>
      <c r="N120" t="inlineStr">
        <is>
          <t>00000000</t>
        </is>
      </c>
      <c r="O120" t="n">
        <v/>
      </c>
      <c r="R120" t="b">
        <v>0</v>
      </c>
      <c r="V120" t="b">
        <v>0</v>
      </c>
      <c r="W120" t="inlineStr"/>
    </row>
    <row r="121">
      <c r="A121" t="inlineStr">
        <is>
          <t>Intro</t>
        </is>
      </c>
      <c r="B121" t="inlineStr">
        <is>
          <t>A18</t>
        </is>
      </c>
      <c r="C121" t="n">
        <v>18</v>
      </c>
      <c r="D121" t="n">
        <v>1</v>
      </c>
      <c r="E121" t="inlineStr">
        <is>
          <t>Input</t>
        </is>
      </c>
      <c r="H121" t="inlineStr"/>
      <c r="I121" t="inlineStr">
        <is>
          <t>General</t>
        </is>
      </c>
      <c r="J121" t="b">
        <v>0</v>
      </c>
      <c r="K121" t="b">
        <v>0</v>
      </c>
      <c r="L121" t="n">
        <v>11</v>
      </c>
      <c r="M121" t="inlineStr">
        <is>
          <t>Values must be of type &lt;class 'str'&gt;</t>
        </is>
      </c>
      <c r="N121" t="inlineStr">
        <is>
          <t>00000000</t>
        </is>
      </c>
      <c r="O121" t="n">
        <v/>
      </c>
      <c r="R121" t="b">
        <v>0</v>
      </c>
      <c r="V121" t="b">
        <v>0</v>
      </c>
      <c r="W121" t="inlineStr"/>
    </row>
    <row r="122">
      <c r="A122" t="inlineStr">
        <is>
          <t>Intro</t>
        </is>
      </c>
      <c r="B122" t="inlineStr">
        <is>
          <t>B18</t>
        </is>
      </c>
      <c r="C122" t="n">
        <v>18</v>
      </c>
      <c r="D122" t="n">
        <v>2</v>
      </c>
      <c r="E122" t="inlineStr">
        <is>
          <t>Input</t>
        </is>
      </c>
      <c r="H122" t="inlineStr"/>
      <c r="I122" t="inlineStr">
        <is>
          <t>General</t>
        </is>
      </c>
      <c r="J122" t="b">
        <v>0</v>
      </c>
      <c r="K122" t="b">
        <v>0</v>
      </c>
      <c r="L122" t="n">
        <v>11</v>
      </c>
      <c r="M122" t="inlineStr">
        <is>
          <t>Values must be of type &lt;class 'str'&gt;</t>
        </is>
      </c>
      <c r="N122" t="inlineStr">
        <is>
          <t>00000000</t>
        </is>
      </c>
      <c r="O122" t="n">
        <v/>
      </c>
      <c r="R122" t="b">
        <v>0</v>
      </c>
      <c r="V122" t="b">
        <v>0</v>
      </c>
      <c r="W122" t="inlineStr"/>
    </row>
    <row r="123">
      <c r="A123" t="inlineStr">
        <is>
          <t>Intro</t>
        </is>
      </c>
      <c r="B123" t="inlineStr">
        <is>
          <t>C18</t>
        </is>
      </c>
      <c r="C123" t="n">
        <v>18</v>
      </c>
      <c r="D123" t="n">
        <v>3</v>
      </c>
      <c r="E123" t="inlineStr">
        <is>
          <t>Input</t>
        </is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Values must be of type &lt;class 'str'&gt;</t>
        </is>
      </c>
      <c r="N123" t="inlineStr">
        <is>
          <t>00000000</t>
        </is>
      </c>
      <c r="O123" t="n">
        <v/>
      </c>
      <c r="R123" t="b">
        <v>0</v>
      </c>
      <c r="V123" t="b">
        <v>0</v>
      </c>
      <c r="W123" t="inlineStr"/>
    </row>
    <row r="124">
      <c r="A124" t="inlineStr">
        <is>
          <t>Intro</t>
        </is>
      </c>
      <c r="B124" t="inlineStr">
        <is>
          <t>D18</t>
        </is>
      </c>
      <c r="C124" t="n">
        <v>18</v>
      </c>
      <c r="D124" t="n">
        <v>4</v>
      </c>
      <c r="E124" t="inlineStr">
        <is>
          <t>Input</t>
        </is>
      </c>
      <c r="H124" t="inlineStr"/>
      <c r="I124" t="inlineStr">
        <is>
          <t>General</t>
        </is>
      </c>
      <c r="J124" t="b">
        <v>0</v>
      </c>
      <c r="K124" t="b">
        <v>0</v>
      </c>
      <c r="L124" t="n">
        <v>11</v>
      </c>
      <c r="M124" t="inlineStr">
        <is>
          <t>Values must be of type &lt;class 'str'&gt;</t>
        </is>
      </c>
      <c r="N124" t="inlineStr">
        <is>
          <t>00000000</t>
        </is>
      </c>
      <c r="O124" t="n">
        <v/>
      </c>
      <c r="R124" t="b">
        <v>0</v>
      </c>
      <c r="V124" t="b">
        <v>0</v>
      </c>
      <c r="W124" t="inlineStr"/>
    </row>
    <row r="125">
      <c r="A125" t="inlineStr">
        <is>
          <t>Intro</t>
        </is>
      </c>
      <c r="B125" t="inlineStr">
        <is>
          <t>E18</t>
        </is>
      </c>
      <c r="C125" t="n">
        <v>18</v>
      </c>
      <c r="D125" t="n">
        <v>5</v>
      </c>
      <c r="E125" t="inlineStr">
        <is>
          <t>Input</t>
        </is>
      </c>
      <c r="G125" t="inlineStr">
        <is>
          <t>IMS Proschool Pvt Ltd,</t>
        </is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9</v>
      </c>
      <c r="M125" t="inlineStr">
        <is>
          <t>FF444444</t>
        </is>
      </c>
      <c r="N125" t="inlineStr">
        <is>
          <t>00000000</t>
        </is>
      </c>
      <c r="O125" t="inlineStr">
        <is>
          <t>center</t>
        </is>
      </c>
      <c r="R125" t="b">
        <v>1</v>
      </c>
      <c r="V125" t="b">
        <v>0</v>
      </c>
      <c r="W125" t="inlineStr"/>
    </row>
    <row r="126">
      <c r="A126" t="inlineStr">
        <is>
          <t>Intro</t>
        </is>
      </c>
      <c r="B126" t="inlineStr">
        <is>
          <t>F18</t>
        </is>
      </c>
      <c r="C126" t="n">
        <v>18</v>
      </c>
      <c r="D126" t="n">
        <v>6</v>
      </c>
      <c r="E126" t="inlineStr">
        <is>
          <t>Input</t>
        </is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Values must be of type &lt;class 'str'&gt;</t>
        </is>
      </c>
      <c r="N126" t="inlineStr">
        <is>
          <t>00000000</t>
        </is>
      </c>
      <c r="O126" t="n">
        <v/>
      </c>
      <c r="R126" t="b">
        <v>0</v>
      </c>
      <c r="V126" t="b">
        <v>0</v>
      </c>
      <c r="W126" t="inlineStr"/>
    </row>
    <row r="127">
      <c r="A127" t="inlineStr">
        <is>
          <t>Intro</t>
        </is>
      </c>
      <c r="B127" t="inlineStr">
        <is>
          <t>G18</t>
        </is>
      </c>
      <c r="C127" t="n">
        <v>18</v>
      </c>
      <c r="D127" t="n">
        <v>7</v>
      </c>
      <c r="E127" t="inlineStr">
        <is>
          <t>Input</t>
        </is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Values must be of type &lt;class 'str'&gt;</t>
        </is>
      </c>
      <c r="N127" t="inlineStr">
        <is>
          <t>00000000</t>
        </is>
      </c>
      <c r="O127" t="n">
        <v/>
      </c>
      <c r="R127" t="b">
        <v>0</v>
      </c>
      <c r="V127" t="b">
        <v>0</v>
      </c>
      <c r="W127" t="inlineStr"/>
    </row>
    <row r="128">
      <c r="A128" t="inlineStr">
        <is>
          <t>Intro</t>
        </is>
      </c>
      <c r="B128" t="inlineStr">
        <is>
          <t>A19</t>
        </is>
      </c>
      <c r="C128" t="n">
        <v>19</v>
      </c>
      <c r="D128" t="n">
        <v>1</v>
      </c>
      <c r="E128" t="inlineStr">
        <is>
          <t>Input</t>
        </is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Values must be of type &lt;class 'str'&gt;</t>
        </is>
      </c>
      <c r="N128" t="inlineStr">
        <is>
          <t>00000000</t>
        </is>
      </c>
      <c r="O128" t="n">
        <v/>
      </c>
      <c r="R128" t="b">
        <v>0</v>
      </c>
      <c r="V128" t="b">
        <v>0</v>
      </c>
      <c r="W128" t="inlineStr"/>
    </row>
    <row r="129">
      <c r="A129" t="inlineStr">
        <is>
          <t>Intro</t>
        </is>
      </c>
      <c r="B129" t="inlineStr">
        <is>
          <t>B19</t>
        </is>
      </c>
      <c r="C129" t="n">
        <v>19</v>
      </c>
      <c r="D129" t="n">
        <v>2</v>
      </c>
      <c r="E129" t="inlineStr">
        <is>
          <t>Input</t>
        </is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Values must be of type &lt;class 'str'&gt;</t>
        </is>
      </c>
      <c r="N129" t="inlineStr">
        <is>
          <t>00000000</t>
        </is>
      </c>
      <c r="O129" t="n">
        <v/>
      </c>
      <c r="R129" t="b">
        <v>0</v>
      </c>
      <c r="V129" t="b">
        <v>0</v>
      </c>
      <c r="W129" t="inlineStr"/>
    </row>
    <row r="130">
      <c r="A130" t="inlineStr">
        <is>
          <t>Intro</t>
        </is>
      </c>
      <c r="B130" t="inlineStr">
        <is>
          <t>C19</t>
        </is>
      </c>
      <c r="C130" t="n">
        <v>19</v>
      </c>
      <c r="D130" t="n">
        <v>3</v>
      </c>
      <c r="E130" t="inlineStr">
        <is>
          <t>Input</t>
        </is>
      </c>
      <c r="H130" t="inlineStr"/>
      <c r="I130" t="inlineStr">
        <is>
          <t>General</t>
        </is>
      </c>
      <c r="J130" t="b">
        <v>0</v>
      </c>
      <c r="K130" t="b">
        <v>0</v>
      </c>
      <c r="L130" t="n">
        <v>11</v>
      </c>
      <c r="M130" t="inlineStr">
        <is>
          <t>Values must be of type &lt;class 'str'&gt;</t>
        </is>
      </c>
      <c r="N130" t="inlineStr">
        <is>
          <t>00000000</t>
        </is>
      </c>
      <c r="O130" t="n">
        <v/>
      </c>
      <c r="R130" t="b">
        <v>0</v>
      </c>
      <c r="V130" t="b">
        <v>0</v>
      </c>
      <c r="W130" t="inlineStr"/>
    </row>
    <row r="131">
      <c r="A131" t="inlineStr">
        <is>
          <t>Intro</t>
        </is>
      </c>
      <c r="B131" t="inlineStr">
        <is>
          <t>D19</t>
        </is>
      </c>
      <c r="C131" t="n">
        <v>19</v>
      </c>
      <c r="D131" t="n">
        <v>4</v>
      </c>
      <c r="E131" t="inlineStr">
        <is>
          <t>Input</t>
        </is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Values must be of type &lt;class 'str'&gt;</t>
        </is>
      </c>
      <c r="N131" t="inlineStr">
        <is>
          <t>00000000</t>
        </is>
      </c>
      <c r="O131" t="n">
        <v/>
      </c>
      <c r="R131" t="b">
        <v>0</v>
      </c>
      <c r="V131" t="b">
        <v>0</v>
      </c>
      <c r="W131" t="inlineStr"/>
    </row>
    <row r="132">
      <c r="A132" t="inlineStr">
        <is>
          <t>Intro</t>
        </is>
      </c>
      <c r="B132" t="inlineStr">
        <is>
          <t>E19</t>
        </is>
      </c>
      <c r="C132" t="n">
        <v>19</v>
      </c>
      <c r="D132" t="n">
        <v>5</v>
      </c>
      <c r="E132" t="inlineStr">
        <is>
          <t>Input</t>
        </is>
      </c>
      <c r="G132" t="inlineStr">
        <is>
          <t>Maharashtra High School Complex,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9</v>
      </c>
      <c r="M132" t="inlineStr">
        <is>
          <t>FF444444</t>
        </is>
      </c>
      <c r="N132" t="inlineStr">
        <is>
          <t>00000000</t>
        </is>
      </c>
      <c r="O132" t="inlineStr">
        <is>
          <t>center</t>
        </is>
      </c>
      <c r="R132" t="b">
        <v>1</v>
      </c>
      <c r="V132" t="b">
        <v>0</v>
      </c>
      <c r="W132" t="inlineStr"/>
    </row>
    <row r="133">
      <c r="A133" t="inlineStr">
        <is>
          <t>Intro</t>
        </is>
      </c>
      <c r="B133" t="inlineStr">
        <is>
          <t>F19</t>
        </is>
      </c>
      <c r="C133" t="n">
        <v>19</v>
      </c>
      <c r="D133" t="n">
        <v>6</v>
      </c>
      <c r="E133" t="inlineStr">
        <is>
          <t>Input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Values must be of type &lt;class 'str'&gt;</t>
        </is>
      </c>
      <c r="N133" t="inlineStr">
        <is>
          <t>00000000</t>
        </is>
      </c>
      <c r="O133" t="n">
        <v/>
      </c>
      <c r="R133" t="b">
        <v>0</v>
      </c>
      <c r="V133" t="b">
        <v>0</v>
      </c>
      <c r="W133" t="inlineStr"/>
    </row>
    <row r="134">
      <c r="A134" t="inlineStr">
        <is>
          <t>Intro</t>
        </is>
      </c>
      <c r="B134" t="inlineStr">
        <is>
          <t>G19</t>
        </is>
      </c>
      <c r="C134" t="n">
        <v>19</v>
      </c>
      <c r="D134" t="n">
        <v>7</v>
      </c>
      <c r="E134" t="inlineStr">
        <is>
          <t>Input</t>
        </is>
      </c>
      <c r="H134" t="inlineStr"/>
      <c r="I134" t="inlineStr">
        <is>
          <t>General</t>
        </is>
      </c>
      <c r="J134" t="b">
        <v>0</v>
      </c>
      <c r="K134" t="b">
        <v>0</v>
      </c>
      <c r="L134" t="n">
        <v>11</v>
      </c>
      <c r="M134" t="inlineStr">
        <is>
          <t>Values must be of type &lt;class 'str'&gt;</t>
        </is>
      </c>
      <c r="N134" t="inlineStr">
        <is>
          <t>00000000</t>
        </is>
      </c>
      <c r="O134" t="n">
        <v/>
      </c>
      <c r="R134" t="b">
        <v>0</v>
      </c>
      <c r="V134" t="b">
        <v>0</v>
      </c>
      <c r="W134" t="inlineStr"/>
    </row>
    <row r="135">
      <c r="A135" t="inlineStr">
        <is>
          <t>Intro</t>
        </is>
      </c>
      <c r="B135" t="inlineStr">
        <is>
          <t>A20</t>
        </is>
      </c>
      <c r="C135" t="n">
        <v>20</v>
      </c>
      <c r="D135" t="n">
        <v>1</v>
      </c>
      <c r="E135" t="inlineStr">
        <is>
          <t>Input</t>
        </is>
      </c>
      <c r="H135" t="inlineStr"/>
      <c r="I135" t="inlineStr">
        <is>
          <t>General</t>
        </is>
      </c>
      <c r="J135" t="b">
        <v>0</v>
      </c>
      <c r="K135" t="b">
        <v>0</v>
      </c>
      <c r="L135" t="n">
        <v>11</v>
      </c>
      <c r="M135" t="inlineStr">
        <is>
          <t>Values must be of type &lt;class 'str'&gt;</t>
        </is>
      </c>
      <c r="N135" t="inlineStr">
        <is>
          <t>00000000</t>
        </is>
      </c>
      <c r="O135" t="n">
        <v/>
      </c>
      <c r="R135" t="b">
        <v>0</v>
      </c>
      <c r="V135" t="b">
        <v>0</v>
      </c>
      <c r="W135" t="inlineStr"/>
    </row>
    <row r="136">
      <c r="A136" t="inlineStr">
        <is>
          <t>Intro</t>
        </is>
      </c>
      <c r="B136" t="inlineStr">
        <is>
          <t>B20</t>
        </is>
      </c>
      <c r="C136" t="n">
        <v>20</v>
      </c>
      <c r="D136" t="n">
        <v>2</v>
      </c>
      <c r="E136" t="inlineStr">
        <is>
          <t>Input</t>
        </is>
      </c>
      <c r="H136" t="inlineStr"/>
      <c r="I136" t="inlineStr">
        <is>
          <t>General</t>
        </is>
      </c>
      <c r="J136" t="b">
        <v>0</v>
      </c>
      <c r="K136" t="b">
        <v>0</v>
      </c>
      <c r="L136" t="n">
        <v>11</v>
      </c>
      <c r="M136" t="inlineStr">
        <is>
          <t>Values must be of type &lt;class 'str'&gt;</t>
        </is>
      </c>
      <c r="N136" t="inlineStr">
        <is>
          <t>00000000</t>
        </is>
      </c>
      <c r="O136" t="n">
        <v/>
      </c>
      <c r="R136" t="b">
        <v>0</v>
      </c>
      <c r="V136" t="b">
        <v>0</v>
      </c>
      <c r="W136" t="inlineStr"/>
    </row>
    <row r="137">
      <c r="A137" t="inlineStr">
        <is>
          <t>Intro</t>
        </is>
      </c>
      <c r="B137" t="inlineStr">
        <is>
          <t>C20</t>
        </is>
      </c>
      <c r="C137" t="n">
        <v>20</v>
      </c>
      <c r="D137" t="n">
        <v>3</v>
      </c>
      <c r="E137" t="inlineStr">
        <is>
          <t>Input</t>
        </is>
      </c>
      <c r="H137" t="inlineStr"/>
      <c r="I137" t="inlineStr">
        <is>
          <t>General</t>
        </is>
      </c>
      <c r="J137" t="b">
        <v>0</v>
      </c>
      <c r="K137" t="b">
        <v>0</v>
      </c>
      <c r="L137" t="n">
        <v>11</v>
      </c>
      <c r="M137" t="inlineStr">
        <is>
          <t>Values must be of type &lt;class 'str'&gt;</t>
        </is>
      </c>
      <c r="N137" t="inlineStr">
        <is>
          <t>00000000</t>
        </is>
      </c>
      <c r="O137" t="n">
        <v/>
      </c>
      <c r="R137" t="b">
        <v>0</v>
      </c>
      <c r="V137" t="b">
        <v>0</v>
      </c>
      <c r="W137" t="inlineStr"/>
    </row>
    <row r="138">
      <c r="A138" t="inlineStr">
        <is>
          <t>Intro</t>
        </is>
      </c>
      <c r="B138" t="inlineStr">
        <is>
          <t>D20</t>
        </is>
      </c>
      <c r="C138" t="n">
        <v>20</v>
      </c>
      <c r="D138" t="n">
        <v>4</v>
      </c>
      <c r="E138" t="inlineStr">
        <is>
          <t>Input</t>
        </is>
      </c>
      <c r="H138" t="inlineStr"/>
      <c r="I138" t="inlineStr">
        <is>
          <t>General</t>
        </is>
      </c>
      <c r="J138" t="b">
        <v>0</v>
      </c>
      <c r="K138" t="b">
        <v>0</v>
      </c>
      <c r="L138" t="n">
        <v>11</v>
      </c>
      <c r="M138" t="inlineStr">
        <is>
          <t>Values must be of type &lt;class 'str'&gt;</t>
        </is>
      </c>
      <c r="N138" t="inlineStr">
        <is>
          <t>00000000</t>
        </is>
      </c>
      <c r="O138" t="n">
        <v/>
      </c>
      <c r="R138" t="b">
        <v>0</v>
      </c>
      <c r="V138" t="b">
        <v>0</v>
      </c>
      <c r="W138" t="inlineStr"/>
    </row>
    <row r="139">
      <c r="A139" t="inlineStr">
        <is>
          <t>Intro</t>
        </is>
      </c>
      <c r="B139" t="inlineStr">
        <is>
          <t>E20</t>
        </is>
      </c>
      <c r="C139" t="n">
        <v>20</v>
      </c>
      <c r="D139" t="n">
        <v>5</v>
      </c>
      <c r="E139" t="inlineStr">
        <is>
          <t>Input</t>
        </is>
      </c>
      <c r="G139" t="inlineStr">
        <is>
          <t>Principal N.M Kale Marg, Off Gokhale Rd,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9</v>
      </c>
      <c r="M139" t="inlineStr">
        <is>
          <t>FF444444</t>
        </is>
      </c>
      <c r="N139" t="inlineStr">
        <is>
          <t>00000000</t>
        </is>
      </c>
      <c r="O139" t="inlineStr">
        <is>
          <t>center</t>
        </is>
      </c>
      <c r="R139" t="b">
        <v>1</v>
      </c>
      <c r="V139" t="b">
        <v>0</v>
      </c>
      <c r="W139" t="inlineStr"/>
    </row>
    <row r="140">
      <c r="A140" t="inlineStr">
        <is>
          <t>Intro</t>
        </is>
      </c>
      <c r="B140" t="inlineStr">
        <is>
          <t>F20</t>
        </is>
      </c>
      <c r="C140" t="n">
        <v>20</v>
      </c>
      <c r="D140" t="n">
        <v>6</v>
      </c>
      <c r="E140" t="inlineStr">
        <is>
          <t>Input</t>
        </is>
      </c>
      <c r="H140" t="inlineStr"/>
      <c r="I140" t="inlineStr">
        <is>
          <t>General</t>
        </is>
      </c>
      <c r="J140" t="b">
        <v>0</v>
      </c>
      <c r="K140" t="b">
        <v>0</v>
      </c>
      <c r="L140" t="n">
        <v>11</v>
      </c>
      <c r="M140" t="inlineStr">
        <is>
          <t>Values must be of type &lt;class 'str'&gt;</t>
        </is>
      </c>
      <c r="N140" t="inlineStr">
        <is>
          <t>00000000</t>
        </is>
      </c>
      <c r="O140" t="n">
        <v/>
      </c>
      <c r="R140" t="b">
        <v>0</v>
      </c>
      <c r="V140" t="b">
        <v>0</v>
      </c>
      <c r="W140" t="inlineStr"/>
    </row>
    <row r="141">
      <c r="A141" t="inlineStr">
        <is>
          <t>Intro</t>
        </is>
      </c>
      <c r="B141" t="inlineStr">
        <is>
          <t>G20</t>
        </is>
      </c>
      <c r="C141" t="n">
        <v>20</v>
      </c>
      <c r="D141" t="n">
        <v>7</v>
      </c>
      <c r="E141" t="inlineStr">
        <is>
          <t>Input</t>
        </is>
      </c>
      <c r="H141" t="inlineStr"/>
      <c r="I141" t="inlineStr">
        <is>
          <t>General</t>
        </is>
      </c>
      <c r="J141" t="b">
        <v>0</v>
      </c>
      <c r="K141" t="b">
        <v>0</v>
      </c>
      <c r="L141" t="n">
        <v>11</v>
      </c>
      <c r="M141" t="inlineStr">
        <is>
          <t>Values must be of type &lt;class 'str'&gt;</t>
        </is>
      </c>
      <c r="N141" t="inlineStr">
        <is>
          <t>00000000</t>
        </is>
      </c>
      <c r="O141" t="n">
        <v/>
      </c>
      <c r="R141" t="b">
        <v>0</v>
      </c>
      <c r="V141" t="b">
        <v>0</v>
      </c>
      <c r="W141" t="inlineStr"/>
    </row>
    <row r="142">
      <c r="A142" t="inlineStr">
        <is>
          <t>Intro</t>
        </is>
      </c>
      <c r="B142" t="inlineStr">
        <is>
          <t>A21</t>
        </is>
      </c>
      <c r="C142" t="n">
        <v>21</v>
      </c>
      <c r="D142" t="n">
        <v>1</v>
      </c>
      <c r="E142" t="inlineStr">
        <is>
          <t>Input</t>
        </is>
      </c>
      <c r="H142" t="inlineStr"/>
      <c r="I142" t="inlineStr">
        <is>
          <t>General</t>
        </is>
      </c>
      <c r="J142" t="b">
        <v>0</v>
      </c>
      <c r="K142" t="b">
        <v>0</v>
      </c>
      <c r="L142" t="n">
        <v>11</v>
      </c>
      <c r="M142" t="inlineStr">
        <is>
          <t>Values must be of type &lt;class 'str'&gt;</t>
        </is>
      </c>
      <c r="N142" t="inlineStr">
        <is>
          <t>00000000</t>
        </is>
      </c>
      <c r="O142" t="n">
        <v/>
      </c>
      <c r="R142" t="b">
        <v>0</v>
      </c>
      <c r="V142" t="b">
        <v>0</v>
      </c>
      <c r="W142" t="inlineStr"/>
    </row>
    <row r="143">
      <c r="A143" t="inlineStr">
        <is>
          <t>Intro</t>
        </is>
      </c>
      <c r="B143" t="inlineStr">
        <is>
          <t>B21</t>
        </is>
      </c>
      <c r="C143" t="n">
        <v>21</v>
      </c>
      <c r="D143" t="n">
        <v>2</v>
      </c>
      <c r="E143" t="inlineStr">
        <is>
          <t>Input</t>
        </is>
      </c>
      <c r="H143" t="inlineStr"/>
      <c r="I143" t="inlineStr">
        <is>
          <t>General</t>
        </is>
      </c>
      <c r="J143" t="b">
        <v>0</v>
      </c>
      <c r="K143" t="b">
        <v>0</v>
      </c>
      <c r="L143" t="n">
        <v>11</v>
      </c>
      <c r="M143" t="inlineStr">
        <is>
          <t>Values must be of type &lt;class 'str'&gt;</t>
        </is>
      </c>
      <c r="N143" t="inlineStr">
        <is>
          <t>00000000</t>
        </is>
      </c>
      <c r="O143" t="n">
        <v/>
      </c>
      <c r="R143" t="b">
        <v>0</v>
      </c>
      <c r="V143" t="b">
        <v>0</v>
      </c>
      <c r="W143" t="inlineStr"/>
    </row>
    <row r="144">
      <c r="A144" t="inlineStr">
        <is>
          <t>Intro</t>
        </is>
      </c>
      <c r="B144" t="inlineStr">
        <is>
          <t>C21</t>
        </is>
      </c>
      <c r="C144" t="n">
        <v>21</v>
      </c>
      <c r="D144" t="n">
        <v>3</v>
      </c>
      <c r="E144" t="inlineStr">
        <is>
          <t>Input</t>
        </is>
      </c>
      <c r="H144" t="inlineStr"/>
      <c r="I144" t="inlineStr">
        <is>
          <t>General</t>
        </is>
      </c>
      <c r="J144" t="b">
        <v>0</v>
      </c>
      <c r="K144" t="b">
        <v>0</v>
      </c>
      <c r="L144" t="n">
        <v>11</v>
      </c>
      <c r="M144" t="inlineStr">
        <is>
          <t>Values must be of type &lt;class 'str'&gt;</t>
        </is>
      </c>
      <c r="N144" t="inlineStr">
        <is>
          <t>00000000</t>
        </is>
      </c>
      <c r="O144" t="n">
        <v/>
      </c>
      <c r="R144" t="b">
        <v>0</v>
      </c>
      <c r="V144" t="b">
        <v>0</v>
      </c>
      <c r="W144" t="inlineStr"/>
    </row>
    <row r="145">
      <c r="A145" t="inlineStr">
        <is>
          <t>Intro</t>
        </is>
      </c>
      <c r="B145" t="inlineStr">
        <is>
          <t>D21</t>
        </is>
      </c>
      <c r="C145" t="n">
        <v>21</v>
      </c>
      <c r="D145" t="n">
        <v>4</v>
      </c>
      <c r="E145" t="inlineStr">
        <is>
          <t>Input</t>
        </is>
      </c>
      <c r="H145" t="inlineStr"/>
      <c r="I145" t="inlineStr">
        <is>
          <t>General</t>
        </is>
      </c>
      <c r="J145" t="b">
        <v>0</v>
      </c>
      <c r="K145" t="b">
        <v>0</v>
      </c>
      <c r="L145" t="n">
        <v>11</v>
      </c>
      <c r="M145" t="inlineStr">
        <is>
          <t>Values must be of type &lt;class 'str'&gt;</t>
        </is>
      </c>
      <c r="N145" t="inlineStr">
        <is>
          <t>00000000</t>
        </is>
      </c>
      <c r="O145" t="n">
        <v/>
      </c>
      <c r="R145" t="b">
        <v>0</v>
      </c>
      <c r="V145" t="b">
        <v>0</v>
      </c>
      <c r="W145" t="inlineStr"/>
    </row>
    <row r="146">
      <c r="A146" t="inlineStr">
        <is>
          <t>Intro</t>
        </is>
      </c>
      <c r="B146" t="inlineStr">
        <is>
          <t>E21</t>
        </is>
      </c>
      <c r="C146" t="n">
        <v>21</v>
      </c>
      <c r="D146" t="n">
        <v>5</v>
      </c>
      <c r="E146" t="inlineStr">
        <is>
          <t>Input</t>
        </is>
      </c>
      <c r="G146" t="inlineStr">
        <is>
          <t>Dadar (W), Mumbai 400028</t>
        </is>
      </c>
      <c r="H146" t="inlineStr"/>
      <c r="I146" t="inlineStr">
        <is>
          <t>General</t>
        </is>
      </c>
      <c r="J146" t="b">
        <v>0</v>
      </c>
      <c r="K146" t="b">
        <v>0</v>
      </c>
      <c r="L146" t="n">
        <v>9</v>
      </c>
      <c r="M146" t="inlineStr">
        <is>
          <t>FF444444</t>
        </is>
      </c>
      <c r="N146" t="inlineStr">
        <is>
          <t>00000000</t>
        </is>
      </c>
      <c r="O146" t="inlineStr">
        <is>
          <t>center</t>
        </is>
      </c>
      <c r="R146" t="b">
        <v>1</v>
      </c>
      <c r="V146" t="b">
        <v>0</v>
      </c>
      <c r="W146" t="inlineStr"/>
    </row>
    <row r="147">
      <c r="A147" t="inlineStr">
        <is>
          <t>Intro</t>
        </is>
      </c>
      <c r="B147" t="inlineStr">
        <is>
          <t>F21</t>
        </is>
      </c>
      <c r="C147" t="n">
        <v>21</v>
      </c>
      <c r="D147" t="n">
        <v>6</v>
      </c>
      <c r="E147" t="inlineStr">
        <is>
          <t>Input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Values must be of type &lt;class 'str'&gt;</t>
        </is>
      </c>
      <c r="N147" t="inlineStr">
        <is>
          <t>00000000</t>
        </is>
      </c>
      <c r="O147" t="n">
        <v/>
      </c>
      <c r="R147" t="b">
        <v>0</v>
      </c>
      <c r="V147" t="b">
        <v>0</v>
      </c>
      <c r="W147" t="inlineStr"/>
    </row>
    <row r="148">
      <c r="A148" t="inlineStr">
        <is>
          <t>Intro</t>
        </is>
      </c>
      <c r="B148" t="inlineStr">
        <is>
          <t>G21</t>
        </is>
      </c>
      <c r="C148" t="n">
        <v>21</v>
      </c>
      <c r="D148" t="n">
        <v>7</v>
      </c>
      <c r="E148" t="inlineStr">
        <is>
          <t>Input</t>
        </is>
      </c>
      <c r="H148" t="inlineStr"/>
      <c r="I148" t="inlineStr">
        <is>
          <t>General</t>
        </is>
      </c>
      <c r="J148" t="b">
        <v>0</v>
      </c>
      <c r="K148" t="b">
        <v>0</v>
      </c>
      <c r="L148" t="n">
        <v>11</v>
      </c>
      <c r="M148" t="inlineStr">
        <is>
          <t>Values must be of type &lt;class 'str'&gt;</t>
        </is>
      </c>
      <c r="N148" t="inlineStr">
        <is>
          <t>00000000</t>
        </is>
      </c>
      <c r="O148" t="n">
        <v/>
      </c>
      <c r="R148" t="b">
        <v>0</v>
      </c>
      <c r="V148" t="b">
        <v>0</v>
      </c>
      <c r="W148" t="inlineStr"/>
    </row>
    <row r="149">
      <c r="A149" t="inlineStr">
        <is>
          <t>Intro</t>
        </is>
      </c>
      <c r="B149" t="inlineStr">
        <is>
          <t>A22</t>
        </is>
      </c>
      <c r="C149" t="n">
        <v>22</v>
      </c>
      <c r="D149" t="n">
        <v>1</v>
      </c>
      <c r="E149" t="inlineStr">
        <is>
          <t>Input</t>
        </is>
      </c>
      <c r="H149" t="inlineStr"/>
      <c r="I149" t="inlineStr">
        <is>
          <t>General</t>
        </is>
      </c>
      <c r="J149" t="b">
        <v>0</v>
      </c>
      <c r="K149" t="b">
        <v>0</v>
      </c>
      <c r="L149" t="n">
        <v>11</v>
      </c>
      <c r="M149" t="inlineStr">
        <is>
          <t>Values must be of type &lt;class 'str'&gt;</t>
        </is>
      </c>
      <c r="N149" t="inlineStr">
        <is>
          <t>00000000</t>
        </is>
      </c>
      <c r="O149" t="n">
        <v/>
      </c>
      <c r="R149" t="b">
        <v>0</v>
      </c>
      <c r="V149" t="b">
        <v>0</v>
      </c>
      <c r="W149" t="inlineStr"/>
    </row>
    <row r="150">
      <c r="A150" t="inlineStr">
        <is>
          <t>Intro</t>
        </is>
      </c>
      <c r="B150" t="inlineStr">
        <is>
          <t>B22</t>
        </is>
      </c>
      <c r="C150" t="n">
        <v>22</v>
      </c>
      <c r="D150" t="n">
        <v>2</v>
      </c>
      <c r="E150" t="inlineStr">
        <is>
          <t>Input</t>
        </is>
      </c>
      <c r="H150" t="inlineStr"/>
      <c r="I150" t="inlineStr">
        <is>
          <t>General</t>
        </is>
      </c>
      <c r="J150" t="b">
        <v>0</v>
      </c>
      <c r="K150" t="b">
        <v>0</v>
      </c>
      <c r="L150" t="n">
        <v>11</v>
      </c>
      <c r="M150" t="inlineStr">
        <is>
          <t>Values must be of type &lt;class 'str'&gt;</t>
        </is>
      </c>
      <c r="N150" t="inlineStr">
        <is>
          <t>00000000</t>
        </is>
      </c>
      <c r="O150" t="n">
        <v/>
      </c>
      <c r="R150" t="b">
        <v>0</v>
      </c>
      <c r="V150" t="b">
        <v>0</v>
      </c>
      <c r="W150" t="inlineStr"/>
    </row>
    <row r="151">
      <c r="A151" t="inlineStr">
        <is>
          <t>Intro</t>
        </is>
      </c>
      <c r="B151" t="inlineStr">
        <is>
          <t>C22</t>
        </is>
      </c>
      <c r="C151" t="n">
        <v>22</v>
      </c>
      <c r="D151" t="n">
        <v>3</v>
      </c>
      <c r="E151" t="inlineStr">
        <is>
          <t>Input</t>
        </is>
      </c>
      <c r="H151" t="inlineStr"/>
      <c r="I151" t="inlineStr">
        <is>
          <t>General</t>
        </is>
      </c>
      <c r="J151" t="b">
        <v>0</v>
      </c>
      <c r="K151" t="b">
        <v>0</v>
      </c>
      <c r="L151" t="n">
        <v>11</v>
      </c>
      <c r="M151" t="inlineStr">
        <is>
          <t>Values must be of type &lt;class 'str'&gt;</t>
        </is>
      </c>
      <c r="N151" t="inlineStr">
        <is>
          <t>00000000</t>
        </is>
      </c>
      <c r="O151" t="n">
        <v/>
      </c>
      <c r="R151" t="b">
        <v>0</v>
      </c>
      <c r="V151" t="b">
        <v>0</v>
      </c>
      <c r="W151" t="inlineStr"/>
    </row>
    <row r="152">
      <c r="A152" t="inlineStr">
        <is>
          <t>Intro</t>
        </is>
      </c>
      <c r="B152" t="inlineStr">
        <is>
          <t>D22</t>
        </is>
      </c>
      <c r="C152" t="n">
        <v>22</v>
      </c>
      <c r="D152" t="n">
        <v>4</v>
      </c>
      <c r="E152" t="inlineStr">
        <is>
          <t>Input</t>
        </is>
      </c>
      <c r="H152" t="inlineStr"/>
      <c r="I152" t="inlineStr">
        <is>
          <t>General</t>
        </is>
      </c>
      <c r="J152" t="b">
        <v>0</v>
      </c>
      <c r="K152" t="b">
        <v>0</v>
      </c>
      <c r="L152" t="n">
        <v>11</v>
      </c>
      <c r="M152" t="inlineStr">
        <is>
          <t>Values must be of type &lt;class 'str'&gt;</t>
        </is>
      </c>
      <c r="N152" t="inlineStr">
        <is>
          <t>00000000</t>
        </is>
      </c>
      <c r="O152" t="n">
        <v/>
      </c>
      <c r="R152" t="b">
        <v>0</v>
      </c>
      <c r="V152" t="b">
        <v>0</v>
      </c>
      <c r="W152" t="inlineStr"/>
    </row>
    <row r="153">
      <c r="A153" t="inlineStr">
        <is>
          <t>Intro</t>
        </is>
      </c>
      <c r="B153" t="inlineStr">
        <is>
          <t>E22</t>
        </is>
      </c>
      <c r="C153" t="n">
        <v>22</v>
      </c>
      <c r="D153" t="n">
        <v>5</v>
      </c>
      <c r="E153" t="inlineStr">
        <is>
          <t>Input</t>
        </is>
      </c>
      <c r="G153" t="inlineStr">
        <is>
          <t>Tel. No. : 022-65285393/94</t>
        </is>
      </c>
      <c r="H153" t="inlineStr"/>
      <c r="I153" t="inlineStr">
        <is>
          <t>General</t>
        </is>
      </c>
      <c r="J153" t="b">
        <v>1</v>
      </c>
      <c r="K153" t="b">
        <v>0</v>
      </c>
      <c r="L153" t="n">
        <v>9</v>
      </c>
      <c r="M153" t="inlineStr">
        <is>
          <t>FF444444</t>
        </is>
      </c>
      <c r="N153" t="inlineStr">
        <is>
          <t>00000000</t>
        </is>
      </c>
      <c r="O153" t="inlineStr">
        <is>
          <t>center</t>
        </is>
      </c>
      <c r="R153" t="b">
        <v>1</v>
      </c>
      <c r="V153" t="b">
        <v>0</v>
      </c>
      <c r="W153" t="inlineStr"/>
    </row>
    <row r="154">
      <c r="A154" t="inlineStr">
        <is>
          <t>Intro</t>
        </is>
      </c>
      <c r="B154" t="inlineStr">
        <is>
          <t>F22</t>
        </is>
      </c>
      <c r="C154" t="n">
        <v>22</v>
      </c>
      <c r="D154" t="n">
        <v>6</v>
      </c>
      <c r="E154" t="inlineStr">
        <is>
          <t>Input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Values must be of type &lt;class 'str'&gt;</t>
        </is>
      </c>
      <c r="N154" t="inlineStr">
        <is>
          <t>00000000</t>
        </is>
      </c>
      <c r="O154" t="n">
        <v/>
      </c>
      <c r="R154" t="b">
        <v>0</v>
      </c>
      <c r="V154" t="b">
        <v>0</v>
      </c>
      <c r="W154" t="inlineStr"/>
    </row>
    <row r="155">
      <c r="A155" t="inlineStr">
        <is>
          <t>Intro</t>
        </is>
      </c>
      <c r="B155" t="inlineStr">
        <is>
          <t>G22</t>
        </is>
      </c>
      <c r="C155" t="n">
        <v>22</v>
      </c>
      <c r="D155" t="n">
        <v>7</v>
      </c>
      <c r="E155" t="inlineStr">
        <is>
          <t>Input</t>
        </is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Values must be of type &lt;class 'str'&gt;</t>
        </is>
      </c>
      <c r="N155" t="inlineStr">
        <is>
          <t>00000000</t>
        </is>
      </c>
      <c r="O155" t="n">
        <v/>
      </c>
      <c r="R155" t="b">
        <v>0</v>
      </c>
      <c r="V155" t="b">
        <v>0</v>
      </c>
      <c r="W155" t="inlineStr"/>
    </row>
    <row r="156">
      <c r="A156" t="inlineStr">
        <is>
          <t>Intro</t>
        </is>
      </c>
      <c r="B156" t="inlineStr">
        <is>
          <t>A23</t>
        </is>
      </c>
      <c r="C156" t="n">
        <v>23</v>
      </c>
      <c r="D156" t="n">
        <v>1</v>
      </c>
      <c r="E156" t="inlineStr">
        <is>
          <t>Input</t>
        </is>
      </c>
      <c r="H156" t="inlineStr"/>
      <c r="I156" t="inlineStr">
        <is>
          <t>General</t>
        </is>
      </c>
      <c r="J156" t="b">
        <v>0</v>
      </c>
      <c r="K156" t="b">
        <v>0</v>
      </c>
      <c r="L156" t="n">
        <v>11</v>
      </c>
      <c r="M156" t="inlineStr">
        <is>
          <t>Values must be of type &lt;class 'str'&gt;</t>
        </is>
      </c>
      <c r="N156" t="inlineStr">
        <is>
          <t>00000000</t>
        </is>
      </c>
      <c r="O156" t="n">
        <v/>
      </c>
      <c r="R156" t="b">
        <v>0</v>
      </c>
      <c r="V156" t="b">
        <v>0</v>
      </c>
      <c r="W156" t="inlineStr"/>
    </row>
    <row r="157">
      <c r="A157" t="inlineStr">
        <is>
          <t>Intro</t>
        </is>
      </c>
      <c r="B157" t="inlineStr">
        <is>
          <t>B23</t>
        </is>
      </c>
      <c r="C157" t="n">
        <v>23</v>
      </c>
      <c r="D157" t="n">
        <v>2</v>
      </c>
      <c r="E157" t="inlineStr">
        <is>
          <t>Input</t>
        </is>
      </c>
      <c r="H157" t="inlineStr"/>
      <c r="I157" t="inlineStr">
        <is>
          <t>General</t>
        </is>
      </c>
      <c r="J157" t="b">
        <v>0</v>
      </c>
      <c r="K157" t="b">
        <v>0</v>
      </c>
      <c r="L157" t="n">
        <v>11</v>
      </c>
      <c r="M157" t="inlineStr">
        <is>
          <t>Values must be of type &lt;class 'str'&gt;</t>
        </is>
      </c>
      <c r="N157" t="inlineStr">
        <is>
          <t>00000000</t>
        </is>
      </c>
      <c r="O157" t="n">
        <v/>
      </c>
      <c r="R157" t="b">
        <v>0</v>
      </c>
      <c r="V157" t="b">
        <v>0</v>
      </c>
      <c r="W157" t="inlineStr"/>
    </row>
    <row r="158">
      <c r="A158" t="inlineStr">
        <is>
          <t>Intro</t>
        </is>
      </c>
      <c r="B158" t="inlineStr">
        <is>
          <t>C23</t>
        </is>
      </c>
      <c r="C158" t="n">
        <v>23</v>
      </c>
      <c r="D158" t="n">
        <v>3</v>
      </c>
      <c r="E158" t="inlineStr">
        <is>
          <t>Input</t>
        </is>
      </c>
      <c r="H158" t="inlineStr"/>
      <c r="I158" t="inlineStr">
        <is>
          <t>General</t>
        </is>
      </c>
      <c r="J158" t="b">
        <v>0</v>
      </c>
      <c r="K158" t="b">
        <v>0</v>
      </c>
      <c r="L158" t="n">
        <v>11</v>
      </c>
      <c r="M158" t="inlineStr">
        <is>
          <t>Values must be of type &lt;class 'str'&gt;</t>
        </is>
      </c>
      <c r="N158" t="inlineStr">
        <is>
          <t>00000000</t>
        </is>
      </c>
      <c r="O158" t="n">
        <v/>
      </c>
      <c r="R158" t="b">
        <v>0</v>
      </c>
      <c r="V158" t="b">
        <v>0</v>
      </c>
      <c r="W158" t="inlineStr"/>
    </row>
    <row r="159">
      <c r="A159" t="inlineStr">
        <is>
          <t>Intro</t>
        </is>
      </c>
      <c r="B159" t="inlineStr">
        <is>
          <t>D23</t>
        </is>
      </c>
      <c r="C159" t="n">
        <v>23</v>
      </c>
      <c r="D159" t="n">
        <v>4</v>
      </c>
      <c r="E159" t="inlineStr">
        <is>
          <t>Input</t>
        </is>
      </c>
      <c r="H159" t="inlineStr"/>
      <c r="I159" t="inlineStr">
        <is>
          <t>General</t>
        </is>
      </c>
      <c r="J159" t="b">
        <v>0</v>
      </c>
      <c r="K159" t="b">
        <v>0</v>
      </c>
      <c r="L159" t="n">
        <v>11</v>
      </c>
      <c r="M159" t="inlineStr">
        <is>
          <t>Values must be of type &lt;class 'str'&gt;</t>
        </is>
      </c>
      <c r="N159" t="inlineStr">
        <is>
          <t>00000000</t>
        </is>
      </c>
      <c r="O159" t="n">
        <v/>
      </c>
      <c r="R159" t="b">
        <v>0</v>
      </c>
      <c r="V159" t="b">
        <v>0</v>
      </c>
      <c r="W159" t="inlineStr"/>
    </row>
    <row r="160">
      <c r="A160" t="inlineStr">
        <is>
          <t>Intro</t>
        </is>
      </c>
      <c r="B160" t="inlineStr">
        <is>
          <t>E23</t>
        </is>
      </c>
      <c r="C160" t="n">
        <v>23</v>
      </c>
      <c r="D160" t="n">
        <v>5</v>
      </c>
      <c r="E160" t="inlineStr">
        <is>
          <t>Input</t>
        </is>
      </c>
      <c r="G160" t="inlineStr">
        <is>
          <t>+91 9372895050</t>
        </is>
      </c>
      <c r="H160" t="inlineStr"/>
      <c r="I160" t="inlineStr">
        <is>
          <t>General</t>
        </is>
      </c>
      <c r="J160" t="b">
        <v>0</v>
      </c>
      <c r="K160" t="b">
        <v>0</v>
      </c>
      <c r="L160" t="n">
        <v>9</v>
      </c>
      <c r="M160" t="inlineStr">
        <is>
          <t>FF444444</t>
        </is>
      </c>
      <c r="N160" t="inlineStr">
        <is>
          <t>00000000</t>
        </is>
      </c>
      <c r="O160" t="inlineStr">
        <is>
          <t>center</t>
        </is>
      </c>
      <c r="R160" t="b">
        <v>1</v>
      </c>
      <c r="V160" t="b">
        <v>0</v>
      </c>
      <c r="W160" t="inlineStr"/>
    </row>
    <row r="161">
      <c r="A161" t="inlineStr">
        <is>
          <t>Intro</t>
        </is>
      </c>
      <c r="B161" t="inlineStr">
        <is>
          <t>F23</t>
        </is>
      </c>
      <c r="C161" t="n">
        <v>23</v>
      </c>
      <c r="D161" t="n">
        <v>6</v>
      </c>
      <c r="E161" t="inlineStr">
        <is>
          <t>Input</t>
        </is>
      </c>
      <c r="H161" t="inlineStr"/>
      <c r="I161" t="inlineStr">
        <is>
          <t>General</t>
        </is>
      </c>
      <c r="J161" t="b">
        <v>0</v>
      </c>
      <c r="K161" t="b">
        <v>0</v>
      </c>
      <c r="L161" t="n">
        <v>11</v>
      </c>
      <c r="M161" t="inlineStr">
        <is>
          <t>Values must be of type &lt;class 'str'&gt;</t>
        </is>
      </c>
      <c r="N161" t="inlineStr">
        <is>
          <t>00000000</t>
        </is>
      </c>
      <c r="O161" t="n">
        <v/>
      </c>
      <c r="R161" t="b">
        <v>0</v>
      </c>
      <c r="V161" t="b">
        <v>0</v>
      </c>
      <c r="W161" t="inlineStr"/>
    </row>
    <row r="162">
      <c r="A162" t="inlineStr">
        <is>
          <t>Intro</t>
        </is>
      </c>
      <c r="B162" t="inlineStr">
        <is>
          <t>G23</t>
        </is>
      </c>
      <c r="C162" t="n">
        <v>23</v>
      </c>
      <c r="D162" t="n">
        <v>7</v>
      </c>
      <c r="E162" t="inlineStr">
        <is>
          <t>Input</t>
        </is>
      </c>
      <c r="H162" t="inlineStr"/>
      <c r="I162" t="inlineStr">
        <is>
          <t>General</t>
        </is>
      </c>
      <c r="J162" t="b">
        <v>0</v>
      </c>
      <c r="K162" t="b">
        <v>0</v>
      </c>
      <c r="L162" t="n">
        <v>11</v>
      </c>
      <c r="M162" t="inlineStr">
        <is>
          <t>Values must be of type &lt;class 'str'&gt;</t>
        </is>
      </c>
      <c r="N162" t="inlineStr">
        <is>
          <t>00000000</t>
        </is>
      </c>
      <c r="O162" t="n">
        <v/>
      </c>
      <c r="R162" t="b">
        <v>0</v>
      </c>
      <c r="V162" t="b">
        <v>0</v>
      </c>
      <c r="W16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Revenue Model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ACC Ltd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n">
        <v/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Revenue Model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F3" t="n">
        <v/>
      </c>
      <c r="G3" t="n">
        <v>2015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Revenue Model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F4" t="n">
        <v/>
      </c>
      <c r="G4" t="n">
        <v>2016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Revenue Model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F5" t="n">
        <v/>
      </c>
      <c r="G5" t="n">
        <v>2017</v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Revenue Model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F6" t="n">
        <v/>
      </c>
      <c r="G6" t="inlineStr">
        <is>
          <t>2018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Revenue Model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F7" t="n">
        <v/>
      </c>
      <c r="G7" t="inlineStr">
        <is>
          <t>2019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Revenue Model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F8" t="n">
        <v/>
      </c>
      <c r="G8" t="inlineStr">
        <is>
          <t>2020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Revenue Model</t>
        </is>
      </c>
      <c r="B9" t="inlineStr">
        <is>
          <t>H1</t>
        </is>
      </c>
      <c r="C9" t="n">
        <v>1</v>
      </c>
      <c r="D9" t="n">
        <v>8</v>
      </c>
      <c r="E9" t="inlineStr">
        <is>
          <t>Input</t>
        </is>
      </c>
      <c r="F9" t="n">
        <v/>
      </c>
      <c r="G9" t="inlineStr">
        <is>
          <t>2021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Revenue Model</t>
        </is>
      </c>
      <c r="B10" t="inlineStr">
        <is>
          <t>I1</t>
        </is>
      </c>
      <c r="C10" t="n">
        <v>1</v>
      </c>
      <c r="D10" t="n">
        <v>9</v>
      </c>
      <c r="E10" t="inlineStr">
        <is>
          <t>Input</t>
        </is>
      </c>
      <c r="F10" t="n">
        <v/>
      </c>
      <c r="G10" t="inlineStr">
        <is>
          <t>2022 F</t>
        </is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Revenue Model</t>
        </is>
      </c>
      <c r="B11" t="inlineStr">
        <is>
          <t>A2</t>
        </is>
      </c>
      <c r="C11" t="n">
        <v>2</v>
      </c>
      <c r="D11" t="n">
        <v>1</v>
      </c>
      <c r="E11" t="inlineStr">
        <is>
          <t>Input</t>
        </is>
      </c>
      <c r="F11" t="n">
        <v/>
      </c>
      <c r="G11" t="inlineStr">
        <is>
          <t>Cement Sales - Value in cr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Revenue Model</t>
        </is>
      </c>
      <c r="B12" t="inlineStr">
        <is>
          <t>B2</t>
        </is>
      </c>
      <c r="C12" t="n">
        <v>2</v>
      </c>
      <c r="D12" t="n">
        <v>2</v>
      </c>
      <c r="E12" t="inlineStr">
        <is>
          <t>Calculation</t>
        </is>
      </c>
      <c r="F12" t="inlineStr">
        <is>
          <t>'='DuPoint Analysis'!E9-1443</t>
        </is>
      </c>
      <c r="G12" t="n">
        <v>11917</v>
      </c>
      <c r="H12" t="inlineStr"/>
      <c r="I12" t="inlineStr">
        <is>
          <t>_-* #,##0_-;\-* #,##0_-;_-* "-"??_-;_-@_-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>
        <f>'DuPoint Analysis'!R[7]C[3]-1443</f>
        <v/>
      </c>
    </row>
    <row r="13">
      <c r="A13" t="inlineStr">
        <is>
          <t>Revenue Model</t>
        </is>
      </c>
      <c r="B13" t="inlineStr">
        <is>
          <t>C2</t>
        </is>
      </c>
      <c r="C13" t="n">
        <v>2</v>
      </c>
      <c r="D13" t="n">
        <v>3</v>
      </c>
      <c r="E13" t="inlineStr">
        <is>
          <t>Calculation</t>
        </is>
      </c>
      <c r="F13" t="inlineStr">
        <is>
          <t>'='DuPoint Analysis'!F9-1534</t>
        </is>
      </c>
      <c r="G13" t="n">
        <v>11112.2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>
        <f>'DuPoint Analysis'!R[7]C[3]-1534</f>
        <v/>
      </c>
    </row>
    <row r="14">
      <c r="A14" t="inlineStr">
        <is>
          <t>Revenue Model</t>
        </is>
      </c>
      <c r="B14" t="inlineStr">
        <is>
          <t>D2</t>
        </is>
      </c>
      <c r="C14" t="n">
        <v>2</v>
      </c>
      <c r="D14" t="n">
        <v>4</v>
      </c>
      <c r="E14" t="inlineStr">
        <is>
          <t>Calculation</t>
        </is>
      </c>
      <c r="F14" t="inlineStr">
        <is>
          <t>'='DuPoint Analysis'!G9-916</t>
        </is>
      </c>
      <c r="G14" t="n">
        <v>13413.58</v>
      </c>
      <c r="H14" t="inlineStr"/>
      <c r="I14" t="inlineStr">
        <is>
          <t>_-* #,##0_-;\-* #,##0_-;_-* "-"??_-;_-@_-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>
        <f>'DuPoint Analysis'!R[7]C[3]-916</f>
        <v/>
      </c>
    </row>
    <row r="15">
      <c r="A15" t="inlineStr">
        <is>
          <t>Revenue Model</t>
        </is>
      </c>
      <c r="B15" t="inlineStr">
        <is>
          <t>E2</t>
        </is>
      </c>
      <c r="C15" t="n">
        <v>2</v>
      </c>
      <c r="D15" t="n">
        <v>5</v>
      </c>
      <c r="E15" t="inlineStr">
        <is>
          <t>Calculation</t>
        </is>
      </c>
      <c r="F15" t="inlineStr">
        <is>
          <t>'=E4*E11</t>
        </is>
      </c>
      <c r="G15" t="n">
        <v>14440.82251898734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S15" t="inlineStr">
        <is>
          <t>G000001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Revenue Model!E2:I2</t>
        </is>
      </c>
      <c r="X15">
        <f>R[2]C[0]*R[9]C[0]</f>
        <v/>
      </c>
    </row>
    <row r="16">
      <c r="A16" t="inlineStr">
        <is>
          <t>Revenue Model</t>
        </is>
      </c>
      <c r="B16" t="inlineStr">
        <is>
          <t>F2</t>
        </is>
      </c>
      <c r="C16" t="n">
        <v>2</v>
      </c>
      <c r="D16" t="n">
        <v>6</v>
      </c>
      <c r="E16" t="inlineStr">
        <is>
          <t>Calculation</t>
        </is>
      </c>
      <c r="F16" t="inlineStr">
        <is>
          <t>'=F4*F11</t>
        </is>
      </c>
      <c r="G16" t="n">
        <v>15537.25533987342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S16" t="inlineStr">
        <is>
          <t>G000001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Revenue Model!E2:I2</t>
        </is>
      </c>
      <c r="X16">
        <f>R[2]C[0]*R[9]C[0]</f>
        <v/>
      </c>
    </row>
    <row r="17">
      <c r="A17" t="inlineStr">
        <is>
          <t>Revenue Model</t>
        </is>
      </c>
      <c r="B17" t="inlineStr">
        <is>
          <t>G2</t>
        </is>
      </c>
      <c r="C17" t="n">
        <v>2</v>
      </c>
      <c r="D17" t="n">
        <v>7</v>
      </c>
      <c r="E17" t="inlineStr">
        <is>
          <t>Calculation</t>
        </is>
      </c>
      <c r="F17" t="inlineStr">
        <is>
          <t>'=G4*G11</t>
        </is>
      </c>
      <c r="G17" t="n">
        <v>16707.22938655064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inlineStr">
        <is>
          <t>G000001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Revenue Model!E2:I2</t>
        </is>
      </c>
      <c r="X17">
        <f>R[2]C[0]*R[9]C[0]</f>
        <v/>
      </c>
    </row>
    <row r="18">
      <c r="A18" t="inlineStr">
        <is>
          <t>Revenue Model</t>
        </is>
      </c>
      <c r="B18" t="inlineStr">
        <is>
          <t>H2</t>
        </is>
      </c>
      <c r="C18" t="n">
        <v>2</v>
      </c>
      <c r="D18" t="n">
        <v>8</v>
      </c>
      <c r="E18" t="inlineStr">
        <is>
          <t>Calculation</t>
        </is>
      </c>
      <c r="F18" t="inlineStr">
        <is>
          <t>'=H4*H11</t>
        </is>
      </c>
      <c r="G18" t="n">
        <v>17955.35769954589</v>
      </c>
      <c r="H18" t="inlineStr"/>
      <c r="I18" t="inlineStr">
        <is>
          <t>_-* #,##0_-;\-* #,##0_-;_-* "-"??_-;_-@_-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inlineStr">
        <is>
          <t>G000001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Revenue Model!E2:I2</t>
        </is>
      </c>
      <c r="X18">
        <f>R[2]C[0]*R[9]C[0]</f>
        <v/>
      </c>
    </row>
    <row r="19">
      <c r="A19" t="inlineStr">
        <is>
          <t>Revenue Model</t>
        </is>
      </c>
      <c r="B19" t="inlineStr">
        <is>
          <t>I2</t>
        </is>
      </c>
      <c r="C19" t="n">
        <v>2</v>
      </c>
      <c r="D19" t="n">
        <v>9</v>
      </c>
      <c r="E19" t="inlineStr">
        <is>
          <t>Calculation</t>
        </is>
      </c>
      <c r="F19" t="inlineStr">
        <is>
          <t>'=I4*I11</t>
        </is>
      </c>
      <c r="G19" t="n">
        <v>19286.5307703743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G000001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Revenue Model!E2:I2</t>
        </is>
      </c>
      <c r="X19">
        <f>R[2]C[0]*R[9]C[0]</f>
        <v/>
      </c>
    </row>
    <row r="20">
      <c r="A20" t="inlineStr">
        <is>
          <t>Revenue Model</t>
        </is>
      </c>
      <c r="B20" t="inlineStr">
        <is>
          <t>A3</t>
        </is>
      </c>
      <c r="C20" t="n">
        <v>3</v>
      </c>
      <c r="D20" t="n">
        <v>1</v>
      </c>
      <c r="E20" t="inlineStr">
        <is>
          <t>Input</t>
        </is>
      </c>
      <c r="F20" t="n">
        <v/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0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Revenue Model</t>
        </is>
      </c>
      <c r="B21" t="inlineStr">
        <is>
          <t>B3</t>
        </is>
      </c>
      <c r="C21" t="n">
        <v>3</v>
      </c>
      <c r="D21" t="n">
        <v>2</v>
      </c>
      <c r="E21" t="inlineStr">
        <is>
          <t>Input</t>
        </is>
      </c>
      <c r="F21" t="n">
        <v/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0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Revenue Model</t>
        </is>
      </c>
      <c r="B22" t="inlineStr">
        <is>
          <t>C3</t>
        </is>
      </c>
      <c r="C22" t="n">
        <v>3</v>
      </c>
      <c r="D22" t="n">
        <v>3</v>
      </c>
      <c r="E22" t="inlineStr">
        <is>
          <t>Input</t>
        </is>
      </c>
      <c r="F22" t="n">
        <v/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0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Revenue Model</t>
        </is>
      </c>
      <c r="B23" t="inlineStr">
        <is>
          <t>D3</t>
        </is>
      </c>
      <c r="C23" t="n">
        <v>3</v>
      </c>
      <c r="D23" t="n">
        <v>4</v>
      </c>
      <c r="E23" t="inlineStr">
        <is>
          <t>Input</t>
        </is>
      </c>
      <c r="F23" t="n">
        <v/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0</v>
      </c>
      <c r="S23" t="n">
        <v/>
      </c>
      <c r="T23" t="n">
        <v/>
      </c>
      <c r="U23" t="n">
        <v/>
      </c>
      <c r="V23" t="b">
        <v>0</v>
      </c>
      <c r="W23" t="inlineStr"/>
      <c r="X23" t="n">
        <v/>
      </c>
    </row>
    <row r="24">
      <c r="A24" t="inlineStr">
        <is>
          <t>Revenue Model</t>
        </is>
      </c>
      <c r="B24" t="inlineStr">
        <is>
          <t>E3</t>
        </is>
      </c>
      <c r="C24" t="n">
        <v>3</v>
      </c>
      <c r="D24" t="n">
        <v>5</v>
      </c>
      <c r="E24" t="inlineStr">
        <is>
          <t>Input</t>
        </is>
      </c>
      <c r="F24" t="n">
        <v/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0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Revenue Model</t>
        </is>
      </c>
      <c r="B25" t="inlineStr">
        <is>
          <t>F3</t>
        </is>
      </c>
      <c r="C25" t="n">
        <v>3</v>
      </c>
      <c r="D25" t="n">
        <v>6</v>
      </c>
      <c r="E25" t="inlineStr">
        <is>
          <t>Input</t>
        </is>
      </c>
      <c r="F25" t="n">
        <v/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0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Revenue Model</t>
        </is>
      </c>
      <c r="B26" t="inlineStr">
        <is>
          <t>G3</t>
        </is>
      </c>
      <c r="C26" t="n">
        <v>3</v>
      </c>
      <c r="D26" t="n">
        <v>7</v>
      </c>
      <c r="E26" t="inlineStr">
        <is>
          <t>Input</t>
        </is>
      </c>
      <c r="F26" t="n">
        <v/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0</v>
      </c>
      <c r="S26" t="n">
        <v/>
      </c>
      <c r="T26" t="n">
        <v/>
      </c>
      <c r="U26" t="n">
        <v/>
      </c>
      <c r="V26" t="b">
        <v>0</v>
      </c>
      <c r="W26" t="inlineStr"/>
      <c r="X26" t="n">
        <v/>
      </c>
    </row>
    <row r="27">
      <c r="A27" t="inlineStr">
        <is>
          <t>Revenue Model</t>
        </is>
      </c>
      <c r="B27" t="inlineStr">
        <is>
          <t>H3</t>
        </is>
      </c>
      <c r="C27" t="n">
        <v>3</v>
      </c>
      <c r="D27" t="n">
        <v>8</v>
      </c>
      <c r="E27" t="inlineStr">
        <is>
          <t>Input</t>
        </is>
      </c>
      <c r="F27" t="n">
        <v/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0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Revenue Model</t>
        </is>
      </c>
      <c r="B28" t="inlineStr">
        <is>
          <t>I3</t>
        </is>
      </c>
      <c r="C28" t="n">
        <v>3</v>
      </c>
      <c r="D28" t="n">
        <v>9</v>
      </c>
      <c r="E28" t="inlineStr">
        <is>
          <t>Input</t>
        </is>
      </c>
      <c r="F28" t="n">
        <v/>
      </c>
      <c r="H28" t="inlineStr"/>
      <c r="I28" t="inlineStr">
        <is>
          <t>_-* #,##0_-;\-* #,##0_-;_-* "-"??_-;_-@_-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0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Revenue Model</t>
        </is>
      </c>
      <c r="B29" t="inlineStr">
        <is>
          <t>A4</t>
        </is>
      </c>
      <c r="C29" t="n">
        <v>4</v>
      </c>
      <c r="D29" t="n">
        <v>1</v>
      </c>
      <c r="E29" t="inlineStr">
        <is>
          <t>Input</t>
        </is>
      </c>
      <c r="F29" t="n">
        <v/>
      </c>
      <c r="G29" t="inlineStr">
        <is>
          <t>Cement Sales - Volume Million Tonnes</t>
        </is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Revenue Model</t>
        </is>
      </c>
      <c r="B30" t="inlineStr">
        <is>
          <t>B4</t>
        </is>
      </c>
      <c r="C30" t="n">
        <v>4</v>
      </c>
      <c r="D30" t="n">
        <v>2</v>
      </c>
      <c r="E30" t="inlineStr">
        <is>
          <t>Input</t>
        </is>
      </c>
      <c r="F30" t="n">
        <v/>
      </c>
      <c r="G30" t="n">
        <v>23.62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Revenue Model</t>
        </is>
      </c>
      <c r="B31" t="inlineStr">
        <is>
          <t>C4</t>
        </is>
      </c>
      <c r="C31" t="n">
        <v>4</v>
      </c>
      <c r="D31" t="n">
        <v>3</v>
      </c>
      <c r="E31" t="inlineStr">
        <is>
          <t>Input</t>
        </is>
      </c>
      <c r="F31" t="n">
        <v/>
      </c>
      <c r="G31" t="n">
        <v>22.99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Revenue Model</t>
        </is>
      </c>
      <c r="B32" t="inlineStr">
        <is>
          <t>D4</t>
        </is>
      </c>
      <c r="C32" t="n">
        <v>4</v>
      </c>
      <c r="D32" t="n">
        <v>4</v>
      </c>
      <c r="E32" t="inlineStr">
        <is>
          <t>Input</t>
        </is>
      </c>
      <c r="F32" t="n">
        <v/>
      </c>
      <c r="G32" t="n">
        <v>26.21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Revenue Model</t>
        </is>
      </c>
      <c r="B33" t="inlineStr">
        <is>
          <t>E4</t>
        </is>
      </c>
      <c r="C33" t="n">
        <v>4</v>
      </c>
      <c r="D33" t="n">
        <v>5</v>
      </c>
      <c r="E33" t="inlineStr">
        <is>
          <t>Calculation</t>
        </is>
      </c>
      <c r="F33" t="inlineStr">
        <is>
          <t>'=E5*E6</t>
        </is>
      </c>
      <c r="G33" t="n">
        <v>26.87354430379747</v>
      </c>
      <c r="H33" t="inlineStr"/>
      <c r="I33" t="inlineStr">
        <is>
          <t>0.00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G000002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Revenue Model!E4:I4</t>
        </is>
      </c>
      <c r="X33">
        <f>R[1]C[0]*R[2]C[0]</f>
        <v/>
      </c>
    </row>
    <row r="34">
      <c r="A34" t="inlineStr">
        <is>
          <t>Revenue Model</t>
        </is>
      </c>
      <c r="B34" t="inlineStr">
        <is>
          <t>F4</t>
        </is>
      </c>
      <c r="C34" t="n">
        <v>4</v>
      </c>
      <c r="D34" t="n">
        <v>6</v>
      </c>
      <c r="E34" t="inlineStr">
        <is>
          <t>Calculation</t>
        </is>
      </c>
      <c r="F34" t="inlineStr">
        <is>
          <t>'=F5*F6</t>
        </is>
      </c>
      <c r="G34" t="n">
        <v>27.53708860759494</v>
      </c>
      <c r="H34" t="inlineStr"/>
      <c r="I34" t="inlineStr">
        <is>
          <t>0.00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G000002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Revenue Model!E4:I4</t>
        </is>
      </c>
      <c r="X34">
        <f>R[1]C[0]*R[2]C[0]</f>
        <v/>
      </c>
    </row>
    <row r="35">
      <c r="A35" t="inlineStr">
        <is>
          <t>Revenue Model</t>
        </is>
      </c>
      <c r="B35" t="inlineStr">
        <is>
          <t>G4</t>
        </is>
      </c>
      <c r="C35" t="n">
        <v>4</v>
      </c>
      <c r="D35" t="n">
        <v>7</v>
      </c>
      <c r="E35" t="inlineStr">
        <is>
          <t>Calculation</t>
        </is>
      </c>
      <c r="F35" t="inlineStr">
        <is>
          <t>'=G5*G6</t>
        </is>
      </c>
      <c r="G35" t="n">
        <v>28.20063291139241</v>
      </c>
      <c r="H35" t="inlineStr"/>
      <c r="I35" t="inlineStr">
        <is>
          <t>0.00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G000002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Revenue Model!E4:I4</t>
        </is>
      </c>
      <c r="X35">
        <f>R[1]C[0]*R[2]C[0]</f>
        <v/>
      </c>
    </row>
    <row r="36">
      <c r="A36" t="inlineStr">
        <is>
          <t>Revenue Model</t>
        </is>
      </c>
      <c r="B36" t="inlineStr">
        <is>
          <t>H4</t>
        </is>
      </c>
      <c r="C36" t="n">
        <v>4</v>
      </c>
      <c r="D36" t="n">
        <v>8</v>
      </c>
      <c r="E36" t="inlineStr">
        <is>
          <t>Calculation</t>
        </is>
      </c>
      <c r="F36" t="inlineStr">
        <is>
          <t>'=H5*H6</t>
        </is>
      </c>
      <c r="G36" t="n">
        <v>28.86417721518987</v>
      </c>
      <c r="H36" t="inlineStr"/>
      <c r="I36" t="inlineStr">
        <is>
          <t>0.00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G000002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Revenue Model!E4:I4</t>
        </is>
      </c>
      <c r="X36">
        <f>R[1]C[0]*R[2]C[0]</f>
        <v/>
      </c>
    </row>
    <row r="37">
      <c r="A37" t="inlineStr">
        <is>
          <t>Revenue Model</t>
        </is>
      </c>
      <c r="B37" t="inlineStr">
        <is>
          <t>I4</t>
        </is>
      </c>
      <c r="C37" t="n">
        <v>4</v>
      </c>
      <c r="D37" t="n">
        <v>9</v>
      </c>
      <c r="E37" t="inlineStr">
        <is>
          <t>Calculation</t>
        </is>
      </c>
      <c r="F37" t="inlineStr">
        <is>
          <t>'=I5*I6</t>
        </is>
      </c>
      <c r="G37" t="n">
        <v>29.52772151898735</v>
      </c>
      <c r="H37" t="inlineStr"/>
      <c r="I37" t="inlineStr">
        <is>
          <t>0.00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inlineStr">
        <is>
          <t>G000002</t>
        </is>
      </c>
      <c r="T37" t="inlineStr">
        <is>
          <t>Horizontal</t>
        </is>
      </c>
      <c r="U37" t="n">
        <v>5</v>
      </c>
      <c r="V37" t="b">
        <v>1</v>
      </c>
      <c r="W37" t="inlineStr">
        <is>
          <t>Revenue Model!E4:I4</t>
        </is>
      </c>
      <c r="X37">
        <f>R[1]C[0]*R[2]C[0]</f>
        <v/>
      </c>
    </row>
    <row r="38">
      <c r="A38" t="inlineStr">
        <is>
          <t>Revenue Model</t>
        </is>
      </c>
      <c r="B38" t="inlineStr">
        <is>
          <t>A5</t>
        </is>
      </c>
      <c r="C38" t="n">
        <v>5</v>
      </c>
      <c r="D38" t="n">
        <v>1</v>
      </c>
      <c r="E38" t="inlineStr">
        <is>
          <t>Input</t>
        </is>
      </c>
      <c r="F38" t="n">
        <v/>
      </c>
      <c r="G38" t="inlineStr">
        <is>
          <t>Cement Production Million Tonnes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Revenue Model</t>
        </is>
      </c>
      <c r="B39" t="inlineStr">
        <is>
          <t>B5</t>
        </is>
      </c>
      <c r="C39" t="n">
        <v>5</v>
      </c>
      <c r="D39" t="n">
        <v>2</v>
      </c>
      <c r="E39" t="inlineStr">
        <is>
          <t>Input</t>
        </is>
      </c>
      <c r="F39" t="n">
        <v/>
      </c>
      <c r="G39" t="n">
        <v>23.84</v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Revenue Model</t>
        </is>
      </c>
      <c r="B40" t="inlineStr">
        <is>
          <t>C5</t>
        </is>
      </c>
      <c r="C40" t="n">
        <v>5</v>
      </c>
      <c r="D40" t="n">
        <v>3</v>
      </c>
      <c r="E40" t="inlineStr">
        <is>
          <t>Input</t>
        </is>
      </c>
      <c r="F40" t="n">
        <v/>
      </c>
      <c r="G40" t="n">
        <v>23.18</v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Revenue Model</t>
        </is>
      </c>
      <c r="B41" t="inlineStr">
        <is>
          <t>D5</t>
        </is>
      </c>
      <c r="C41" t="n">
        <v>5</v>
      </c>
      <c r="D41" t="n">
        <v>4</v>
      </c>
      <c r="E41" t="inlineStr">
        <is>
          <t>Input</t>
        </is>
      </c>
      <c r="F41" t="n">
        <v/>
      </c>
      <c r="G41" t="n">
        <v>26.56</v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Revenue Model</t>
        </is>
      </c>
      <c r="B42" t="inlineStr">
        <is>
          <t>E5</t>
        </is>
      </c>
      <c r="C42" t="n">
        <v>5</v>
      </c>
      <c r="D42" t="n">
        <v>5</v>
      </c>
      <c r="E42" t="inlineStr">
        <is>
          <t>Calculation</t>
        </is>
      </c>
      <c r="F42" t="inlineStr">
        <is>
          <t>'=E9*E8</t>
        </is>
      </c>
      <c r="G42" t="n">
        <v>27.23240506329114</v>
      </c>
      <c r="H42" t="inlineStr"/>
      <c r="I42" t="inlineStr">
        <is>
          <t>0.00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G000003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Revenue Model!E5:I5</t>
        </is>
      </c>
      <c r="X42">
        <f>R[4]C[0]*R[3]C[0]</f>
        <v/>
      </c>
    </row>
    <row r="43">
      <c r="A43" t="inlineStr">
        <is>
          <t>Revenue Model</t>
        </is>
      </c>
      <c r="B43" t="inlineStr">
        <is>
          <t>F5</t>
        </is>
      </c>
      <c r="C43" t="n">
        <v>5</v>
      </c>
      <c r="D43" t="n">
        <v>6</v>
      </c>
      <c r="E43" t="inlineStr">
        <is>
          <t>Calculation</t>
        </is>
      </c>
      <c r="F43" t="inlineStr">
        <is>
          <t>'=F9*F8</t>
        </is>
      </c>
      <c r="G43" t="n">
        <v>27.90481012658228</v>
      </c>
      <c r="H43" t="inlineStr"/>
      <c r="I43" t="inlineStr">
        <is>
          <t>0.00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inlineStr">
        <is>
          <t>G000003</t>
        </is>
      </c>
      <c r="T43" t="inlineStr">
        <is>
          <t>Horizontal</t>
        </is>
      </c>
      <c r="U43" t="n">
        <v>5</v>
      </c>
      <c r="V43" t="b">
        <v>1</v>
      </c>
      <c r="W43" t="inlineStr">
        <is>
          <t>Revenue Model!E5:I5</t>
        </is>
      </c>
      <c r="X43">
        <f>R[4]C[0]*R[3]C[0]</f>
        <v/>
      </c>
    </row>
    <row r="44">
      <c r="A44" t="inlineStr">
        <is>
          <t>Revenue Model</t>
        </is>
      </c>
      <c r="B44" t="inlineStr">
        <is>
          <t>G5</t>
        </is>
      </c>
      <c r="C44" t="n">
        <v>5</v>
      </c>
      <c r="D44" t="n">
        <v>7</v>
      </c>
      <c r="E44" t="inlineStr">
        <is>
          <t>Calculation</t>
        </is>
      </c>
      <c r="F44" t="inlineStr">
        <is>
          <t>'=G9*G8</t>
        </is>
      </c>
      <c r="G44" t="n">
        <v>28.57721518987342</v>
      </c>
      <c r="H44" t="inlineStr"/>
      <c r="I44" t="inlineStr">
        <is>
          <t>0.00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G000003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Revenue Model!E5:I5</t>
        </is>
      </c>
      <c r="X44">
        <f>R[4]C[0]*R[3]C[0]</f>
        <v/>
      </c>
    </row>
    <row r="45">
      <c r="A45" t="inlineStr">
        <is>
          <t>Revenue Model</t>
        </is>
      </c>
      <c r="B45" t="inlineStr">
        <is>
          <t>H5</t>
        </is>
      </c>
      <c r="C45" t="n">
        <v>5</v>
      </c>
      <c r="D45" t="n">
        <v>8</v>
      </c>
      <c r="E45" t="inlineStr">
        <is>
          <t>Calculation</t>
        </is>
      </c>
      <c r="F45" t="inlineStr">
        <is>
          <t>'=H9*H8</t>
        </is>
      </c>
      <c r="G45" t="n">
        <v>29.24962025316455</v>
      </c>
      <c r="H45" t="inlineStr"/>
      <c r="I45" t="inlineStr">
        <is>
          <t>0.00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G000003</t>
        </is>
      </c>
      <c r="T45" t="inlineStr">
        <is>
          <t>Horizontal</t>
        </is>
      </c>
      <c r="U45" t="n">
        <v>5</v>
      </c>
      <c r="V45" t="b">
        <v>1</v>
      </c>
      <c r="W45" t="inlineStr">
        <is>
          <t>Revenue Model!E5:I5</t>
        </is>
      </c>
      <c r="X45">
        <f>R[4]C[0]*R[3]C[0]</f>
        <v/>
      </c>
    </row>
    <row r="46">
      <c r="A46" t="inlineStr">
        <is>
          <t>Revenue Model</t>
        </is>
      </c>
      <c r="B46" t="inlineStr">
        <is>
          <t>I5</t>
        </is>
      </c>
      <c r="C46" t="n">
        <v>5</v>
      </c>
      <c r="D46" t="n">
        <v>9</v>
      </c>
      <c r="E46" t="inlineStr">
        <is>
          <t>Calculation</t>
        </is>
      </c>
      <c r="F46" t="inlineStr">
        <is>
          <t>'=I9*I8</t>
        </is>
      </c>
      <c r="G46" t="n">
        <v>29.9220253164557</v>
      </c>
      <c r="H46" t="inlineStr"/>
      <c r="I46" t="inlineStr">
        <is>
          <t>0.00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G000003</t>
        </is>
      </c>
      <c r="T46" t="inlineStr">
        <is>
          <t>Horizontal</t>
        </is>
      </c>
      <c r="U46" t="n">
        <v>5</v>
      </c>
      <c r="V46" t="b">
        <v>1</v>
      </c>
      <c r="W46" t="inlineStr">
        <is>
          <t>Revenue Model!E5:I5</t>
        </is>
      </c>
      <c r="X46">
        <f>R[4]C[0]*R[3]C[0]</f>
        <v/>
      </c>
    </row>
    <row r="47">
      <c r="A47" t="inlineStr">
        <is>
          <t>Revenue Model</t>
        </is>
      </c>
      <c r="B47" t="inlineStr">
        <is>
          <t>A6</t>
        </is>
      </c>
      <c r="C47" t="n">
        <v>6</v>
      </c>
      <c r="D47" t="n">
        <v>1</v>
      </c>
      <c r="E47" t="inlineStr">
        <is>
          <t>Input</t>
        </is>
      </c>
      <c r="F47" t="n">
        <v/>
      </c>
      <c r="G47" t="inlineStr">
        <is>
          <t>Sales as % of prodn</t>
        </is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Revenue Model</t>
        </is>
      </c>
      <c r="B48" t="inlineStr">
        <is>
          <t>B6</t>
        </is>
      </c>
      <c r="C48" t="n">
        <v>6</v>
      </c>
      <c r="D48" t="n">
        <v>2</v>
      </c>
      <c r="E48" t="inlineStr">
        <is>
          <t>Output</t>
        </is>
      </c>
      <c r="F48" t="inlineStr">
        <is>
          <t>'=B4/B5</t>
        </is>
      </c>
      <c r="G48" t="n">
        <v>0.990771812080537</v>
      </c>
      <c r="H48" t="inlineStr"/>
      <c r="I48" t="inlineStr">
        <is>
          <t>0%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G000004</t>
        </is>
      </c>
      <c r="T48" t="inlineStr">
        <is>
          <t>Horizontal</t>
        </is>
      </c>
      <c r="U48" t="n">
        <v>3</v>
      </c>
      <c r="V48" t="b">
        <v>1</v>
      </c>
      <c r="W48" t="inlineStr">
        <is>
          <t>Revenue Model!B6:D6</t>
        </is>
      </c>
      <c r="X48">
        <f>R[-2]C[0]/R[-1]C[0]</f>
        <v/>
      </c>
    </row>
    <row r="49">
      <c r="A49" t="inlineStr">
        <is>
          <t>Revenue Model</t>
        </is>
      </c>
      <c r="B49" t="inlineStr">
        <is>
          <t>C6</t>
        </is>
      </c>
      <c r="C49" t="n">
        <v>6</v>
      </c>
      <c r="D49" t="n">
        <v>3</v>
      </c>
      <c r="E49" t="inlineStr">
        <is>
          <t>Output</t>
        </is>
      </c>
      <c r="F49" t="inlineStr">
        <is>
          <t>'=C4/C5</t>
        </is>
      </c>
      <c r="G49" t="n">
        <v>0.9918032786885246</v>
      </c>
      <c r="H49" t="inlineStr"/>
      <c r="I49" t="inlineStr">
        <is>
          <t>0%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inlineStr">
        <is>
          <t>G000004</t>
        </is>
      </c>
      <c r="T49" t="inlineStr">
        <is>
          <t>Horizontal</t>
        </is>
      </c>
      <c r="U49" t="n">
        <v>3</v>
      </c>
      <c r="V49" t="b">
        <v>1</v>
      </c>
      <c r="W49" t="inlineStr">
        <is>
          <t>Revenue Model!B6:D6</t>
        </is>
      </c>
      <c r="X49">
        <f>R[-2]C[0]/R[-1]C[0]</f>
        <v/>
      </c>
    </row>
    <row r="50">
      <c r="A50" t="inlineStr">
        <is>
          <t>Revenue Model</t>
        </is>
      </c>
      <c r="B50" t="inlineStr">
        <is>
          <t>D6</t>
        </is>
      </c>
      <c r="C50" t="n">
        <v>6</v>
      </c>
      <c r="D50" t="n">
        <v>4</v>
      </c>
      <c r="E50" t="inlineStr">
        <is>
          <t>Calculation</t>
        </is>
      </c>
      <c r="F50" t="inlineStr">
        <is>
          <t>'=D4/D5</t>
        </is>
      </c>
      <c r="G50" t="n">
        <v>0.9868222891566266</v>
      </c>
      <c r="H50" t="inlineStr"/>
      <c r="I50" t="inlineStr">
        <is>
          <t>0%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inlineStr">
        <is>
          <t>G000004</t>
        </is>
      </c>
      <c r="T50" t="inlineStr">
        <is>
          <t>Horizontal</t>
        </is>
      </c>
      <c r="U50" t="n">
        <v>3</v>
      </c>
      <c r="V50" t="b">
        <v>1</v>
      </c>
      <c r="W50" t="inlineStr">
        <is>
          <t>Revenue Model!B6:D6</t>
        </is>
      </c>
      <c r="X50">
        <f>R[-2]C[0]/R[-1]C[0]</f>
        <v/>
      </c>
    </row>
    <row r="51">
      <c r="A51" t="inlineStr">
        <is>
          <t>Revenue Model</t>
        </is>
      </c>
      <c r="B51" t="inlineStr">
        <is>
          <t>E6</t>
        </is>
      </c>
      <c r="C51" t="n">
        <v>6</v>
      </c>
      <c r="D51" t="n">
        <v>5</v>
      </c>
      <c r="E51" t="inlineStr">
        <is>
          <t>Calculation</t>
        </is>
      </c>
      <c r="F51" t="inlineStr">
        <is>
          <t>'=$D$6</t>
        </is>
      </c>
      <c r="G51" t="n">
        <v>0.9868222891566266</v>
      </c>
      <c r="H51" t="inlineStr"/>
      <c r="I51" t="inlineStr">
        <is>
          <t>0%</t>
        </is>
      </c>
      <c r="J51" t="b">
        <v>0</v>
      </c>
      <c r="K51" t="b">
        <v>0</v>
      </c>
      <c r="L51" t="n">
        <v>11</v>
      </c>
      <c r="M51" t="inlineStr">
        <is>
          <t>FFFF0000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inlineStr">
        <is>
          <t>G000005</t>
        </is>
      </c>
      <c r="T51" t="inlineStr">
        <is>
          <t>Horizontal</t>
        </is>
      </c>
      <c r="U51" t="n">
        <v>5</v>
      </c>
      <c r="V51" t="b">
        <v>1</v>
      </c>
      <c r="W51" t="inlineStr">
        <is>
          <t>Revenue Model!E6:I6</t>
        </is>
      </c>
      <c r="X51">
        <f>R6C4</f>
        <v/>
      </c>
    </row>
    <row r="52">
      <c r="A52" t="inlineStr">
        <is>
          <t>Revenue Model</t>
        </is>
      </c>
      <c r="B52" t="inlineStr">
        <is>
          <t>F6</t>
        </is>
      </c>
      <c r="C52" t="n">
        <v>6</v>
      </c>
      <c r="D52" t="n">
        <v>6</v>
      </c>
      <c r="E52" t="inlineStr">
        <is>
          <t>Calculation</t>
        </is>
      </c>
      <c r="F52" t="inlineStr">
        <is>
          <t>'=$D$6</t>
        </is>
      </c>
      <c r="G52" t="n">
        <v>0.9868222891566266</v>
      </c>
      <c r="H52" t="inlineStr"/>
      <c r="I52" t="inlineStr">
        <is>
          <t>0%</t>
        </is>
      </c>
      <c r="J52" t="b">
        <v>0</v>
      </c>
      <c r="K52" t="b">
        <v>0</v>
      </c>
      <c r="L52" t="n">
        <v>11</v>
      </c>
      <c r="M52" t="inlineStr">
        <is>
          <t>FFFF0000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inlineStr">
        <is>
          <t>G000005</t>
        </is>
      </c>
      <c r="T52" t="inlineStr">
        <is>
          <t>Horizontal</t>
        </is>
      </c>
      <c r="U52" t="n">
        <v>5</v>
      </c>
      <c r="V52" t="b">
        <v>1</v>
      </c>
      <c r="W52" t="inlineStr">
        <is>
          <t>Revenue Model!E6:I6</t>
        </is>
      </c>
      <c r="X52">
        <f>R6C4</f>
        <v/>
      </c>
    </row>
    <row r="53">
      <c r="A53" t="inlineStr">
        <is>
          <t>Revenue Model</t>
        </is>
      </c>
      <c r="B53" t="inlineStr">
        <is>
          <t>G6</t>
        </is>
      </c>
      <c r="C53" t="n">
        <v>6</v>
      </c>
      <c r="D53" t="n">
        <v>7</v>
      </c>
      <c r="E53" t="inlineStr">
        <is>
          <t>Calculation</t>
        </is>
      </c>
      <c r="F53" t="inlineStr">
        <is>
          <t>'=$D$6</t>
        </is>
      </c>
      <c r="G53" t="n">
        <v>0.9868222891566266</v>
      </c>
      <c r="H53" t="inlineStr"/>
      <c r="I53" t="inlineStr">
        <is>
          <t>0%</t>
        </is>
      </c>
      <c r="J53" t="b">
        <v>0</v>
      </c>
      <c r="K53" t="b">
        <v>0</v>
      </c>
      <c r="L53" t="n">
        <v>11</v>
      </c>
      <c r="M53" t="inlineStr">
        <is>
          <t>FFFF0000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inlineStr">
        <is>
          <t>G000005</t>
        </is>
      </c>
      <c r="T53" t="inlineStr">
        <is>
          <t>Horizontal</t>
        </is>
      </c>
      <c r="U53" t="n">
        <v>5</v>
      </c>
      <c r="V53" t="b">
        <v>1</v>
      </c>
      <c r="W53" t="inlineStr">
        <is>
          <t>Revenue Model!E6:I6</t>
        </is>
      </c>
      <c r="X53">
        <f>R6C4</f>
        <v/>
      </c>
    </row>
    <row r="54">
      <c r="A54" t="inlineStr">
        <is>
          <t>Revenue Model</t>
        </is>
      </c>
      <c r="B54" t="inlineStr">
        <is>
          <t>H6</t>
        </is>
      </c>
      <c r="C54" t="n">
        <v>6</v>
      </c>
      <c r="D54" t="n">
        <v>8</v>
      </c>
      <c r="E54" t="inlineStr">
        <is>
          <t>Calculation</t>
        </is>
      </c>
      <c r="F54" t="inlineStr">
        <is>
          <t>'=$D$6</t>
        </is>
      </c>
      <c r="G54" t="n">
        <v>0.9868222891566266</v>
      </c>
      <c r="H54" t="inlineStr"/>
      <c r="I54" t="inlineStr">
        <is>
          <t>0%</t>
        </is>
      </c>
      <c r="J54" t="b">
        <v>0</v>
      </c>
      <c r="K54" t="b">
        <v>0</v>
      </c>
      <c r="L54" t="n">
        <v>11</v>
      </c>
      <c r="M54" t="inlineStr">
        <is>
          <t>FFFF0000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inlineStr">
        <is>
          <t>G000005</t>
        </is>
      </c>
      <c r="T54" t="inlineStr">
        <is>
          <t>Horizontal</t>
        </is>
      </c>
      <c r="U54" t="n">
        <v>5</v>
      </c>
      <c r="V54" t="b">
        <v>1</v>
      </c>
      <c r="W54" t="inlineStr">
        <is>
          <t>Revenue Model!E6:I6</t>
        </is>
      </c>
      <c r="X54">
        <f>R6C4</f>
        <v/>
      </c>
    </row>
    <row r="55">
      <c r="A55" t="inlineStr">
        <is>
          <t>Revenue Model</t>
        </is>
      </c>
      <c r="B55" t="inlineStr">
        <is>
          <t>I6</t>
        </is>
      </c>
      <c r="C55" t="n">
        <v>6</v>
      </c>
      <c r="D55" t="n">
        <v>9</v>
      </c>
      <c r="E55" t="inlineStr">
        <is>
          <t>Calculation</t>
        </is>
      </c>
      <c r="F55" t="inlineStr">
        <is>
          <t>'=$D$6</t>
        </is>
      </c>
      <c r="G55" t="n">
        <v>0.9868222891566266</v>
      </c>
      <c r="H55" t="inlineStr"/>
      <c r="I55" t="inlineStr">
        <is>
          <t>0%</t>
        </is>
      </c>
      <c r="J55" t="b">
        <v>0</v>
      </c>
      <c r="K55" t="b">
        <v>0</v>
      </c>
      <c r="L55" t="n">
        <v>11</v>
      </c>
      <c r="M55" t="inlineStr">
        <is>
          <t>FFFF0000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inlineStr">
        <is>
          <t>G000005</t>
        </is>
      </c>
      <c r="T55" t="inlineStr">
        <is>
          <t>Horizontal</t>
        </is>
      </c>
      <c r="U55" t="n">
        <v>5</v>
      </c>
      <c r="V55" t="b">
        <v>1</v>
      </c>
      <c r="W55" t="inlineStr">
        <is>
          <t>Revenue Model!E6:I6</t>
        </is>
      </c>
      <c r="X55">
        <f>R6C4</f>
        <v/>
      </c>
    </row>
    <row r="56">
      <c r="A56" t="inlineStr">
        <is>
          <t>Revenue Model</t>
        </is>
      </c>
      <c r="B56" t="inlineStr">
        <is>
          <t>J6</t>
        </is>
      </c>
      <c r="C56" t="n">
        <v>6</v>
      </c>
      <c r="D56" t="n">
        <v>10</v>
      </c>
      <c r="E56" t="inlineStr">
        <is>
          <t>Input</t>
        </is>
      </c>
      <c r="F56" t="n">
        <v/>
      </c>
      <c r="G56" t="inlineStr">
        <is>
          <t>Assuming this to be same over the period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Revenue Model</t>
        </is>
      </c>
      <c r="B57" t="inlineStr">
        <is>
          <t>A7</t>
        </is>
      </c>
      <c r="C57" t="n">
        <v>7</v>
      </c>
      <c r="D57" t="n">
        <v>1</v>
      </c>
      <c r="E57" t="inlineStr">
        <is>
          <t>Input</t>
        </is>
      </c>
      <c r="F57" t="n">
        <v/>
      </c>
      <c r="H57" t="inlineStr"/>
      <c r="I57" t="inlineStr">
        <is>
          <t>General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0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Revenue Model</t>
        </is>
      </c>
      <c r="B58" t="inlineStr">
        <is>
          <t>B7</t>
        </is>
      </c>
      <c r="C58" t="n">
        <v>7</v>
      </c>
      <c r="D58" t="n">
        <v>2</v>
      </c>
      <c r="E58" t="inlineStr">
        <is>
          <t>Input</t>
        </is>
      </c>
      <c r="F58" t="n">
        <v/>
      </c>
      <c r="H58" t="inlineStr"/>
      <c r="I58" t="inlineStr">
        <is>
          <t>0%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0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Revenue Model</t>
        </is>
      </c>
      <c r="B59" t="inlineStr">
        <is>
          <t>C7</t>
        </is>
      </c>
      <c r="C59" t="n">
        <v>7</v>
      </c>
      <c r="D59" t="n">
        <v>3</v>
      </c>
      <c r="E59" t="inlineStr">
        <is>
          <t>Input</t>
        </is>
      </c>
      <c r="F59" t="n">
        <v/>
      </c>
      <c r="H59" t="inlineStr"/>
      <c r="I59" t="inlineStr">
        <is>
          <t>0%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0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Revenue Model</t>
        </is>
      </c>
      <c r="B60" t="inlineStr">
        <is>
          <t>D7</t>
        </is>
      </c>
      <c r="C60" t="n">
        <v>7</v>
      </c>
      <c r="D60" t="n">
        <v>4</v>
      </c>
      <c r="E60" t="inlineStr">
        <is>
          <t>Input</t>
        </is>
      </c>
      <c r="F60" t="n">
        <v/>
      </c>
      <c r="H60" t="inlineStr"/>
      <c r="I60" t="inlineStr">
        <is>
          <t>0%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0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Revenue Model</t>
        </is>
      </c>
      <c r="B61" t="inlineStr">
        <is>
          <t>E7</t>
        </is>
      </c>
      <c r="C61" t="n">
        <v>7</v>
      </c>
      <c r="D61" t="n">
        <v>5</v>
      </c>
      <c r="E61" t="inlineStr">
        <is>
          <t>Input</t>
        </is>
      </c>
      <c r="F61" t="n">
        <v/>
      </c>
      <c r="H61" t="inlineStr"/>
      <c r="I61" t="inlineStr">
        <is>
          <t>0%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Revenue Model</t>
        </is>
      </c>
      <c r="B62" t="inlineStr">
        <is>
          <t>F7</t>
        </is>
      </c>
      <c r="C62" t="n">
        <v>7</v>
      </c>
      <c r="D62" t="n">
        <v>6</v>
      </c>
      <c r="E62" t="inlineStr">
        <is>
          <t>Input</t>
        </is>
      </c>
      <c r="F62" t="n">
        <v/>
      </c>
      <c r="H62" t="inlineStr"/>
      <c r="I62" t="inlineStr">
        <is>
          <t>0%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Revenue Model</t>
        </is>
      </c>
      <c r="B63" t="inlineStr">
        <is>
          <t>G7</t>
        </is>
      </c>
      <c r="C63" t="n">
        <v>7</v>
      </c>
      <c r="D63" t="n">
        <v>7</v>
      </c>
      <c r="E63" t="inlineStr">
        <is>
          <t>Input</t>
        </is>
      </c>
      <c r="F63" t="n">
        <v/>
      </c>
      <c r="H63" t="inlineStr"/>
      <c r="I63" t="inlineStr">
        <is>
          <t>0%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Revenue Model</t>
        </is>
      </c>
      <c r="B64" t="inlineStr">
        <is>
          <t>H7</t>
        </is>
      </c>
      <c r="C64" t="n">
        <v>7</v>
      </c>
      <c r="D64" t="n">
        <v>8</v>
      </c>
      <c r="E64" t="inlineStr">
        <is>
          <t>Input</t>
        </is>
      </c>
      <c r="F64" t="n">
        <v/>
      </c>
      <c r="H64" t="inlineStr"/>
      <c r="I64" t="inlineStr">
        <is>
          <t>0%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Revenue Model</t>
        </is>
      </c>
      <c r="B65" t="inlineStr">
        <is>
          <t>I7</t>
        </is>
      </c>
      <c r="C65" t="n">
        <v>7</v>
      </c>
      <c r="D65" t="n">
        <v>9</v>
      </c>
      <c r="E65" t="inlineStr">
        <is>
          <t>Input</t>
        </is>
      </c>
      <c r="F65" t="n">
        <v/>
      </c>
      <c r="H65" t="inlineStr"/>
      <c r="I65" t="inlineStr">
        <is>
          <t>0%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Revenue Model</t>
        </is>
      </c>
      <c r="B66" t="inlineStr">
        <is>
          <t>A8</t>
        </is>
      </c>
      <c r="C66" t="n">
        <v>8</v>
      </c>
      <c r="D66" t="n">
        <v>1</v>
      </c>
      <c r="E66" t="inlineStr">
        <is>
          <t>Input</t>
        </is>
      </c>
      <c r="F66" t="n">
        <v/>
      </c>
      <c r="G66" t="inlineStr">
        <is>
          <t>Capacity utilisation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Revenue Model</t>
        </is>
      </c>
      <c r="B67" t="inlineStr">
        <is>
          <t>B8</t>
        </is>
      </c>
      <c r="C67" t="n">
        <v>8</v>
      </c>
      <c r="D67" t="n">
        <v>2</v>
      </c>
      <c r="E67" t="inlineStr">
        <is>
          <t>Input</t>
        </is>
      </c>
      <c r="F67" t="n">
        <v/>
      </c>
      <c r="G67" t="n">
        <v>0.77</v>
      </c>
      <c r="H67" t="inlineStr"/>
      <c r="I67" t="inlineStr">
        <is>
          <t>0%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Revenue Model</t>
        </is>
      </c>
      <c r="B68" t="inlineStr">
        <is>
          <t>C8</t>
        </is>
      </c>
      <c r="C68" t="n">
        <v>8</v>
      </c>
      <c r="D68" t="n">
        <v>3</v>
      </c>
      <c r="E68" t="inlineStr">
        <is>
          <t>Input</t>
        </is>
      </c>
      <c r="F68" t="n">
        <v/>
      </c>
      <c r="G68" t="n">
        <v>0.73</v>
      </c>
      <c r="H68" t="inlineStr"/>
      <c r="I68" t="inlineStr">
        <is>
          <t>0%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Revenue Model</t>
        </is>
      </c>
      <c r="B69" t="inlineStr">
        <is>
          <t>D8</t>
        </is>
      </c>
      <c r="C69" t="n">
        <v>8</v>
      </c>
      <c r="D69" t="n">
        <v>4</v>
      </c>
      <c r="E69" t="inlineStr">
        <is>
          <t>Input</t>
        </is>
      </c>
      <c r="F69" t="n">
        <v/>
      </c>
      <c r="G69" t="n">
        <v>0.79</v>
      </c>
      <c r="H69" t="inlineStr"/>
      <c r="I69" t="inlineStr">
        <is>
          <t>0%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Revenue Model</t>
        </is>
      </c>
      <c r="B70" t="inlineStr">
        <is>
          <t>E8</t>
        </is>
      </c>
      <c r="C70" t="n">
        <v>8</v>
      </c>
      <c r="D70" t="n">
        <v>5</v>
      </c>
      <c r="E70" t="inlineStr">
        <is>
          <t>Calculation</t>
        </is>
      </c>
      <c r="F70" t="inlineStr">
        <is>
          <t>'=D8+2%</t>
        </is>
      </c>
      <c r="G70" t="n">
        <v>0.8100000000000001</v>
      </c>
      <c r="H70" t="inlineStr"/>
      <c r="I70" t="inlineStr">
        <is>
          <t>0%</t>
        </is>
      </c>
      <c r="J70" t="b">
        <v>0</v>
      </c>
      <c r="K70" t="b">
        <v>0</v>
      </c>
      <c r="L70" t="n">
        <v>11</v>
      </c>
      <c r="M70" t="inlineStr">
        <is>
          <t>FFFF0000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G000006</t>
        </is>
      </c>
      <c r="T70" t="inlineStr">
        <is>
          <t>Horizontal</t>
        </is>
      </c>
      <c r="U70" t="n">
        <v>5</v>
      </c>
      <c r="V70" t="b">
        <v>1</v>
      </c>
      <c r="W70" t="inlineStr">
        <is>
          <t>Revenue Model!E8:I8</t>
        </is>
      </c>
      <c r="X70">
        <f>R[0]C[-1]+2%</f>
        <v/>
      </c>
    </row>
    <row r="71">
      <c r="A71" t="inlineStr">
        <is>
          <t>Revenue Model</t>
        </is>
      </c>
      <c r="B71" t="inlineStr">
        <is>
          <t>F8</t>
        </is>
      </c>
      <c r="C71" t="n">
        <v>8</v>
      </c>
      <c r="D71" t="n">
        <v>6</v>
      </c>
      <c r="E71" t="inlineStr">
        <is>
          <t>Calculation</t>
        </is>
      </c>
      <c r="F71" t="inlineStr">
        <is>
          <t>'=E8+2%</t>
        </is>
      </c>
      <c r="G71" t="n">
        <v>0.8300000000000001</v>
      </c>
      <c r="H71" t="inlineStr"/>
      <c r="I71" t="inlineStr">
        <is>
          <t>0%</t>
        </is>
      </c>
      <c r="J71" t="b">
        <v>0</v>
      </c>
      <c r="K71" t="b">
        <v>0</v>
      </c>
      <c r="L71" t="n">
        <v>11</v>
      </c>
      <c r="M71" t="inlineStr">
        <is>
          <t>FFFF0000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G000006</t>
        </is>
      </c>
      <c r="T71" t="inlineStr">
        <is>
          <t>Horizontal</t>
        </is>
      </c>
      <c r="U71" t="n">
        <v>5</v>
      </c>
      <c r="V71" t="b">
        <v>1</v>
      </c>
      <c r="W71" t="inlineStr">
        <is>
          <t>Revenue Model!E8:I8</t>
        </is>
      </c>
      <c r="X71">
        <f>R[0]C[-1]+2%</f>
        <v/>
      </c>
    </row>
    <row r="72">
      <c r="A72" t="inlineStr">
        <is>
          <t>Revenue Model</t>
        </is>
      </c>
      <c r="B72" t="inlineStr">
        <is>
          <t>G8</t>
        </is>
      </c>
      <c r="C72" t="n">
        <v>8</v>
      </c>
      <c r="D72" t="n">
        <v>7</v>
      </c>
      <c r="E72" t="inlineStr">
        <is>
          <t>Calculation</t>
        </is>
      </c>
      <c r="F72" t="inlineStr">
        <is>
          <t>'=F8+2%</t>
        </is>
      </c>
      <c r="G72" t="n">
        <v>0.8500000000000001</v>
      </c>
      <c r="H72" t="inlineStr"/>
      <c r="I72" t="inlineStr">
        <is>
          <t>0%</t>
        </is>
      </c>
      <c r="J72" t="b">
        <v>0</v>
      </c>
      <c r="K72" t="b">
        <v>0</v>
      </c>
      <c r="L72" t="n">
        <v>11</v>
      </c>
      <c r="M72" t="inlineStr">
        <is>
          <t>FFFF0000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inlineStr">
        <is>
          <t>G000006</t>
        </is>
      </c>
      <c r="T72" t="inlineStr">
        <is>
          <t>Horizontal</t>
        </is>
      </c>
      <c r="U72" t="n">
        <v>5</v>
      </c>
      <c r="V72" t="b">
        <v>1</v>
      </c>
      <c r="W72" t="inlineStr">
        <is>
          <t>Revenue Model!E8:I8</t>
        </is>
      </c>
      <c r="X72">
        <f>R[0]C[-1]+2%</f>
        <v/>
      </c>
    </row>
    <row r="73">
      <c r="A73" t="inlineStr">
        <is>
          <t>Revenue Model</t>
        </is>
      </c>
      <c r="B73" t="inlineStr">
        <is>
          <t>H8</t>
        </is>
      </c>
      <c r="C73" t="n">
        <v>8</v>
      </c>
      <c r="D73" t="n">
        <v>8</v>
      </c>
      <c r="E73" t="inlineStr">
        <is>
          <t>Calculation</t>
        </is>
      </c>
      <c r="F73" t="inlineStr">
        <is>
          <t>'=G8+2%</t>
        </is>
      </c>
      <c r="G73" t="n">
        <v>0.8700000000000001</v>
      </c>
      <c r="H73" t="inlineStr"/>
      <c r="I73" t="inlineStr">
        <is>
          <t>0%</t>
        </is>
      </c>
      <c r="J73" t="b">
        <v>0</v>
      </c>
      <c r="K73" t="b">
        <v>0</v>
      </c>
      <c r="L73" t="n">
        <v>11</v>
      </c>
      <c r="M73" t="inlineStr">
        <is>
          <t>FFFF0000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inlineStr">
        <is>
          <t>G000006</t>
        </is>
      </c>
      <c r="T73" t="inlineStr">
        <is>
          <t>Horizontal</t>
        </is>
      </c>
      <c r="U73" t="n">
        <v>5</v>
      </c>
      <c r="V73" t="b">
        <v>1</v>
      </c>
      <c r="W73" t="inlineStr">
        <is>
          <t>Revenue Model!E8:I8</t>
        </is>
      </c>
      <c r="X73">
        <f>R[0]C[-1]+2%</f>
        <v/>
      </c>
    </row>
    <row r="74">
      <c r="A74" t="inlineStr">
        <is>
          <t>Revenue Model</t>
        </is>
      </c>
      <c r="B74" t="inlineStr">
        <is>
          <t>I8</t>
        </is>
      </c>
      <c r="C74" t="n">
        <v>8</v>
      </c>
      <c r="D74" t="n">
        <v>9</v>
      </c>
      <c r="E74" t="inlineStr">
        <is>
          <t>Calculation</t>
        </is>
      </c>
      <c r="F74" t="inlineStr">
        <is>
          <t>'=H8+2%</t>
        </is>
      </c>
      <c r="G74" t="n">
        <v>0.8900000000000001</v>
      </c>
      <c r="H74" t="inlineStr"/>
      <c r="I74" t="inlineStr">
        <is>
          <t>0%</t>
        </is>
      </c>
      <c r="J74" t="b">
        <v>0</v>
      </c>
      <c r="K74" t="b">
        <v>0</v>
      </c>
      <c r="L74" t="n">
        <v>11</v>
      </c>
      <c r="M74" t="inlineStr">
        <is>
          <t>FFFF0000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inlineStr">
        <is>
          <t>G000006</t>
        </is>
      </c>
      <c r="T74" t="inlineStr">
        <is>
          <t>Horizontal</t>
        </is>
      </c>
      <c r="U74" t="n">
        <v>5</v>
      </c>
      <c r="V74" t="b">
        <v>1</v>
      </c>
      <c r="W74" t="inlineStr">
        <is>
          <t>Revenue Model!E8:I8</t>
        </is>
      </c>
      <c r="X74">
        <f>R[0]C[-1]+2%</f>
        <v/>
      </c>
    </row>
    <row r="75">
      <c r="A75" t="inlineStr">
        <is>
          <t>Revenue Model</t>
        </is>
      </c>
      <c r="B75" t="inlineStr">
        <is>
          <t>J8</t>
        </is>
      </c>
      <c r="C75" t="n">
        <v>8</v>
      </c>
      <c r="D75" t="n">
        <v>10</v>
      </c>
      <c r="E75" t="inlineStr">
        <is>
          <t>Input</t>
        </is>
      </c>
      <c r="F75" t="n">
        <v/>
      </c>
      <c r="G75" t="inlineStr">
        <is>
          <t>Assuming the utilisation to reach 90% as per various media reports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Revenue Model</t>
        </is>
      </c>
      <c r="B76" t="inlineStr">
        <is>
          <t>A9</t>
        </is>
      </c>
      <c r="C76" t="n">
        <v>9</v>
      </c>
      <c r="D76" t="n">
        <v>1</v>
      </c>
      <c r="E76" t="inlineStr">
        <is>
          <t>Input</t>
        </is>
      </c>
      <c r="F76" t="n">
        <v/>
      </c>
      <c r="G76" t="inlineStr">
        <is>
          <t>Capacity Million Tonnes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Revenue Model</t>
        </is>
      </c>
      <c r="B77" t="inlineStr">
        <is>
          <t>B9</t>
        </is>
      </c>
      <c r="C77" t="n">
        <v>9</v>
      </c>
      <c r="D77" t="n">
        <v>2</v>
      </c>
      <c r="E77" t="inlineStr">
        <is>
          <t>Output</t>
        </is>
      </c>
      <c r="F77" t="inlineStr">
        <is>
          <t>'=B5*100%/B8</t>
        </is>
      </c>
      <c r="G77" t="n">
        <v>30.96103896103896</v>
      </c>
      <c r="H77" t="inlineStr"/>
      <c r="I77" t="inlineStr">
        <is>
          <t>0.00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inlineStr">
        <is>
          <t>G000007</t>
        </is>
      </c>
      <c r="T77" t="inlineStr">
        <is>
          <t>Horizontal</t>
        </is>
      </c>
      <c r="U77" t="n">
        <v>3</v>
      </c>
      <c r="V77" t="b">
        <v>1</v>
      </c>
      <c r="W77" t="inlineStr">
        <is>
          <t>Revenue Model!B9:D9</t>
        </is>
      </c>
      <c r="X77">
        <f>R[-4]C[0]*100%/R[-1]C[0]</f>
        <v/>
      </c>
    </row>
    <row r="78">
      <c r="A78" t="inlineStr">
        <is>
          <t>Revenue Model</t>
        </is>
      </c>
      <c r="B78" t="inlineStr">
        <is>
          <t>C9</t>
        </is>
      </c>
      <c r="C78" t="n">
        <v>9</v>
      </c>
      <c r="D78" t="n">
        <v>3</v>
      </c>
      <c r="E78" t="inlineStr">
        <is>
          <t>Output</t>
        </is>
      </c>
      <c r="F78" t="inlineStr">
        <is>
          <t>'=C5*100%/C8</t>
        </is>
      </c>
      <c r="G78" t="n">
        <v>31.75342465753425</v>
      </c>
      <c r="H78" t="inlineStr"/>
      <c r="I78" t="inlineStr">
        <is>
          <t>0.00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inlineStr">
        <is>
          <t>G000007</t>
        </is>
      </c>
      <c r="T78" t="inlineStr">
        <is>
          <t>Horizontal</t>
        </is>
      </c>
      <c r="U78" t="n">
        <v>3</v>
      </c>
      <c r="V78" t="b">
        <v>1</v>
      </c>
      <c r="W78" t="inlineStr">
        <is>
          <t>Revenue Model!B9:D9</t>
        </is>
      </c>
      <c r="X78">
        <f>R[-4]C[0]*100%/R[-1]C[0]</f>
        <v/>
      </c>
    </row>
    <row r="79">
      <c r="A79" t="inlineStr">
        <is>
          <t>Revenue Model</t>
        </is>
      </c>
      <c r="B79" t="inlineStr">
        <is>
          <t>D9</t>
        </is>
      </c>
      <c r="C79" t="n">
        <v>9</v>
      </c>
      <c r="D79" t="n">
        <v>4</v>
      </c>
      <c r="E79" t="inlineStr">
        <is>
          <t>Calculation</t>
        </is>
      </c>
      <c r="F79" t="inlineStr">
        <is>
          <t>'=D5*100%/D8</t>
        </is>
      </c>
      <c r="G79" t="n">
        <v>33.62025316455696</v>
      </c>
      <c r="H79" t="inlineStr"/>
      <c r="I79" t="inlineStr">
        <is>
          <t>0.00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G000007</t>
        </is>
      </c>
      <c r="T79" t="inlineStr">
        <is>
          <t>Horizontal</t>
        </is>
      </c>
      <c r="U79" t="n">
        <v>3</v>
      </c>
      <c r="V79" t="b">
        <v>1</v>
      </c>
      <c r="W79" t="inlineStr">
        <is>
          <t>Revenue Model!B9:D9</t>
        </is>
      </c>
      <c r="X79">
        <f>R[-4]C[0]*100%/R[-1]C[0]</f>
        <v/>
      </c>
    </row>
    <row r="80">
      <c r="A80" t="inlineStr">
        <is>
          <t>Revenue Model</t>
        </is>
      </c>
      <c r="B80" t="inlineStr">
        <is>
          <t>E9</t>
        </is>
      </c>
      <c r="C80" t="n">
        <v>9</v>
      </c>
      <c r="D80" t="n">
        <v>5</v>
      </c>
      <c r="E80" t="inlineStr">
        <is>
          <t>Calculation</t>
        </is>
      </c>
      <c r="F80" t="inlineStr">
        <is>
          <t>'=$D$9</t>
        </is>
      </c>
      <c r="G80" t="n">
        <v>33.62025316455696</v>
      </c>
      <c r="H80" t="inlineStr"/>
      <c r="I80" t="inlineStr">
        <is>
          <t>0.00</t>
        </is>
      </c>
      <c r="J80" t="b">
        <v>0</v>
      </c>
      <c r="K80" t="b">
        <v>0</v>
      </c>
      <c r="L80" t="n">
        <v>11</v>
      </c>
      <c r="M80" t="inlineStr">
        <is>
          <t>FFFF0000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inlineStr">
        <is>
          <t>G000008</t>
        </is>
      </c>
      <c r="T80" t="inlineStr">
        <is>
          <t>Horizontal</t>
        </is>
      </c>
      <c r="U80" t="n">
        <v>5</v>
      </c>
      <c r="V80" t="b">
        <v>1</v>
      </c>
      <c r="W80" t="inlineStr">
        <is>
          <t>Revenue Model!E9:I9</t>
        </is>
      </c>
      <c r="X80">
        <f>R9C4</f>
        <v/>
      </c>
    </row>
    <row r="81">
      <c r="A81" t="inlineStr">
        <is>
          <t>Revenue Model</t>
        </is>
      </c>
      <c r="B81" t="inlineStr">
        <is>
          <t>F9</t>
        </is>
      </c>
      <c r="C81" t="n">
        <v>9</v>
      </c>
      <c r="D81" t="n">
        <v>6</v>
      </c>
      <c r="E81" t="inlineStr">
        <is>
          <t>Calculation</t>
        </is>
      </c>
      <c r="F81" t="inlineStr">
        <is>
          <t>'=$D$9</t>
        </is>
      </c>
      <c r="G81" t="n">
        <v>33.62025316455696</v>
      </c>
      <c r="H81" t="inlineStr"/>
      <c r="I81" t="inlineStr">
        <is>
          <t>0.00</t>
        </is>
      </c>
      <c r="J81" t="b">
        <v>0</v>
      </c>
      <c r="K81" t="b">
        <v>0</v>
      </c>
      <c r="L81" t="n">
        <v>11</v>
      </c>
      <c r="M81" t="inlineStr">
        <is>
          <t>FFFF0000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G000008</t>
        </is>
      </c>
      <c r="T81" t="inlineStr">
        <is>
          <t>Horizontal</t>
        </is>
      </c>
      <c r="U81" t="n">
        <v>5</v>
      </c>
      <c r="V81" t="b">
        <v>1</v>
      </c>
      <c r="W81" t="inlineStr">
        <is>
          <t>Revenue Model!E9:I9</t>
        </is>
      </c>
      <c r="X81">
        <f>R9C4</f>
        <v/>
      </c>
    </row>
    <row r="82">
      <c r="A82" t="inlineStr">
        <is>
          <t>Revenue Model</t>
        </is>
      </c>
      <c r="B82" t="inlineStr">
        <is>
          <t>G9</t>
        </is>
      </c>
      <c r="C82" t="n">
        <v>9</v>
      </c>
      <c r="D82" t="n">
        <v>7</v>
      </c>
      <c r="E82" t="inlineStr">
        <is>
          <t>Calculation</t>
        </is>
      </c>
      <c r="F82" t="inlineStr">
        <is>
          <t>'=$D$9</t>
        </is>
      </c>
      <c r="G82" t="n">
        <v>33.62025316455696</v>
      </c>
      <c r="H82" t="inlineStr"/>
      <c r="I82" t="inlineStr">
        <is>
          <t>0.00</t>
        </is>
      </c>
      <c r="J82" t="b">
        <v>0</v>
      </c>
      <c r="K82" t="b">
        <v>0</v>
      </c>
      <c r="L82" t="n">
        <v>11</v>
      </c>
      <c r="M82" t="inlineStr">
        <is>
          <t>FFFF0000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inlineStr">
        <is>
          <t>G000008</t>
        </is>
      </c>
      <c r="T82" t="inlineStr">
        <is>
          <t>Horizontal</t>
        </is>
      </c>
      <c r="U82" t="n">
        <v>5</v>
      </c>
      <c r="V82" t="b">
        <v>1</v>
      </c>
      <c r="W82" t="inlineStr">
        <is>
          <t>Revenue Model!E9:I9</t>
        </is>
      </c>
      <c r="X82">
        <f>R9C4</f>
        <v/>
      </c>
    </row>
    <row r="83">
      <c r="A83" t="inlineStr">
        <is>
          <t>Revenue Model</t>
        </is>
      </c>
      <c r="B83" t="inlineStr">
        <is>
          <t>H9</t>
        </is>
      </c>
      <c r="C83" t="n">
        <v>9</v>
      </c>
      <c r="D83" t="n">
        <v>8</v>
      </c>
      <c r="E83" t="inlineStr">
        <is>
          <t>Calculation</t>
        </is>
      </c>
      <c r="F83" t="inlineStr">
        <is>
          <t>'=$D$9</t>
        </is>
      </c>
      <c r="G83" t="n">
        <v>33.62025316455696</v>
      </c>
      <c r="H83" t="inlineStr"/>
      <c r="I83" t="inlineStr">
        <is>
          <t>0.00</t>
        </is>
      </c>
      <c r="J83" t="b">
        <v>0</v>
      </c>
      <c r="K83" t="b">
        <v>0</v>
      </c>
      <c r="L83" t="n">
        <v>11</v>
      </c>
      <c r="M83" t="inlineStr">
        <is>
          <t>FFFF0000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G000008</t>
        </is>
      </c>
      <c r="T83" t="inlineStr">
        <is>
          <t>Horizontal</t>
        </is>
      </c>
      <c r="U83" t="n">
        <v>5</v>
      </c>
      <c r="V83" t="b">
        <v>1</v>
      </c>
      <c r="W83" t="inlineStr">
        <is>
          <t>Revenue Model!E9:I9</t>
        </is>
      </c>
      <c r="X83">
        <f>R9C4</f>
        <v/>
      </c>
    </row>
    <row r="84">
      <c r="A84" t="inlineStr">
        <is>
          <t>Revenue Model</t>
        </is>
      </c>
      <c r="B84" t="inlineStr">
        <is>
          <t>I9</t>
        </is>
      </c>
      <c r="C84" t="n">
        <v>9</v>
      </c>
      <c r="D84" t="n">
        <v>9</v>
      </c>
      <c r="E84" t="inlineStr">
        <is>
          <t>Calculation</t>
        </is>
      </c>
      <c r="F84" t="inlineStr">
        <is>
          <t>'=$D$9</t>
        </is>
      </c>
      <c r="G84" t="n">
        <v>33.62025316455696</v>
      </c>
      <c r="H84" t="inlineStr"/>
      <c r="I84" t="inlineStr">
        <is>
          <t>0.00</t>
        </is>
      </c>
      <c r="J84" t="b">
        <v>0</v>
      </c>
      <c r="K84" t="b">
        <v>0</v>
      </c>
      <c r="L84" t="n">
        <v>11</v>
      </c>
      <c r="M84" t="inlineStr">
        <is>
          <t>FFFF0000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G000008</t>
        </is>
      </c>
      <c r="T84" t="inlineStr">
        <is>
          <t>Horizontal</t>
        </is>
      </c>
      <c r="U84" t="n">
        <v>5</v>
      </c>
      <c r="V84" t="b">
        <v>1</v>
      </c>
      <c r="W84" t="inlineStr">
        <is>
          <t>Revenue Model!E9:I9</t>
        </is>
      </c>
      <c r="X84">
        <f>R9C4</f>
        <v/>
      </c>
    </row>
    <row r="85">
      <c r="A85" t="inlineStr">
        <is>
          <t>Revenue Model</t>
        </is>
      </c>
      <c r="B85" t="inlineStr">
        <is>
          <t>J9</t>
        </is>
      </c>
      <c r="C85" t="n">
        <v>9</v>
      </c>
      <c r="D85" t="n">
        <v>10</v>
      </c>
      <c r="E85" t="inlineStr">
        <is>
          <t>Input</t>
        </is>
      </c>
      <c r="F85" t="n">
        <v/>
      </c>
      <c r="G85" t="inlineStr">
        <is>
          <t>Assuming the capacity to remain same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Revenue Model</t>
        </is>
      </c>
      <c r="B86" t="inlineStr">
        <is>
          <t>A10</t>
        </is>
      </c>
      <c r="C86" t="n">
        <v>10</v>
      </c>
      <c r="D86" t="n">
        <v>1</v>
      </c>
      <c r="E86" t="inlineStr">
        <is>
          <t>Input</t>
        </is>
      </c>
      <c r="F86" t="n">
        <v/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0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Revenue Model</t>
        </is>
      </c>
      <c r="B87" t="inlineStr">
        <is>
          <t>B10</t>
        </is>
      </c>
      <c r="C87" t="n">
        <v>10</v>
      </c>
      <c r="D87" t="n">
        <v>2</v>
      </c>
      <c r="E87" t="inlineStr">
        <is>
          <t>Input</t>
        </is>
      </c>
      <c r="F87" t="n">
        <v/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0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Revenue Model</t>
        </is>
      </c>
      <c r="B88" t="inlineStr">
        <is>
          <t>C10</t>
        </is>
      </c>
      <c r="C88" t="n">
        <v>10</v>
      </c>
      <c r="D88" t="n">
        <v>3</v>
      </c>
      <c r="E88" t="inlineStr">
        <is>
          <t>Input</t>
        </is>
      </c>
      <c r="F88" t="n">
        <v/>
      </c>
      <c r="H88" t="inlineStr"/>
      <c r="I88" t="inlineStr">
        <is>
          <t>0%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0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Revenue Model</t>
        </is>
      </c>
      <c r="B89" t="inlineStr">
        <is>
          <t>D10</t>
        </is>
      </c>
      <c r="C89" t="n">
        <v>10</v>
      </c>
      <c r="D89" t="n">
        <v>4</v>
      </c>
      <c r="E89" t="inlineStr">
        <is>
          <t>Input</t>
        </is>
      </c>
      <c r="F89" t="n">
        <v/>
      </c>
      <c r="H89" t="inlineStr"/>
      <c r="I89" t="inlineStr">
        <is>
          <t>0%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0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Revenue Model</t>
        </is>
      </c>
      <c r="B90" t="inlineStr">
        <is>
          <t>E10</t>
        </is>
      </c>
      <c r="C90" t="n">
        <v>10</v>
      </c>
      <c r="D90" t="n">
        <v>5</v>
      </c>
      <c r="E90" t="inlineStr">
        <is>
          <t>Input</t>
        </is>
      </c>
      <c r="F90" t="n">
        <v/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0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Revenue Model</t>
        </is>
      </c>
      <c r="B91" t="inlineStr">
        <is>
          <t>F10</t>
        </is>
      </c>
      <c r="C91" t="n">
        <v>10</v>
      </c>
      <c r="D91" t="n">
        <v>6</v>
      </c>
      <c r="E91" t="inlineStr">
        <is>
          <t>Input</t>
        </is>
      </c>
      <c r="F91" t="n">
        <v/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0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Revenue Model</t>
        </is>
      </c>
      <c r="B92" t="inlineStr">
        <is>
          <t>G10</t>
        </is>
      </c>
      <c r="C92" t="n">
        <v>10</v>
      </c>
      <c r="D92" t="n">
        <v>7</v>
      </c>
      <c r="E92" t="inlineStr">
        <is>
          <t>Input</t>
        </is>
      </c>
      <c r="F92" t="n">
        <v/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0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Revenue Model</t>
        </is>
      </c>
      <c r="B93" t="inlineStr">
        <is>
          <t>H10</t>
        </is>
      </c>
      <c r="C93" t="n">
        <v>10</v>
      </c>
      <c r="D93" t="n">
        <v>8</v>
      </c>
      <c r="E93" t="inlineStr">
        <is>
          <t>Input</t>
        </is>
      </c>
      <c r="F93" t="n">
        <v/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0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Revenue Model</t>
        </is>
      </c>
      <c r="B94" t="inlineStr">
        <is>
          <t>I10</t>
        </is>
      </c>
      <c r="C94" t="n">
        <v>10</v>
      </c>
      <c r="D94" t="n">
        <v>9</v>
      </c>
      <c r="E94" t="inlineStr">
        <is>
          <t>Input</t>
        </is>
      </c>
      <c r="F94" t="n">
        <v/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0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Revenue Model</t>
        </is>
      </c>
      <c r="B95" t="inlineStr">
        <is>
          <t>A11</t>
        </is>
      </c>
      <c r="C95" t="n">
        <v>11</v>
      </c>
      <c r="D95" t="n">
        <v>1</v>
      </c>
      <c r="E95" t="inlineStr">
        <is>
          <t>Input</t>
        </is>
      </c>
      <c r="F95" t="n">
        <v/>
      </c>
      <c r="G95" t="inlineStr">
        <is>
          <t>Average price in crores per Million Tonnes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Revenue Model</t>
        </is>
      </c>
      <c r="B96" t="inlineStr">
        <is>
          <t>B11</t>
        </is>
      </c>
      <c r="C96" t="n">
        <v>11</v>
      </c>
      <c r="D96" t="n">
        <v>2</v>
      </c>
      <c r="E96" t="inlineStr">
        <is>
          <t>Calculation</t>
        </is>
      </c>
      <c r="F96" t="inlineStr">
        <is>
          <t>'=B2/B4</t>
        </is>
      </c>
      <c r="G96" t="n">
        <v>504.5300592718035</v>
      </c>
      <c r="H96" t="inlineStr"/>
      <c r="I96" t="inlineStr">
        <is>
          <t>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G000009</t>
        </is>
      </c>
      <c r="T96" t="inlineStr">
        <is>
          <t>Horizontal</t>
        </is>
      </c>
      <c r="U96" t="n">
        <v>3</v>
      </c>
      <c r="V96" t="b">
        <v>1</v>
      </c>
      <c r="W96" t="inlineStr">
        <is>
          <t>Revenue Model!B11:D11</t>
        </is>
      </c>
      <c r="X96">
        <f>R[-9]C[0]/R[-7]C[0]</f>
        <v/>
      </c>
    </row>
    <row r="97">
      <c r="A97" t="inlineStr">
        <is>
          <t>Revenue Model</t>
        </is>
      </c>
      <c r="B97" t="inlineStr">
        <is>
          <t>C11</t>
        </is>
      </c>
      <c r="C97" t="n">
        <v>11</v>
      </c>
      <c r="D97" t="n">
        <v>3</v>
      </c>
      <c r="E97" t="inlineStr">
        <is>
          <t>Calculation</t>
        </is>
      </c>
      <c r="F97" t="inlineStr">
        <is>
          <t>'=C2/C4</t>
        </is>
      </c>
      <c r="G97" t="n">
        <v>483.3492822966508</v>
      </c>
      <c r="H97" t="inlineStr"/>
      <c r="I97" t="inlineStr">
        <is>
          <t>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G000009</t>
        </is>
      </c>
      <c r="T97" t="inlineStr">
        <is>
          <t>Horizontal</t>
        </is>
      </c>
      <c r="U97" t="n">
        <v>3</v>
      </c>
      <c r="V97" t="b">
        <v>1</v>
      </c>
      <c r="W97" t="inlineStr">
        <is>
          <t>Revenue Model!B11:D11</t>
        </is>
      </c>
      <c r="X97">
        <f>R[-9]C[0]/R[-7]C[0]</f>
        <v/>
      </c>
    </row>
    <row r="98">
      <c r="A98" t="inlineStr">
        <is>
          <t>Revenue Model</t>
        </is>
      </c>
      <c r="B98" t="inlineStr">
        <is>
          <t>D11</t>
        </is>
      </c>
      <c r="C98" t="n">
        <v>11</v>
      </c>
      <c r="D98" t="n">
        <v>4</v>
      </c>
      <c r="E98" t="inlineStr">
        <is>
          <t>Calculation</t>
        </is>
      </c>
      <c r="F98" t="inlineStr">
        <is>
          <t>'=D2/D4</t>
        </is>
      </c>
      <c r="G98" t="n">
        <v>511.7733689431515</v>
      </c>
      <c r="H98" t="inlineStr"/>
      <c r="I98" t="inlineStr">
        <is>
          <t>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inlineStr">
        <is>
          <t>G000009</t>
        </is>
      </c>
      <c r="T98" t="inlineStr">
        <is>
          <t>Horizontal</t>
        </is>
      </c>
      <c r="U98" t="n">
        <v>3</v>
      </c>
      <c r="V98" t="b">
        <v>1</v>
      </c>
      <c r="W98" t="inlineStr">
        <is>
          <t>Revenue Model!B11:D11</t>
        </is>
      </c>
      <c r="X98">
        <f>R[-9]C[0]/R[-7]C[0]</f>
        <v/>
      </c>
    </row>
    <row r="99">
      <c r="A99" t="inlineStr">
        <is>
          <t>Revenue Model</t>
        </is>
      </c>
      <c r="B99" t="inlineStr">
        <is>
          <t>E11</t>
        </is>
      </c>
      <c r="C99" t="n">
        <v>11</v>
      </c>
      <c r="D99" t="n">
        <v>5</v>
      </c>
      <c r="E99" t="inlineStr">
        <is>
          <t>Calculation</t>
        </is>
      </c>
      <c r="F99" t="inlineStr">
        <is>
          <t>'=D11*(1+E12)</t>
        </is>
      </c>
      <c r="G99" t="n">
        <v>537.3620373903091</v>
      </c>
      <c r="H99" t="inlineStr"/>
      <c r="I99" t="inlineStr">
        <is>
          <t>0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G000010</t>
        </is>
      </c>
      <c r="T99" t="inlineStr">
        <is>
          <t>Horizontal</t>
        </is>
      </c>
      <c r="U99" t="n">
        <v>5</v>
      </c>
      <c r="V99" t="b">
        <v>1</v>
      </c>
      <c r="W99" t="inlineStr">
        <is>
          <t>Revenue Model!E11:I11</t>
        </is>
      </c>
      <c r="X99">
        <f>R[0]C[-1]*(1+R[1]C[0])</f>
        <v/>
      </c>
    </row>
    <row r="100">
      <c r="A100" t="inlineStr">
        <is>
          <t>Revenue Model</t>
        </is>
      </c>
      <c r="B100" t="inlineStr">
        <is>
          <t>F11</t>
        </is>
      </c>
      <c r="C100" t="n">
        <v>11</v>
      </c>
      <c r="D100" t="n">
        <v>6</v>
      </c>
      <c r="E100" t="inlineStr">
        <is>
          <t>Calculation</t>
        </is>
      </c>
      <c r="F100" t="inlineStr">
        <is>
          <t>'=E11*(1+F12)</t>
        </is>
      </c>
      <c r="G100" t="n">
        <v>564.2301392598246</v>
      </c>
      <c r="H100" t="inlineStr"/>
      <c r="I100" t="inlineStr">
        <is>
          <t>0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inlineStr">
        <is>
          <t>G000010</t>
        </is>
      </c>
      <c r="T100" t="inlineStr">
        <is>
          <t>Horizontal</t>
        </is>
      </c>
      <c r="U100" t="n">
        <v>5</v>
      </c>
      <c r="V100" t="b">
        <v>1</v>
      </c>
      <c r="W100" t="inlineStr">
        <is>
          <t>Revenue Model!E11:I11</t>
        </is>
      </c>
      <c r="X100">
        <f>R[0]C[-1]*(1+R[1]C[0])</f>
        <v/>
      </c>
    </row>
    <row r="101">
      <c r="A101" t="inlineStr">
        <is>
          <t>Revenue Model</t>
        </is>
      </c>
      <c r="B101" t="inlineStr">
        <is>
          <t>G11</t>
        </is>
      </c>
      <c r="C101" t="n">
        <v>11</v>
      </c>
      <c r="D101" t="n">
        <v>7</v>
      </c>
      <c r="E101" t="inlineStr">
        <is>
          <t>Calculation</t>
        </is>
      </c>
      <c r="F101" t="inlineStr">
        <is>
          <t>'=F11*(1+G12)</t>
        </is>
      </c>
      <c r="G101" t="n">
        <v>592.4416462228158</v>
      </c>
      <c r="H101" t="inlineStr"/>
      <c r="I101" t="inlineStr">
        <is>
          <t>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G000010</t>
        </is>
      </c>
      <c r="T101" t="inlineStr">
        <is>
          <t>Horizontal</t>
        </is>
      </c>
      <c r="U101" t="n">
        <v>5</v>
      </c>
      <c r="V101" t="b">
        <v>1</v>
      </c>
      <c r="W101" t="inlineStr">
        <is>
          <t>Revenue Model!E11:I11</t>
        </is>
      </c>
      <c r="X101">
        <f>R[0]C[-1]*(1+R[1]C[0])</f>
        <v/>
      </c>
    </row>
    <row r="102">
      <c r="A102" t="inlineStr">
        <is>
          <t>Revenue Model</t>
        </is>
      </c>
      <c r="B102" t="inlineStr">
        <is>
          <t>H11</t>
        </is>
      </c>
      <c r="C102" t="n">
        <v>11</v>
      </c>
      <c r="D102" t="n">
        <v>8</v>
      </c>
      <c r="E102" t="inlineStr">
        <is>
          <t>Calculation</t>
        </is>
      </c>
      <c r="F102" t="inlineStr">
        <is>
          <t>'=G11*(1+H12)</t>
        </is>
      </c>
      <c r="G102" t="n">
        <v>622.0637285339567</v>
      </c>
      <c r="H102" t="inlineStr"/>
      <c r="I102" t="inlineStr">
        <is>
          <t>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G000010</t>
        </is>
      </c>
      <c r="T102" t="inlineStr">
        <is>
          <t>Horizontal</t>
        </is>
      </c>
      <c r="U102" t="n">
        <v>5</v>
      </c>
      <c r="V102" t="b">
        <v>1</v>
      </c>
      <c r="W102" t="inlineStr">
        <is>
          <t>Revenue Model!E11:I11</t>
        </is>
      </c>
      <c r="X102">
        <f>R[0]C[-1]*(1+R[1]C[0])</f>
        <v/>
      </c>
    </row>
    <row r="103">
      <c r="A103" t="inlineStr">
        <is>
          <t>Revenue Model</t>
        </is>
      </c>
      <c r="B103" t="inlineStr">
        <is>
          <t>I11</t>
        </is>
      </c>
      <c r="C103" t="n">
        <v>11</v>
      </c>
      <c r="D103" t="n">
        <v>9</v>
      </c>
      <c r="E103" t="inlineStr">
        <is>
          <t>Calculation</t>
        </is>
      </c>
      <c r="F103" t="inlineStr">
        <is>
          <t>'=H11*(1+I12)</t>
        </is>
      </c>
      <c r="G103" t="n">
        <v>653.1669149606546</v>
      </c>
      <c r="H103" t="inlineStr"/>
      <c r="I103" t="inlineStr">
        <is>
          <t>0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inlineStr">
        <is>
          <t>G000010</t>
        </is>
      </c>
      <c r="T103" t="inlineStr">
        <is>
          <t>Horizontal</t>
        </is>
      </c>
      <c r="U103" t="n">
        <v>5</v>
      </c>
      <c r="V103" t="b">
        <v>1</v>
      </c>
      <c r="W103" t="inlineStr">
        <is>
          <t>Revenue Model!E11:I11</t>
        </is>
      </c>
      <c r="X103">
        <f>R[0]C[-1]*(1+R[1]C[0])</f>
        <v/>
      </c>
    </row>
    <row r="104">
      <c r="A104" t="inlineStr">
        <is>
          <t>Revenue Model</t>
        </is>
      </c>
      <c r="B104" t="inlineStr">
        <is>
          <t>A12</t>
        </is>
      </c>
      <c r="C104" t="n">
        <v>12</v>
      </c>
      <c r="D104" t="n">
        <v>1</v>
      </c>
      <c r="E104" t="inlineStr">
        <is>
          <t>Input</t>
        </is>
      </c>
      <c r="F104" t="n">
        <v/>
      </c>
      <c r="H104" t="inlineStr"/>
      <c r="I104" t="inlineStr">
        <is>
          <t>General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Revenue Model</t>
        </is>
      </c>
      <c r="B105" t="inlineStr">
        <is>
          <t>B12</t>
        </is>
      </c>
      <c r="C105" t="n">
        <v>12</v>
      </c>
      <c r="D105" t="n">
        <v>2</v>
      </c>
      <c r="E105" t="inlineStr">
        <is>
          <t>Input</t>
        </is>
      </c>
      <c r="F105" t="n">
        <v/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0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Revenue Model</t>
        </is>
      </c>
      <c r="B106" t="inlineStr">
        <is>
          <t>C12</t>
        </is>
      </c>
      <c r="C106" t="n">
        <v>12</v>
      </c>
      <c r="D106" t="n">
        <v>3</v>
      </c>
      <c r="E106" t="inlineStr">
        <is>
          <t>Output</t>
        </is>
      </c>
      <c r="F106" t="inlineStr">
        <is>
          <t>'=C11/B11-1</t>
        </is>
      </c>
      <c r="G106" t="n">
        <v>-0.04198119930797251</v>
      </c>
      <c r="H106" t="inlineStr"/>
      <c r="I106" t="inlineStr">
        <is>
          <t>0%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inlineStr">
        <is>
          <t>G000011</t>
        </is>
      </c>
      <c r="T106" t="inlineStr">
        <is>
          <t>Horizontal</t>
        </is>
      </c>
      <c r="U106" t="n">
        <v>2</v>
      </c>
      <c r="V106" t="b">
        <v>1</v>
      </c>
      <c r="W106" t="inlineStr">
        <is>
          <t>Revenue Model!C12:D12</t>
        </is>
      </c>
      <c r="X106">
        <f>R[-1]C[0]/R[-1]C[-1]-1</f>
        <v/>
      </c>
    </row>
    <row r="107">
      <c r="A107" t="inlineStr">
        <is>
          <t>Revenue Model</t>
        </is>
      </c>
      <c r="B107" t="inlineStr">
        <is>
          <t>D12</t>
        </is>
      </c>
      <c r="C107" t="n">
        <v>12</v>
      </c>
      <c r="D107" t="n">
        <v>4</v>
      </c>
      <c r="E107" t="inlineStr">
        <is>
          <t>Output</t>
        </is>
      </c>
      <c r="F107" t="inlineStr">
        <is>
          <t>'=D11/C11-1</t>
        </is>
      </c>
      <c r="G107" t="n">
        <v>0.05880651464183972</v>
      </c>
      <c r="H107" t="inlineStr"/>
      <c r="I107" t="inlineStr">
        <is>
          <t>0%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inlineStr">
        <is>
          <t>G000011</t>
        </is>
      </c>
      <c r="T107" t="inlineStr">
        <is>
          <t>Horizontal</t>
        </is>
      </c>
      <c r="U107" t="n">
        <v>2</v>
      </c>
      <c r="V107" t="b">
        <v>1</v>
      </c>
      <c r="W107" t="inlineStr">
        <is>
          <t>Revenue Model!C12:D12</t>
        </is>
      </c>
      <c r="X107">
        <f>R[-1]C[0]/R[-1]C[-1]-1</f>
        <v/>
      </c>
    </row>
    <row r="108">
      <c r="A108" t="inlineStr">
        <is>
          <t>Revenue Model</t>
        </is>
      </c>
      <c r="B108" t="inlineStr">
        <is>
          <t>E12</t>
        </is>
      </c>
      <c r="C108" t="n">
        <v>12</v>
      </c>
      <c r="D108" t="n">
        <v>5</v>
      </c>
      <c r="E108" t="inlineStr">
        <is>
          <t>Calculation</t>
        </is>
      </c>
      <c r="F108" t="inlineStr">
        <is>
          <t>'=DCF!$B$33</t>
        </is>
      </c>
      <c r="G108" t="n">
        <v>0.05</v>
      </c>
      <c r="H108" t="inlineStr"/>
      <c r="I108" t="inlineStr">
        <is>
          <t>0%</t>
        </is>
      </c>
      <c r="J108" t="b">
        <v>0</v>
      </c>
      <c r="K108" t="b">
        <v>0</v>
      </c>
      <c r="L108" t="n">
        <v>11</v>
      </c>
      <c r="M108" t="inlineStr">
        <is>
          <t>FFFF0000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G000015</t>
        </is>
      </c>
      <c r="T108" t="inlineStr">
        <is>
          <t>Horizontal</t>
        </is>
      </c>
      <c r="U108" t="n">
        <v>5</v>
      </c>
      <c r="V108" t="b">
        <v>1</v>
      </c>
      <c r="W108" t="inlineStr">
        <is>
          <t>Revenue Model!E12:I12</t>
        </is>
      </c>
      <c r="X108">
        <f>'DCF'!R33C2</f>
        <v/>
      </c>
    </row>
    <row r="109">
      <c r="A109" t="inlineStr">
        <is>
          <t>Revenue Model</t>
        </is>
      </c>
      <c r="B109" t="inlineStr">
        <is>
          <t>F12</t>
        </is>
      </c>
      <c r="C109" t="n">
        <v>12</v>
      </c>
      <c r="D109" t="n">
        <v>6</v>
      </c>
      <c r="E109" t="inlineStr">
        <is>
          <t>Calculation</t>
        </is>
      </c>
      <c r="F109" t="inlineStr">
        <is>
          <t>'=DCF!$B$33</t>
        </is>
      </c>
      <c r="G109" t="n">
        <v>0.05</v>
      </c>
      <c r="H109" t="inlineStr"/>
      <c r="I109" t="inlineStr">
        <is>
          <t>0%</t>
        </is>
      </c>
      <c r="J109" t="b">
        <v>0</v>
      </c>
      <c r="K109" t="b">
        <v>0</v>
      </c>
      <c r="L109" t="n">
        <v>11</v>
      </c>
      <c r="M109" t="inlineStr">
        <is>
          <t>FFFF0000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G000015</t>
        </is>
      </c>
      <c r="T109" t="inlineStr">
        <is>
          <t>Horizontal</t>
        </is>
      </c>
      <c r="U109" t="n">
        <v>5</v>
      </c>
      <c r="V109" t="b">
        <v>1</v>
      </c>
      <c r="W109" t="inlineStr">
        <is>
          <t>Revenue Model!E12:I12</t>
        </is>
      </c>
      <c r="X109">
        <f>'DCF'!R33C2</f>
        <v/>
      </c>
    </row>
    <row r="110">
      <c r="A110" t="inlineStr">
        <is>
          <t>Revenue Model</t>
        </is>
      </c>
      <c r="B110" t="inlineStr">
        <is>
          <t>G12</t>
        </is>
      </c>
      <c r="C110" t="n">
        <v>12</v>
      </c>
      <c r="D110" t="n">
        <v>7</v>
      </c>
      <c r="E110" t="inlineStr">
        <is>
          <t>Calculation</t>
        </is>
      </c>
      <c r="F110" t="inlineStr">
        <is>
          <t>'=DCF!$B$33</t>
        </is>
      </c>
      <c r="G110" t="n">
        <v>0.05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FFFF0000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G000015</t>
        </is>
      </c>
      <c r="T110" t="inlineStr">
        <is>
          <t>Horizontal</t>
        </is>
      </c>
      <c r="U110" t="n">
        <v>5</v>
      </c>
      <c r="V110" t="b">
        <v>1</v>
      </c>
      <c r="W110" t="inlineStr">
        <is>
          <t>Revenue Model!E12:I12</t>
        </is>
      </c>
      <c r="X110">
        <f>'DCF'!R33C2</f>
        <v/>
      </c>
    </row>
    <row r="111">
      <c r="A111" t="inlineStr">
        <is>
          <t>Revenue Model</t>
        </is>
      </c>
      <c r="B111" t="inlineStr">
        <is>
          <t>H12</t>
        </is>
      </c>
      <c r="C111" t="n">
        <v>12</v>
      </c>
      <c r="D111" t="n">
        <v>8</v>
      </c>
      <c r="E111" t="inlineStr">
        <is>
          <t>Calculation</t>
        </is>
      </c>
      <c r="F111" t="inlineStr">
        <is>
          <t>'=DCF!$B$33</t>
        </is>
      </c>
      <c r="G111" t="n">
        <v>0.05</v>
      </c>
      <c r="H111" t="inlineStr"/>
      <c r="I111" t="inlineStr">
        <is>
          <t>0%</t>
        </is>
      </c>
      <c r="J111" t="b">
        <v>0</v>
      </c>
      <c r="K111" t="b">
        <v>0</v>
      </c>
      <c r="L111" t="n">
        <v>11</v>
      </c>
      <c r="M111" t="inlineStr">
        <is>
          <t>FFFF0000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G000015</t>
        </is>
      </c>
      <c r="T111" t="inlineStr">
        <is>
          <t>Horizontal</t>
        </is>
      </c>
      <c r="U111" t="n">
        <v>5</v>
      </c>
      <c r="V111" t="b">
        <v>1</v>
      </c>
      <c r="W111" t="inlineStr">
        <is>
          <t>Revenue Model!E12:I12</t>
        </is>
      </c>
      <c r="X111">
        <f>'DCF'!R33C2</f>
        <v/>
      </c>
    </row>
    <row r="112">
      <c r="A112" t="inlineStr">
        <is>
          <t>Revenue Model</t>
        </is>
      </c>
      <c r="B112" t="inlineStr">
        <is>
          <t>I12</t>
        </is>
      </c>
      <c r="C112" t="n">
        <v>12</v>
      </c>
      <c r="D112" t="n">
        <v>9</v>
      </c>
      <c r="E112" t="inlineStr">
        <is>
          <t>Calculation</t>
        </is>
      </c>
      <c r="F112" t="inlineStr">
        <is>
          <t>'=DCF!$B$33</t>
        </is>
      </c>
      <c r="G112" t="n">
        <v>0.05</v>
      </c>
      <c r="H112" t="inlineStr"/>
      <c r="I112" t="inlineStr">
        <is>
          <t>0%</t>
        </is>
      </c>
      <c r="J112" t="b">
        <v>0</v>
      </c>
      <c r="K112" t="b">
        <v>0</v>
      </c>
      <c r="L112" t="n">
        <v>11</v>
      </c>
      <c r="M112" t="inlineStr">
        <is>
          <t>FFFF0000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G000015</t>
        </is>
      </c>
      <c r="T112" t="inlineStr">
        <is>
          <t>Horizontal</t>
        </is>
      </c>
      <c r="U112" t="n">
        <v>5</v>
      </c>
      <c r="V112" t="b">
        <v>1</v>
      </c>
      <c r="W112" t="inlineStr">
        <is>
          <t>Revenue Model!E12:I12</t>
        </is>
      </c>
      <c r="X112">
        <f>'DCF'!R33C2</f>
        <v/>
      </c>
    </row>
    <row r="113">
      <c r="A113" t="inlineStr">
        <is>
          <t>Revenue Model</t>
        </is>
      </c>
      <c r="B113" t="inlineStr">
        <is>
          <t>J12</t>
        </is>
      </c>
      <c r="C113" t="n">
        <v>12</v>
      </c>
      <c r="D113" t="n">
        <v>10</v>
      </c>
      <c r="E113" t="inlineStr">
        <is>
          <t>Input</t>
        </is>
      </c>
      <c r="F113" t="n">
        <v/>
      </c>
      <c r="G113" t="inlineStr">
        <is>
          <t xml:space="preserve">Assuming the price to increase by 5% every year </t>
        </is>
      </c>
      <c r="H113" t="inlineStr"/>
      <c r="I113" t="inlineStr">
        <is>
          <t>General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Revenue Model</t>
        </is>
      </c>
      <c r="B114" t="inlineStr">
        <is>
          <t>A13</t>
        </is>
      </c>
      <c r="C114" t="n">
        <v>13</v>
      </c>
      <c r="D114" t="n">
        <v>1</v>
      </c>
      <c r="E114" t="inlineStr">
        <is>
          <t>Input</t>
        </is>
      </c>
      <c r="F114" t="n">
        <v/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0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Revenue Model</t>
        </is>
      </c>
      <c r="B115" t="inlineStr">
        <is>
          <t>B13</t>
        </is>
      </c>
      <c r="C115" t="n">
        <v>13</v>
      </c>
      <c r="D115" t="n">
        <v>2</v>
      </c>
      <c r="E115" t="inlineStr">
        <is>
          <t>Input</t>
        </is>
      </c>
      <c r="F115" t="n">
        <v/>
      </c>
      <c r="H115" t="inlineStr"/>
      <c r="I115" t="inlineStr">
        <is>
          <t>General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0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Revenue Model</t>
        </is>
      </c>
      <c r="B116" t="inlineStr">
        <is>
          <t>C13</t>
        </is>
      </c>
      <c r="C116" t="n">
        <v>13</v>
      </c>
      <c r="D116" t="n">
        <v>3</v>
      </c>
      <c r="E116" t="inlineStr">
        <is>
          <t>Input</t>
        </is>
      </c>
      <c r="F116" t="n">
        <v/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0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Revenue Model</t>
        </is>
      </c>
      <c r="B117" t="inlineStr">
        <is>
          <t>D13</t>
        </is>
      </c>
      <c r="C117" t="n">
        <v>13</v>
      </c>
      <c r="D117" t="n">
        <v>4</v>
      </c>
      <c r="E117" t="inlineStr">
        <is>
          <t>Input</t>
        </is>
      </c>
      <c r="F117" t="n">
        <v/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0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Revenue Model</t>
        </is>
      </c>
      <c r="B118" t="inlineStr">
        <is>
          <t>E13</t>
        </is>
      </c>
      <c r="C118" t="n">
        <v>13</v>
      </c>
      <c r="D118" t="n">
        <v>5</v>
      </c>
      <c r="E118" t="inlineStr">
        <is>
          <t>Input</t>
        </is>
      </c>
      <c r="F118" t="n">
        <v/>
      </c>
      <c r="H118" t="inlineStr"/>
      <c r="I118" t="inlineStr">
        <is>
          <t>General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Revenue Model</t>
        </is>
      </c>
      <c r="B119" t="inlineStr">
        <is>
          <t>F13</t>
        </is>
      </c>
      <c r="C119" t="n">
        <v>13</v>
      </c>
      <c r="D119" t="n">
        <v>6</v>
      </c>
      <c r="E119" t="inlineStr">
        <is>
          <t>Input</t>
        </is>
      </c>
      <c r="F119" t="n">
        <v/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Revenue Model</t>
        </is>
      </c>
      <c r="B120" t="inlineStr">
        <is>
          <t>G13</t>
        </is>
      </c>
      <c r="C120" t="n">
        <v>13</v>
      </c>
      <c r="D120" t="n">
        <v>7</v>
      </c>
      <c r="E120" t="inlineStr">
        <is>
          <t>Input</t>
        </is>
      </c>
      <c r="F120" t="n">
        <v/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0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Revenue Model</t>
        </is>
      </c>
      <c r="B121" t="inlineStr">
        <is>
          <t>H13</t>
        </is>
      </c>
      <c r="C121" t="n">
        <v>13</v>
      </c>
      <c r="D121" t="n">
        <v>8</v>
      </c>
      <c r="E121" t="inlineStr">
        <is>
          <t>Input</t>
        </is>
      </c>
      <c r="F121" t="n">
        <v/>
      </c>
      <c r="H121" t="inlineStr"/>
      <c r="I121" t="inlineStr">
        <is>
          <t>General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0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Revenue Model</t>
        </is>
      </c>
      <c r="B122" t="inlineStr">
        <is>
          <t>I13</t>
        </is>
      </c>
      <c r="C122" t="n">
        <v>13</v>
      </c>
      <c r="D122" t="n">
        <v>9</v>
      </c>
      <c r="E122" t="inlineStr">
        <is>
          <t>Input</t>
        </is>
      </c>
      <c r="F122" t="n">
        <v/>
      </c>
      <c r="H122" t="inlineStr"/>
      <c r="I122" t="inlineStr">
        <is>
          <t>General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0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Revenue Model</t>
        </is>
      </c>
      <c r="B123" t="inlineStr">
        <is>
          <t>A14</t>
        </is>
      </c>
      <c r="C123" t="n">
        <v>14</v>
      </c>
      <c r="D123" t="n">
        <v>1</v>
      </c>
      <c r="E123" t="inlineStr">
        <is>
          <t>Input</t>
        </is>
      </c>
      <c r="F123" t="n">
        <v/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0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Revenue Model</t>
        </is>
      </c>
      <c r="B124" t="inlineStr">
        <is>
          <t>B14</t>
        </is>
      </c>
      <c r="C124" t="n">
        <v>14</v>
      </c>
      <c r="D124" t="n">
        <v>2</v>
      </c>
      <c r="E124" t="inlineStr">
        <is>
          <t>Input</t>
        </is>
      </c>
      <c r="F124" t="n">
        <v/>
      </c>
      <c r="H124" t="inlineStr"/>
      <c r="I124" t="inlineStr">
        <is>
          <t>General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0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Revenue Model</t>
        </is>
      </c>
      <c r="B125" t="inlineStr">
        <is>
          <t>C14</t>
        </is>
      </c>
      <c r="C125" t="n">
        <v>14</v>
      </c>
      <c r="D125" t="n">
        <v>3</v>
      </c>
      <c r="E125" t="inlineStr">
        <is>
          <t>Input</t>
        </is>
      </c>
      <c r="F125" t="n">
        <v/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0</v>
      </c>
      <c r="S125" t="n">
        <v/>
      </c>
      <c r="T125" t="n">
        <v/>
      </c>
      <c r="U125" t="n">
        <v/>
      </c>
      <c r="V125" t="b">
        <v>0</v>
      </c>
      <c r="W125" t="inlineStr"/>
      <c r="X125" t="n">
        <v/>
      </c>
    </row>
    <row r="126">
      <c r="A126" t="inlineStr">
        <is>
          <t>Revenue Model</t>
        </is>
      </c>
      <c r="B126" t="inlineStr">
        <is>
          <t>D14</t>
        </is>
      </c>
      <c r="C126" t="n">
        <v>14</v>
      </c>
      <c r="D126" t="n">
        <v>4</v>
      </c>
      <c r="E126" t="inlineStr">
        <is>
          <t>Input</t>
        </is>
      </c>
      <c r="F126" t="n">
        <v/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0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Revenue Model</t>
        </is>
      </c>
      <c r="B127" t="inlineStr">
        <is>
          <t>E14</t>
        </is>
      </c>
      <c r="C127" t="n">
        <v>14</v>
      </c>
      <c r="D127" t="n">
        <v>5</v>
      </c>
      <c r="E127" t="inlineStr">
        <is>
          <t>Input</t>
        </is>
      </c>
      <c r="F127" t="n">
        <v/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0</v>
      </c>
      <c r="S127" t="n">
        <v/>
      </c>
      <c r="T127" t="n">
        <v/>
      </c>
      <c r="U127" t="n">
        <v/>
      </c>
      <c r="V127" t="b">
        <v>0</v>
      </c>
      <c r="W127" t="inlineStr"/>
      <c r="X127" t="n">
        <v/>
      </c>
    </row>
    <row r="128">
      <c r="A128" t="inlineStr">
        <is>
          <t>Revenue Model</t>
        </is>
      </c>
      <c r="B128" t="inlineStr">
        <is>
          <t>F14</t>
        </is>
      </c>
      <c r="C128" t="n">
        <v>14</v>
      </c>
      <c r="D128" t="n">
        <v>6</v>
      </c>
      <c r="E128" t="inlineStr">
        <is>
          <t>Input</t>
        </is>
      </c>
      <c r="F128" t="n">
        <v/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0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Revenue Model</t>
        </is>
      </c>
      <c r="B129" t="inlineStr">
        <is>
          <t>G14</t>
        </is>
      </c>
      <c r="C129" t="n">
        <v>14</v>
      </c>
      <c r="D129" t="n">
        <v>7</v>
      </c>
      <c r="E129" t="inlineStr">
        <is>
          <t>Input</t>
        </is>
      </c>
      <c r="F129" t="n">
        <v/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0</v>
      </c>
      <c r="S129" t="n">
        <v/>
      </c>
      <c r="T129" t="n">
        <v/>
      </c>
      <c r="U129" t="n">
        <v/>
      </c>
      <c r="V129" t="b">
        <v>0</v>
      </c>
      <c r="W129" t="inlineStr"/>
      <c r="X129" t="n">
        <v/>
      </c>
    </row>
    <row r="130">
      <c r="A130" t="inlineStr">
        <is>
          <t>Revenue Model</t>
        </is>
      </c>
      <c r="B130" t="inlineStr">
        <is>
          <t>H14</t>
        </is>
      </c>
      <c r="C130" t="n">
        <v>14</v>
      </c>
      <c r="D130" t="n">
        <v>8</v>
      </c>
      <c r="E130" t="inlineStr">
        <is>
          <t>Input</t>
        </is>
      </c>
      <c r="F130" t="n">
        <v/>
      </c>
      <c r="H130" t="inlineStr"/>
      <c r="I130" t="inlineStr">
        <is>
          <t>General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0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Revenue Model</t>
        </is>
      </c>
      <c r="B131" t="inlineStr">
        <is>
          <t>I14</t>
        </is>
      </c>
      <c r="C131" t="n">
        <v>14</v>
      </c>
      <c r="D131" t="n">
        <v>9</v>
      </c>
      <c r="E131" t="inlineStr">
        <is>
          <t>Input</t>
        </is>
      </c>
      <c r="F131" t="n">
        <v/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0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Revenue Model</t>
        </is>
      </c>
      <c r="B132" t="inlineStr">
        <is>
          <t>A15</t>
        </is>
      </c>
      <c r="C132" t="n">
        <v>15</v>
      </c>
      <c r="D132" t="n">
        <v>1</v>
      </c>
      <c r="E132" t="inlineStr">
        <is>
          <t>Input</t>
        </is>
      </c>
      <c r="F132" t="n">
        <v/>
      </c>
      <c r="G132" t="inlineStr">
        <is>
          <t>Average price per tonne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Revenue Model</t>
        </is>
      </c>
      <c r="B133" t="inlineStr">
        <is>
          <t>B15</t>
        </is>
      </c>
      <c r="C133" t="n">
        <v>15</v>
      </c>
      <c r="D133" t="n">
        <v>2</v>
      </c>
      <c r="E133" t="inlineStr">
        <is>
          <t>Calculation</t>
        </is>
      </c>
      <c r="F133" t="inlineStr">
        <is>
          <t>'=B11*10000000/1000000</t>
        </is>
      </c>
      <c r="G133" t="n">
        <v>5045.300592718035</v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G000016</t>
        </is>
      </c>
      <c r="T133" t="inlineStr">
        <is>
          <t>Horizontal</t>
        </is>
      </c>
      <c r="U133" t="n">
        <v>8</v>
      </c>
      <c r="V133" t="b">
        <v>1</v>
      </c>
      <c r="W133" t="inlineStr">
        <is>
          <t>Revenue Model!B15:I15</t>
        </is>
      </c>
      <c r="X133">
        <f>R[-4]C[0]*10000000/1000000</f>
        <v/>
      </c>
    </row>
    <row r="134">
      <c r="A134" t="inlineStr">
        <is>
          <t>Revenue Model</t>
        </is>
      </c>
      <c r="B134" t="inlineStr">
        <is>
          <t>C15</t>
        </is>
      </c>
      <c r="C134" t="n">
        <v>15</v>
      </c>
      <c r="D134" t="n">
        <v>3</v>
      </c>
      <c r="E134" t="inlineStr">
        <is>
          <t>Calculation</t>
        </is>
      </c>
      <c r="F134" t="inlineStr">
        <is>
          <t>'=C11*10000000/1000000</t>
        </is>
      </c>
      <c r="G134" t="n">
        <v>4833.492822966508</v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G000016</t>
        </is>
      </c>
      <c r="T134" t="inlineStr">
        <is>
          <t>Horizontal</t>
        </is>
      </c>
      <c r="U134" t="n">
        <v>8</v>
      </c>
      <c r="V134" t="b">
        <v>1</v>
      </c>
      <c r="W134" t="inlineStr">
        <is>
          <t>Revenue Model!B15:I15</t>
        </is>
      </c>
      <c r="X134">
        <f>R[-4]C[0]*10000000/1000000</f>
        <v/>
      </c>
    </row>
    <row r="135">
      <c r="A135" t="inlineStr">
        <is>
          <t>Revenue Model</t>
        </is>
      </c>
      <c r="B135" t="inlineStr">
        <is>
          <t>D15</t>
        </is>
      </c>
      <c r="C135" t="n">
        <v>15</v>
      </c>
      <c r="D135" t="n">
        <v>4</v>
      </c>
      <c r="E135" t="inlineStr">
        <is>
          <t>Calculation</t>
        </is>
      </c>
      <c r="F135" t="inlineStr">
        <is>
          <t>'=D11*10000000/1000000</t>
        </is>
      </c>
      <c r="G135" t="n">
        <v>5117.733689431515</v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G000016</t>
        </is>
      </c>
      <c r="T135" t="inlineStr">
        <is>
          <t>Horizontal</t>
        </is>
      </c>
      <c r="U135" t="n">
        <v>8</v>
      </c>
      <c r="V135" t="b">
        <v>1</v>
      </c>
      <c r="W135" t="inlineStr">
        <is>
          <t>Revenue Model!B15:I15</t>
        </is>
      </c>
      <c r="X135">
        <f>R[-4]C[0]*10000000/1000000</f>
        <v/>
      </c>
    </row>
    <row r="136">
      <c r="A136" t="inlineStr">
        <is>
          <t>Revenue Model</t>
        </is>
      </c>
      <c r="B136" t="inlineStr">
        <is>
          <t>E15</t>
        </is>
      </c>
      <c r="C136" t="n">
        <v>15</v>
      </c>
      <c r="D136" t="n">
        <v>5</v>
      </c>
      <c r="E136" t="inlineStr">
        <is>
          <t>Calculation</t>
        </is>
      </c>
      <c r="F136" t="inlineStr">
        <is>
          <t>'=E11*10000000/1000000</t>
        </is>
      </c>
      <c r="G136" t="n">
        <v>5373.620373903091</v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G000016</t>
        </is>
      </c>
      <c r="T136" t="inlineStr">
        <is>
          <t>Horizontal</t>
        </is>
      </c>
      <c r="U136" t="n">
        <v>8</v>
      </c>
      <c r="V136" t="b">
        <v>1</v>
      </c>
      <c r="W136" t="inlineStr">
        <is>
          <t>Revenue Model!B15:I15</t>
        </is>
      </c>
      <c r="X136">
        <f>R[-4]C[0]*10000000/1000000</f>
        <v/>
      </c>
    </row>
    <row r="137">
      <c r="A137" t="inlineStr">
        <is>
          <t>Revenue Model</t>
        </is>
      </c>
      <c r="B137" t="inlineStr">
        <is>
          <t>F15</t>
        </is>
      </c>
      <c r="C137" t="n">
        <v>15</v>
      </c>
      <c r="D137" t="n">
        <v>6</v>
      </c>
      <c r="E137" t="inlineStr">
        <is>
          <t>Calculation</t>
        </is>
      </c>
      <c r="F137" t="inlineStr">
        <is>
          <t>'=F11*10000000/1000000</t>
        </is>
      </c>
      <c r="G137" t="n">
        <v>5642.301392598246</v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G000016</t>
        </is>
      </c>
      <c r="T137" t="inlineStr">
        <is>
          <t>Horizontal</t>
        </is>
      </c>
      <c r="U137" t="n">
        <v>8</v>
      </c>
      <c r="V137" t="b">
        <v>1</v>
      </c>
      <c r="W137" t="inlineStr">
        <is>
          <t>Revenue Model!B15:I15</t>
        </is>
      </c>
      <c r="X137">
        <f>R[-4]C[0]*10000000/1000000</f>
        <v/>
      </c>
    </row>
    <row r="138">
      <c r="A138" t="inlineStr">
        <is>
          <t>Revenue Model</t>
        </is>
      </c>
      <c r="B138" t="inlineStr">
        <is>
          <t>G15</t>
        </is>
      </c>
      <c r="C138" t="n">
        <v>15</v>
      </c>
      <c r="D138" t="n">
        <v>7</v>
      </c>
      <c r="E138" t="inlineStr">
        <is>
          <t>Calculation</t>
        </is>
      </c>
      <c r="F138" t="inlineStr">
        <is>
          <t>'=G11*10000000/1000000</t>
        </is>
      </c>
      <c r="G138" t="n">
        <v>5924.416462228159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G000016</t>
        </is>
      </c>
      <c r="T138" t="inlineStr">
        <is>
          <t>Horizontal</t>
        </is>
      </c>
      <c r="U138" t="n">
        <v>8</v>
      </c>
      <c r="V138" t="b">
        <v>1</v>
      </c>
      <c r="W138" t="inlineStr">
        <is>
          <t>Revenue Model!B15:I15</t>
        </is>
      </c>
      <c r="X138">
        <f>R[-4]C[0]*10000000/1000000</f>
        <v/>
      </c>
    </row>
    <row r="139">
      <c r="A139" t="inlineStr">
        <is>
          <t>Revenue Model</t>
        </is>
      </c>
      <c r="B139" t="inlineStr">
        <is>
          <t>H15</t>
        </is>
      </c>
      <c r="C139" t="n">
        <v>15</v>
      </c>
      <c r="D139" t="n">
        <v>8</v>
      </c>
      <c r="E139" t="inlineStr">
        <is>
          <t>Calculation</t>
        </is>
      </c>
      <c r="F139" t="inlineStr">
        <is>
          <t>'=H11*10000000/1000000</t>
        </is>
      </c>
      <c r="G139" t="n">
        <v>6220.637285339567</v>
      </c>
      <c r="H139" t="inlineStr"/>
      <c r="I139" t="inlineStr">
        <is>
          <t>_-* #,##0_-;\-* #,##0_-;_-* "-"??_-;_-@_-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inlineStr">
        <is>
          <t>G000016</t>
        </is>
      </c>
      <c r="T139" t="inlineStr">
        <is>
          <t>Horizontal</t>
        </is>
      </c>
      <c r="U139" t="n">
        <v>8</v>
      </c>
      <c r="V139" t="b">
        <v>1</v>
      </c>
      <c r="W139" t="inlineStr">
        <is>
          <t>Revenue Model!B15:I15</t>
        </is>
      </c>
      <c r="X139">
        <f>R[-4]C[0]*10000000/1000000</f>
        <v/>
      </c>
    </row>
    <row r="140">
      <c r="A140" t="inlineStr">
        <is>
          <t>Revenue Model</t>
        </is>
      </c>
      <c r="B140" t="inlineStr">
        <is>
          <t>I15</t>
        </is>
      </c>
      <c r="C140" t="n">
        <v>15</v>
      </c>
      <c r="D140" t="n">
        <v>9</v>
      </c>
      <c r="E140" t="inlineStr">
        <is>
          <t>Calculation</t>
        </is>
      </c>
      <c r="F140" t="inlineStr">
        <is>
          <t>'=I11*10000000/1000000</t>
        </is>
      </c>
      <c r="G140" t="n">
        <v>6531.669149606547</v>
      </c>
      <c r="H140" t="inlineStr"/>
      <c r="I140" t="inlineStr">
        <is>
          <t>_-* #,##0_-;\-* #,##0_-;_-* "-"??_-;_-@_-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G000016</t>
        </is>
      </c>
      <c r="T140" t="inlineStr">
        <is>
          <t>Horizontal</t>
        </is>
      </c>
      <c r="U140" t="n">
        <v>8</v>
      </c>
      <c r="V140" t="b">
        <v>1</v>
      </c>
      <c r="W140" t="inlineStr">
        <is>
          <t>Revenue Model!B15:I15</t>
        </is>
      </c>
      <c r="X140">
        <f>R[-4]C[0]*10000000/1000000</f>
        <v/>
      </c>
    </row>
    <row r="141">
      <c r="A141" t="inlineStr">
        <is>
          <t>Revenue Model</t>
        </is>
      </c>
      <c r="B141" t="inlineStr">
        <is>
          <t>A16</t>
        </is>
      </c>
      <c r="C141" t="n">
        <v>16</v>
      </c>
      <c r="D141" t="n">
        <v>1</v>
      </c>
      <c r="E141" t="inlineStr">
        <is>
          <t>Input</t>
        </is>
      </c>
      <c r="F141" t="n">
        <v/>
      </c>
      <c r="G141" t="inlineStr">
        <is>
          <t>Average price per kg</t>
        </is>
      </c>
      <c r="H141" t="inlineStr"/>
      <c r="I141" t="inlineStr">
        <is>
          <t>General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Revenue Model</t>
        </is>
      </c>
      <c r="B142" t="inlineStr">
        <is>
          <t>B16</t>
        </is>
      </c>
      <c r="C142" t="n">
        <v>16</v>
      </c>
      <c r="D142" t="n">
        <v>2</v>
      </c>
      <c r="E142" t="inlineStr">
        <is>
          <t>Output</t>
        </is>
      </c>
      <c r="F142" t="inlineStr">
        <is>
          <t>'=B15/1000</t>
        </is>
      </c>
      <c r="G142" t="n">
        <v>5.045300592718035</v>
      </c>
      <c r="H142" t="inlineStr"/>
      <c r="I142" t="inlineStr">
        <is>
          <t>0.0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G000017</t>
        </is>
      </c>
      <c r="T142" t="inlineStr">
        <is>
          <t>Horizontal</t>
        </is>
      </c>
      <c r="U142" t="n">
        <v>8</v>
      </c>
      <c r="V142" t="b">
        <v>1</v>
      </c>
      <c r="W142" t="inlineStr">
        <is>
          <t>Revenue Model!B16:I16</t>
        </is>
      </c>
      <c r="X142">
        <f>R[-1]C[0]/1000</f>
        <v/>
      </c>
    </row>
    <row r="143">
      <c r="A143" t="inlineStr">
        <is>
          <t>Revenue Model</t>
        </is>
      </c>
      <c r="B143" t="inlineStr">
        <is>
          <t>C16</t>
        </is>
      </c>
      <c r="C143" t="n">
        <v>16</v>
      </c>
      <c r="D143" t="n">
        <v>3</v>
      </c>
      <c r="E143" t="inlineStr">
        <is>
          <t>Output</t>
        </is>
      </c>
      <c r="F143" t="inlineStr">
        <is>
          <t>'=C15/1000</t>
        </is>
      </c>
      <c r="G143" t="n">
        <v>4.833492822966508</v>
      </c>
      <c r="H143" t="inlineStr"/>
      <c r="I143" t="inlineStr">
        <is>
          <t>0.0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G000017</t>
        </is>
      </c>
      <c r="T143" t="inlineStr">
        <is>
          <t>Horizontal</t>
        </is>
      </c>
      <c r="U143" t="n">
        <v>8</v>
      </c>
      <c r="V143" t="b">
        <v>1</v>
      </c>
      <c r="W143" t="inlineStr">
        <is>
          <t>Revenue Model!B16:I16</t>
        </is>
      </c>
      <c r="X143">
        <f>R[-1]C[0]/1000</f>
        <v/>
      </c>
    </row>
    <row r="144">
      <c r="A144" t="inlineStr">
        <is>
          <t>Revenue Model</t>
        </is>
      </c>
      <c r="B144" t="inlineStr">
        <is>
          <t>D16</t>
        </is>
      </c>
      <c r="C144" t="n">
        <v>16</v>
      </c>
      <c r="D144" t="n">
        <v>4</v>
      </c>
      <c r="E144" t="inlineStr">
        <is>
          <t>Output</t>
        </is>
      </c>
      <c r="F144" t="inlineStr">
        <is>
          <t>'=D15/1000</t>
        </is>
      </c>
      <c r="G144" t="n">
        <v>5.117733689431515</v>
      </c>
      <c r="H144" t="inlineStr"/>
      <c r="I144" t="inlineStr">
        <is>
          <t>0.0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G000017</t>
        </is>
      </c>
      <c r="T144" t="inlineStr">
        <is>
          <t>Horizontal</t>
        </is>
      </c>
      <c r="U144" t="n">
        <v>8</v>
      </c>
      <c r="V144" t="b">
        <v>1</v>
      </c>
      <c r="W144" t="inlineStr">
        <is>
          <t>Revenue Model!B16:I16</t>
        </is>
      </c>
      <c r="X144">
        <f>R[-1]C[0]/1000</f>
        <v/>
      </c>
    </row>
    <row r="145">
      <c r="A145" t="inlineStr">
        <is>
          <t>Revenue Model</t>
        </is>
      </c>
      <c r="B145" t="inlineStr">
        <is>
          <t>E16</t>
        </is>
      </c>
      <c r="C145" t="n">
        <v>16</v>
      </c>
      <c r="D145" t="n">
        <v>5</v>
      </c>
      <c r="E145" t="inlineStr">
        <is>
          <t>Output</t>
        </is>
      </c>
      <c r="F145" t="inlineStr">
        <is>
          <t>'=E15/1000</t>
        </is>
      </c>
      <c r="G145" t="n">
        <v>5.373620373903091</v>
      </c>
      <c r="H145" t="inlineStr"/>
      <c r="I145" t="inlineStr">
        <is>
          <t>0.0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G000017</t>
        </is>
      </c>
      <c r="T145" t="inlineStr">
        <is>
          <t>Horizontal</t>
        </is>
      </c>
      <c r="U145" t="n">
        <v>8</v>
      </c>
      <c r="V145" t="b">
        <v>1</v>
      </c>
      <c r="W145" t="inlineStr">
        <is>
          <t>Revenue Model!B16:I16</t>
        </is>
      </c>
      <c r="X145">
        <f>R[-1]C[0]/1000</f>
        <v/>
      </c>
    </row>
    <row r="146">
      <c r="A146" t="inlineStr">
        <is>
          <t>Revenue Model</t>
        </is>
      </c>
      <c r="B146" t="inlineStr">
        <is>
          <t>F16</t>
        </is>
      </c>
      <c r="C146" t="n">
        <v>16</v>
      </c>
      <c r="D146" t="n">
        <v>6</v>
      </c>
      <c r="E146" t="inlineStr">
        <is>
          <t>Output</t>
        </is>
      </c>
      <c r="F146" t="inlineStr">
        <is>
          <t>'=F15/1000</t>
        </is>
      </c>
      <c r="G146" t="n">
        <v>5.642301392598246</v>
      </c>
      <c r="H146" t="inlineStr"/>
      <c r="I146" t="inlineStr">
        <is>
          <t>0.0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G000017</t>
        </is>
      </c>
      <c r="T146" t="inlineStr">
        <is>
          <t>Horizontal</t>
        </is>
      </c>
      <c r="U146" t="n">
        <v>8</v>
      </c>
      <c r="V146" t="b">
        <v>1</v>
      </c>
      <c r="W146" t="inlineStr">
        <is>
          <t>Revenue Model!B16:I16</t>
        </is>
      </c>
      <c r="X146">
        <f>R[-1]C[0]/1000</f>
        <v/>
      </c>
    </row>
    <row r="147">
      <c r="A147" t="inlineStr">
        <is>
          <t>Revenue Model</t>
        </is>
      </c>
      <c r="B147" t="inlineStr">
        <is>
          <t>G16</t>
        </is>
      </c>
      <c r="C147" t="n">
        <v>16</v>
      </c>
      <c r="D147" t="n">
        <v>7</v>
      </c>
      <c r="E147" t="inlineStr">
        <is>
          <t>Output</t>
        </is>
      </c>
      <c r="F147" t="inlineStr">
        <is>
          <t>'=G15/1000</t>
        </is>
      </c>
      <c r="G147" t="n">
        <v>5.924416462228159</v>
      </c>
      <c r="H147" t="inlineStr"/>
      <c r="I147" t="inlineStr">
        <is>
          <t>0.0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inlineStr">
        <is>
          <t>G000017</t>
        </is>
      </c>
      <c r="T147" t="inlineStr">
        <is>
          <t>Horizontal</t>
        </is>
      </c>
      <c r="U147" t="n">
        <v>8</v>
      </c>
      <c r="V147" t="b">
        <v>1</v>
      </c>
      <c r="W147" t="inlineStr">
        <is>
          <t>Revenue Model!B16:I16</t>
        </is>
      </c>
      <c r="X147">
        <f>R[-1]C[0]/1000</f>
        <v/>
      </c>
    </row>
    <row r="148">
      <c r="A148" t="inlineStr">
        <is>
          <t>Revenue Model</t>
        </is>
      </c>
      <c r="B148" t="inlineStr">
        <is>
          <t>H16</t>
        </is>
      </c>
      <c r="C148" t="n">
        <v>16</v>
      </c>
      <c r="D148" t="n">
        <v>8</v>
      </c>
      <c r="E148" t="inlineStr">
        <is>
          <t>Output</t>
        </is>
      </c>
      <c r="F148" t="inlineStr">
        <is>
          <t>'=H15/1000</t>
        </is>
      </c>
      <c r="G148" t="n">
        <v>6.220637285339567</v>
      </c>
      <c r="H148" t="inlineStr"/>
      <c r="I148" t="inlineStr">
        <is>
          <t>0.0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G000017</t>
        </is>
      </c>
      <c r="T148" t="inlineStr">
        <is>
          <t>Horizontal</t>
        </is>
      </c>
      <c r="U148" t="n">
        <v>8</v>
      </c>
      <c r="V148" t="b">
        <v>1</v>
      </c>
      <c r="W148" t="inlineStr">
        <is>
          <t>Revenue Model!B16:I16</t>
        </is>
      </c>
      <c r="X148">
        <f>R[-1]C[0]/1000</f>
        <v/>
      </c>
    </row>
    <row r="149">
      <c r="A149" t="inlineStr">
        <is>
          <t>Revenue Model</t>
        </is>
      </c>
      <c r="B149" t="inlineStr">
        <is>
          <t>I16</t>
        </is>
      </c>
      <c r="C149" t="n">
        <v>16</v>
      </c>
      <c r="D149" t="n">
        <v>9</v>
      </c>
      <c r="E149" t="inlineStr">
        <is>
          <t>Output</t>
        </is>
      </c>
      <c r="F149" t="inlineStr">
        <is>
          <t>'=I15/1000</t>
        </is>
      </c>
      <c r="G149" t="n">
        <v>6.531669149606547</v>
      </c>
      <c r="H149" t="inlineStr"/>
      <c r="I149" t="inlineStr">
        <is>
          <t>0.0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G000017</t>
        </is>
      </c>
      <c r="T149" t="inlineStr">
        <is>
          <t>Horizontal</t>
        </is>
      </c>
      <c r="U149" t="n">
        <v>8</v>
      </c>
      <c r="V149" t="b">
        <v>1</v>
      </c>
      <c r="W149" t="inlineStr">
        <is>
          <t>Revenue Model!B16:I16</t>
        </is>
      </c>
      <c r="X149">
        <f>R[-1]C[0]/1000</f>
        <v/>
      </c>
    </row>
    <row r="150">
      <c r="A150" t="inlineStr">
        <is>
          <t>Revenue Model</t>
        </is>
      </c>
      <c r="B150" t="inlineStr">
        <is>
          <t>C17</t>
        </is>
      </c>
      <c r="C150" t="n">
        <v>17</v>
      </c>
      <c r="D150" t="n">
        <v>3</v>
      </c>
      <c r="E150" t="inlineStr">
        <is>
          <t>Input</t>
        </is>
      </c>
      <c r="F150" t="n">
        <v/>
      </c>
      <c r="H150" t="inlineStr"/>
      <c r="I150" t="inlineStr">
        <is>
          <t>0%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0</v>
      </c>
      <c r="S150" t="n">
        <v/>
      </c>
      <c r="T150" t="n">
        <v/>
      </c>
      <c r="U150" t="n">
        <v/>
      </c>
      <c r="V150" t="b">
        <v>0</v>
      </c>
      <c r="W150" t="inlineStr"/>
      <c r="X150" t="n">
        <v/>
      </c>
    </row>
    <row r="151">
      <c r="A151" t="inlineStr">
        <is>
          <t>Revenue Model</t>
        </is>
      </c>
      <c r="B151" t="inlineStr">
        <is>
          <t>D17</t>
        </is>
      </c>
      <c r="C151" t="n">
        <v>17</v>
      </c>
      <c r="D151" t="n">
        <v>4</v>
      </c>
      <c r="E151" t="inlineStr">
        <is>
          <t>Input</t>
        </is>
      </c>
      <c r="F151" t="n">
        <v/>
      </c>
      <c r="H151" t="inlineStr"/>
      <c r="I151" t="inlineStr">
        <is>
          <t>0%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0</v>
      </c>
      <c r="S151" t="n">
        <v/>
      </c>
      <c r="T151" t="n">
        <v/>
      </c>
      <c r="U151" t="n">
        <v/>
      </c>
      <c r="V151" t="b">
        <v>0</v>
      </c>
      <c r="W151" t="inlineStr"/>
      <c r="X151" t="n">
        <v/>
      </c>
    </row>
    <row r="152">
      <c r="A152" t="inlineStr">
        <is>
          <t>Revenue Model</t>
        </is>
      </c>
      <c r="B152" t="inlineStr">
        <is>
          <t>B18</t>
        </is>
      </c>
      <c r="C152" t="n">
        <v>18</v>
      </c>
      <c r="D152" t="n">
        <v>2</v>
      </c>
      <c r="E152" t="inlineStr">
        <is>
          <t>Input</t>
        </is>
      </c>
      <c r="F152" t="n">
        <v/>
      </c>
      <c r="H152" t="inlineStr"/>
      <c r="I152" t="inlineStr">
        <is>
          <t>0%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0</v>
      </c>
      <c r="S152" t="n">
        <v/>
      </c>
      <c r="T152" t="n">
        <v/>
      </c>
      <c r="U152" t="n">
        <v/>
      </c>
      <c r="V152" t="b">
        <v>0</v>
      </c>
      <c r="W152" t="inlineStr"/>
      <c r="X152" t="n">
        <v/>
      </c>
    </row>
    <row r="153">
      <c r="A153" t="inlineStr">
        <is>
          <t>Revenue Model</t>
        </is>
      </c>
      <c r="B153" t="inlineStr">
        <is>
          <t>C18</t>
        </is>
      </c>
      <c r="C153" t="n">
        <v>18</v>
      </c>
      <c r="D153" t="n">
        <v>3</v>
      </c>
      <c r="E153" t="inlineStr">
        <is>
          <t>Input</t>
        </is>
      </c>
      <c r="F153" t="n">
        <v/>
      </c>
      <c r="H153" t="inlineStr"/>
      <c r="I153" t="inlineStr">
        <is>
          <t>0%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0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Revenue Model</t>
        </is>
      </c>
      <c r="B154" t="inlineStr">
        <is>
          <t>D18</t>
        </is>
      </c>
      <c r="C154" t="n">
        <v>18</v>
      </c>
      <c r="D154" t="n">
        <v>4</v>
      </c>
      <c r="E154" t="inlineStr">
        <is>
          <t>Input</t>
        </is>
      </c>
      <c r="F154" t="n">
        <v/>
      </c>
      <c r="H154" t="inlineStr"/>
      <c r="I154" t="inlineStr">
        <is>
          <t>0%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0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Revenue Model</t>
        </is>
      </c>
      <c r="B155" t="inlineStr">
        <is>
          <t>E18</t>
        </is>
      </c>
      <c r="C155" t="n">
        <v>18</v>
      </c>
      <c r="D155" t="n">
        <v>5</v>
      </c>
      <c r="E155" t="inlineStr">
        <is>
          <t>Input</t>
        </is>
      </c>
      <c r="F155" t="n">
        <v/>
      </c>
      <c r="H155" t="inlineStr"/>
      <c r="I155" t="inlineStr">
        <is>
          <t>0%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0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Revenue Model</t>
        </is>
      </c>
      <c r="B156" t="inlineStr">
        <is>
          <t>F18</t>
        </is>
      </c>
      <c r="C156" t="n">
        <v>18</v>
      </c>
      <c r="D156" t="n">
        <v>6</v>
      </c>
      <c r="E156" t="inlineStr">
        <is>
          <t>Input</t>
        </is>
      </c>
      <c r="F156" t="n">
        <v/>
      </c>
      <c r="H156" t="inlineStr"/>
      <c r="I156" t="inlineStr">
        <is>
          <t>0%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0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Revenue Model</t>
        </is>
      </c>
      <c r="B157" t="inlineStr">
        <is>
          <t>G18</t>
        </is>
      </c>
      <c r="C157" t="n">
        <v>18</v>
      </c>
      <c r="D157" t="n">
        <v>7</v>
      </c>
      <c r="E157" t="inlineStr">
        <is>
          <t>Input</t>
        </is>
      </c>
      <c r="F157" t="n">
        <v/>
      </c>
      <c r="H157" t="inlineStr"/>
      <c r="I157" t="inlineStr">
        <is>
          <t>0%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0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Revenue Model</t>
        </is>
      </c>
      <c r="B158" t="inlineStr">
        <is>
          <t>H18</t>
        </is>
      </c>
      <c r="C158" t="n">
        <v>18</v>
      </c>
      <c r="D158" t="n">
        <v>8</v>
      </c>
      <c r="E158" t="inlineStr">
        <is>
          <t>Input</t>
        </is>
      </c>
      <c r="F158" t="n">
        <v/>
      </c>
      <c r="H158" t="inlineStr"/>
      <c r="I158" t="inlineStr">
        <is>
          <t>0%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0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Revenue Model</t>
        </is>
      </c>
      <c r="B159" t="inlineStr">
        <is>
          <t>I18</t>
        </is>
      </c>
      <c r="C159" t="n">
        <v>18</v>
      </c>
      <c r="D159" t="n">
        <v>9</v>
      </c>
      <c r="E159" t="inlineStr">
        <is>
          <t>Input</t>
        </is>
      </c>
      <c r="F159" t="n">
        <v/>
      </c>
      <c r="H159" t="inlineStr"/>
      <c r="I159" t="inlineStr">
        <is>
          <t>0%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0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Revenue Model</t>
        </is>
      </c>
      <c r="B160" t="inlineStr">
        <is>
          <t>A19</t>
        </is>
      </c>
      <c r="C160" t="n">
        <v>19</v>
      </c>
      <c r="D160" t="n">
        <v>1</v>
      </c>
      <c r="E160" t="inlineStr">
        <is>
          <t>Input</t>
        </is>
      </c>
      <c r="F160" t="n">
        <v/>
      </c>
      <c r="G160" t="inlineStr">
        <is>
          <t>Raw Materials</t>
        </is>
      </c>
      <c r="H160" t="inlineStr"/>
      <c r="I160" t="inlineStr">
        <is>
          <t>General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Revenue Model</t>
        </is>
      </c>
      <c r="B161" t="inlineStr">
        <is>
          <t>B19</t>
        </is>
      </c>
      <c r="C161" t="n">
        <v>19</v>
      </c>
      <c r="D161" t="n">
        <v>2</v>
      </c>
      <c r="E161" t="inlineStr">
        <is>
          <t>Input</t>
        </is>
      </c>
      <c r="F161" t="n">
        <v/>
      </c>
      <c r="G161" t="n">
        <v>1848.12</v>
      </c>
      <c r="H161" t="inlineStr"/>
      <c r="I161" t="inlineStr">
        <is>
          <t>#,##0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Revenue Model</t>
        </is>
      </c>
      <c r="B162" t="inlineStr">
        <is>
          <t>C19</t>
        </is>
      </c>
      <c r="C162" t="n">
        <v>19</v>
      </c>
      <c r="D162" t="n">
        <v>3</v>
      </c>
      <c r="E162" t="inlineStr">
        <is>
          <t>Input</t>
        </is>
      </c>
      <c r="F162" t="n">
        <v/>
      </c>
      <c r="G162" t="n">
        <v>1606.77</v>
      </c>
      <c r="H162" t="inlineStr"/>
      <c r="I162" t="inlineStr">
        <is>
          <t>#,##0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Revenue Model</t>
        </is>
      </c>
      <c r="B163" t="inlineStr">
        <is>
          <t>D19</t>
        </is>
      </c>
      <c r="C163" t="n">
        <v>19</v>
      </c>
      <c r="D163" t="n">
        <v>4</v>
      </c>
      <c r="E163" t="inlineStr">
        <is>
          <t>Input</t>
        </is>
      </c>
      <c r="F163" t="n">
        <v/>
      </c>
      <c r="G163" t="n">
        <v>1965.98</v>
      </c>
      <c r="H163" t="inlineStr"/>
      <c r="I163" t="inlineStr">
        <is>
          <t>#,##0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  <row r="164">
      <c r="A164" t="inlineStr">
        <is>
          <t>Revenue Model</t>
        </is>
      </c>
      <c r="B164" t="inlineStr">
        <is>
          <t>E19</t>
        </is>
      </c>
      <c r="C164" t="n">
        <v>19</v>
      </c>
      <c r="D164" t="n">
        <v>5</v>
      </c>
      <c r="E164" t="inlineStr">
        <is>
          <t>Calculation</t>
        </is>
      </c>
      <c r="F164" t="inlineStr">
        <is>
          <t>'=E$2*E29</t>
        </is>
      </c>
      <c r="G164" t="n">
        <v>2116.539227848101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G000018</t>
        </is>
      </c>
      <c r="T164" t="inlineStr">
        <is>
          <t>Horizontal</t>
        </is>
      </c>
      <c r="U164" t="n">
        <v>5</v>
      </c>
      <c r="V164" t="b">
        <v>1</v>
      </c>
      <c r="W164" t="inlineStr">
        <is>
          <t>Revenue Model!E19:I19</t>
        </is>
      </c>
      <c r="X164">
        <f>R2C[0]*R[10]C[0]</f>
        <v/>
      </c>
    </row>
    <row r="165">
      <c r="A165" t="inlineStr">
        <is>
          <t>Revenue Model</t>
        </is>
      </c>
      <c r="B165" t="inlineStr">
        <is>
          <t>F19</t>
        </is>
      </c>
      <c r="C165" t="n">
        <v>19</v>
      </c>
      <c r="D165" t="n">
        <v>6</v>
      </c>
      <c r="E165" t="inlineStr">
        <is>
          <t>Calculation</t>
        </is>
      </c>
      <c r="F165" t="inlineStr">
        <is>
          <t>'=F$2*F29</t>
        </is>
      </c>
      <c r="G165" t="n">
        <v>2277.239428481013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G000018</t>
        </is>
      </c>
      <c r="T165" t="inlineStr">
        <is>
          <t>Horizontal</t>
        </is>
      </c>
      <c r="U165" t="n">
        <v>5</v>
      </c>
      <c r="V165" t="b">
        <v>1</v>
      </c>
      <c r="W165" t="inlineStr">
        <is>
          <t>Revenue Model!E19:I19</t>
        </is>
      </c>
      <c r="X165">
        <f>R2C[0]*R[10]C[0]</f>
        <v/>
      </c>
    </row>
    <row r="166">
      <c r="A166" t="inlineStr">
        <is>
          <t>Revenue Model</t>
        </is>
      </c>
      <c r="B166" t="inlineStr">
        <is>
          <t>G19</t>
        </is>
      </c>
      <c r="C166" t="n">
        <v>19</v>
      </c>
      <c r="D166" t="n">
        <v>7</v>
      </c>
      <c r="E166" t="inlineStr">
        <is>
          <t>Calculation</t>
        </is>
      </c>
      <c r="F166" t="inlineStr">
        <is>
          <t>'=G$2*G29</t>
        </is>
      </c>
      <c r="G166" t="n">
        <v>2448.718301107595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G000018</t>
        </is>
      </c>
      <c r="T166" t="inlineStr">
        <is>
          <t>Horizontal</t>
        </is>
      </c>
      <c r="U166" t="n">
        <v>5</v>
      </c>
      <c r="V166" t="b">
        <v>1</v>
      </c>
      <c r="W166" t="inlineStr">
        <is>
          <t>Revenue Model!E19:I19</t>
        </is>
      </c>
      <c r="X166">
        <f>R2C[0]*R[10]C[0]</f>
        <v/>
      </c>
    </row>
    <row r="167">
      <c r="A167" t="inlineStr">
        <is>
          <t>Revenue Model</t>
        </is>
      </c>
      <c r="B167" t="inlineStr">
        <is>
          <t>H19</t>
        </is>
      </c>
      <c r="C167" t="n">
        <v>19</v>
      </c>
      <c r="D167" t="n">
        <v>8</v>
      </c>
      <c r="E167" t="inlineStr">
        <is>
          <t>Calculation</t>
        </is>
      </c>
      <c r="F167" t="inlineStr">
        <is>
          <t>'=H$2*H29</t>
        </is>
      </c>
      <c r="G167" t="n">
        <v>2631.651962425633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G000018</t>
        </is>
      </c>
      <c r="T167" t="inlineStr">
        <is>
          <t>Horizontal</t>
        </is>
      </c>
      <c r="U167" t="n">
        <v>5</v>
      </c>
      <c r="V167" t="b">
        <v>1</v>
      </c>
      <c r="W167" t="inlineStr">
        <is>
          <t>Revenue Model!E19:I19</t>
        </is>
      </c>
      <c r="X167">
        <f>R2C[0]*R[10]C[0]</f>
        <v/>
      </c>
    </row>
    <row r="168">
      <c r="A168" t="inlineStr">
        <is>
          <t>Revenue Model</t>
        </is>
      </c>
      <c r="B168" t="inlineStr">
        <is>
          <t>I19</t>
        </is>
      </c>
      <c r="C168" t="n">
        <v>19</v>
      </c>
      <c r="D168" t="n">
        <v>9</v>
      </c>
      <c r="E168" t="inlineStr">
        <is>
          <t>Calculation</t>
        </is>
      </c>
      <c r="F168" t="inlineStr">
        <is>
          <t>'=I$2*I29</t>
        </is>
      </c>
      <c r="G168" t="n">
        <v>2826.757194122707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inlineStr">
        <is>
          <t>G000018</t>
        </is>
      </c>
      <c r="T168" t="inlineStr">
        <is>
          <t>Horizontal</t>
        </is>
      </c>
      <c r="U168" t="n">
        <v>5</v>
      </c>
      <c r="V168" t="b">
        <v>1</v>
      </c>
      <c r="W168" t="inlineStr">
        <is>
          <t>Revenue Model!E19:I19</t>
        </is>
      </c>
      <c r="X168">
        <f>R2C[0]*R[10]C[0]</f>
        <v/>
      </c>
    </row>
    <row r="169">
      <c r="A169" t="inlineStr">
        <is>
          <t>Revenue Model</t>
        </is>
      </c>
      <c r="B169" t="inlineStr">
        <is>
          <t>A20</t>
        </is>
      </c>
      <c r="C169" t="n">
        <v>20</v>
      </c>
      <c r="D169" t="n">
        <v>1</v>
      </c>
      <c r="E169" t="inlineStr">
        <is>
          <t>Input</t>
        </is>
      </c>
      <c r="F169" t="n">
        <v/>
      </c>
      <c r="G169" t="inlineStr">
        <is>
          <t>Power</t>
        </is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Revenue Model</t>
        </is>
      </c>
      <c r="B170" t="inlineStr">
        <is>
          <t>B20</t>
        </is>
      </c>
      <c r="C170" t="n">
        <v>20</v>
      </c>
      <c r="D170" t="n">
        <v>2</v>
      </c>
      <c r="E170" t="inlineStr">
        <is>
          <t>Input</t>
        </is>
      </c>
      <c r="F170" t="n">
        <v/>
      </c>
      <c r="G170" t="n">
        <v>2396.67</v>
      </c>
      <c r="H170" t="inlineStr"/>
      <c r="I170" t="inlineStr">
        <is>
          <t>#,##0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n">
        <v/>
      </c>
      <c r="T170" t="n">
        <v/>
      </c>
      <c r="U170" t="n">
        <v/>
      </c>
      <c r="V170" t="b">
        <v>0</v>
      </c>
      <c r="W170" t="inlineStr"/>
      <c r="X170" t="n">
        <v/>
      </c>
    </row>
    <row r="171">
      <c r="A171" t="inlineStr">
        <is>
          <t>Revenue Model</t>
        </is>
      </c>
      <c r="B171" t="inlineStr">
        <is>
          <t>C20</t>
        </is>
      </c>
      <c r="C171" t="n">
        <v>20</v>
      </c>
      <c r="D171" t="n">
        <v>3</v>
      </c>
      <c r="E171" t="inlineStr">
        <is>
          <t>Input</t>
        </is>
      </c>
      <c r="F171" t="n">
        <v/>
      </c>
      <c r="G171" t="n">
        <v>2159.91</v>
      </c>
      <c r="H171" t="inlineStr"/>
      <c r="I171" t="inlineStr">
        <is>
          <t>#,##0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n">
        <v/>
      </c>
      <c r="T171" t="n">
        <v/>
      </c>
      <c r="U171" t="n">
        <v/>
      </c>
      <c r="V171" t="b">
        <v>0</v>
      </c>
      <c r="W171" t="inlineStr"/>
      <c r="X171" t="n">
        <v/>
      </c>
    </row>
    <row r="172">
      <c r="A172" t="inlineStr">
        <is>
          <t>Revenue Model</t>
        </is>
      </c>
      <c r="B172" t="inlineStr">
        <is>
          <t>D20</t>
        </is>
      </c>
      <c r="C172" t="n">
        <v>20</v>
      </c>
      <c r="D172" t="n">
        <v>4</v>
      </c>
      <c r="E172" t="inlineStr">
        <is>
          <t>Input</t>
        </is>
      </c>
      <c r="F172" t="n">
        <v/>
      </c>
      <c r="G172" t="n">
        <v>2716.94</v>
      </c>
      <c r="H172" t="inlineStr"/>
      <c r="I172" t="inlineStr">
        <is>
          <t>#,##0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n">
        <v/>
      </c>
      <c r="T172" t="n">
        <v/>
      </c>
      <c r="U172" t="n">
        <v/>
      </c>
      <c r="V172" t="b">
        <v>0</v>
      </c>
      <c r="W172" t="inlineStr"/>
      <c r="X172" t="n">
        <v/>
      </c>
    </row>
    <row r="173">
      <c r="A173" t="inlineStr">
        <is>
          <t>Revenue Model</t>
        </is>
      </c>
      <c r="B173" t="inlineStr">
        <is>
          <t>E20</t>
        </is>
      </c>
      <c r="C173" t="n">
        <v>20</v>
      </c>
      <c r="D173" t="n">
        <v>5</v>
      </c>
      <c r="E173" t="inlineStr">
        <is>
          <t>Calculation</t>
        </is>
      </c>
      <c r="F173" t="inlineStr">
        <is>
          <t>'=E$2*E30</t>
        </is>
      </c>
      <c r="G173" t="n">
        <v>2925.009455696203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G000019</t>
        </is>
      </c>
      <c r="T173" t="inlineStr">
        <is>
          <t>Horizontal</t>
        </is>
      </c>
      <c r="U173" t="n">
        <v>5</v>
      </c>
      <c r="V173" t="b">
        <v>1</v>
      </c>
      <c r="W173" t="inlineStr">
        <is>
          <t>Revenue Model!E20:I20</t>
        </is>
      </c>
      <c r="X173">
        <f>R2C[0]*R[10]C[0]</f>
        <v/>
      </c>
    </row>
    <row r="174">
      <c r="A174" t="inlineStr">
        <is>
          <t>Revenue Model</t>
        </is>
      </c>
      <c r="B174" t="inlineStr">
        <is>
          <t>F20</t>
        </is>
      </c>
      <c r="C174" t="n">
        <v>20</v>
      </c>
      <c r="D174" t="n">
        <v>6</v>
      </c>
      <c r="E174" t="inlineStr">
        <is>
          <t>Calculation</t>
        </is>
      </c>
      <c r="F174" t="inlineStr">
        <is>
          <t>'=F$2*F30</t>
        </is>
      </c>
      <c r="G174" t="n">
        <v>3147.093506962026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G000019</t>
        </is>
      </c>
      <c r="T174" t="inlineStr">
        <is>
          <t>Horizontal</t>
        </is>
      </c>
      <c r="U174" t="n">
        <v>5</v>
      </c>
      <c r="V174" t="b">
        <v>1</v>
      </c>
      <c r="W174" t="inlineStr">
        <is>
          <t>Revenue Model!E20:I20</t>
        </is>
      </c>
      <c r="X174">
        <f>R2C[0]*R[10]C[0]</f>
        <v/>
      </c>
    </row>
    <row r="175">
      <c r="A175" t="inlineStr">
        <is>
          <t>Revenue Model</t>
        </is>
      </c>
      <c r="B175" t="inlineStr">
        <is>
          <t>G20</t>
        </is>
      </c>
      <c r="C175" t="n">
        <v>20</v>
      </c>
      <c r="D175" t="n">
        <v>7</v>
      </c>
      <c r="E175" t="inlineStr">
        <is>
          <t>Calculation</t>
        </is>
      </c>
      <c r="F175" t="inlineStr">
        <is>
          <t>'=G$2*G30</t>
        </is>
      </c>
      <c r="G175" t="n">
        <v>3384.07343971519</v>
      </c>
      <c r="H175" t="inlineStr"/>
      <c r="I175" t="inlineStr">
        <is>
          <t>_-* #,##0_-;\-* #,##0_-;_-* "-"??_-;_-@_-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inlineStr">
        <is>
          <t>G000019</t>
        </is>
      </c>
      <c r="T175" t="inlineStr">
        <is>
          <t>Horizontal</t>
        </is>
      </c>
      <c r="U175" t="n">
        <v>5</v>
      </c>
      <c r="V175" t="b">
        <v>1</v>
      </c>
      <c r="W175" t="inlineStr">
        <is>
          <t>Revenue Model!E20:I20</t>
        </is>
      </c>
      <c r="X175">
        <f>R2C[0]*R[10]C[0]</f>
        <v/>
      </c>
    </row>
    <row r="176">
      <c r="A176" t="inlineStr">
        <is>
          <t>Revenue Model</t>
        </is>
      </c>
      <c r="B176" t="inlineStr">
        <is>
          <t>H20</t>
        </is>
      </c>
      <c r="C176" t="n">
        <v>20</v>
      </c>
      <c r="D176" t="n">
        <v>8</v>
      </c>
      <c r="E176" t="inlineStr">
        <is>
          <t>Calculation</t>
        </is>
      </c>
      <c r="F176" t="inlineStr">
        <is>
          <t>'=H$2*H30</t>
        </is>
      </c>
      <c r="G176" t="n">
        <v>3636.883631976267</v>
      </c>
      <c r="H176" t="inlineStr"/>
      <c r="I176" t="inlineStr">
        <is>
          <t>_-* #,##0_-;\-* #,##0_-;_-* "-"??_-;_-@_-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G000019</t>
        </is>
      </c>
      <c r="T176" t="inlineStr">
        <is>
          <t>Horizontal</t>
        </is>
      </c>
      <c r="U176" t="n">
        <v>5</v>
      </c>
      <c r="V176" t="b">
        <v>1</v>
      </c>
      <c r="W176" t="inlineStr">
        <is>
          <t>Revenue Model!E20:I20</t>
        </is>
      </c>
      <c r="X176">
        <f>R2C[0]*R[10]C[0]</f>
        <v/>
      </c>
    </row>
    <row r="177">
      <c r="A177" t="inlineStr">
        <is>
          <t>Revenue Model</t>
        </is>
      </c>
      <c r="B177" t="inlineStr">
        <is>
          <t>I20</t>
        </is>
      </c>
      <c r="C177" t="n">
        <v>20</v>
      </c>
      <c r="D177" t="n">
        <v>9</v>
      </c>
      <c r="E177" t="inlineStr">
        <is>
          <t>Calculation</t>
        </is>
      </c>
      <c r="F177" t="inlineStr">
        <is>
          <t>'=I$2*I30</t>
        </is>
      </c>
      <c r="G177" t="n">
        <v>3906.514659864164</v>
      </c>
      <c r="H177" t="inlineStr"/>
      <c r="I177" t="inlineStr">
        <is>
          <t>_-* #,##0_-;\-* #,##0_-;_-* "-"??_-;_-@_-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inlineStr">
        <is>
          <t>G000019</t>
        </is>
      </c>
      <c r="T177" t="inlineStr">
        <is>
          <t>Horizontal</t>
        </is>
      </c>
      <c r="U177" t="n">
        <v>5</v>
      </c>
      <c r="V177" t="b">
        <v>1</v>
      </c>
      <c r="W177" t="inlineStr">
        <is>
          <t>Revenue Model!E20:I20</t>
        </is>
      </c>
      <c r="X177">
        <f>R2C[0]*R[10]C[0]</f>
        <v/>
      </c>
    </row>
    <row r="178">
      <c r="A178" t="inlineStr">
        <is>
          <t>Revenue Model</t>
        </is>
      </c>
      <c r="B178" t="inlineStr">
        <is>
          <t>A21</t>
        </is>
      </c>
      <c r="C178" t="n">
        <v>21</v>
      </c>
      <c r="D178" t="n">
        <v>1</v>
      </c>
      <c r="E178" t="inlineStr">
        <is>
          <t>Input</t>
        </is>
      </c>
      <c r="F178" t="n">
        <v/>
      </c>
      <c r="G178" t="inlineStr">
        <is>
          <t>Transport</t>
        </is>
      </c>
      <c r="H178" t="inlineStr"/>
      <c r="I178" t="inlineStr">
        <is>
          <t>General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Revenue Model</t>
        </is>
      </c>
      <c r="B179" t="inlineStr">
        <is>
          <t>B21</t>
        </is>
      </c>
      <c r="C179" t="n">
        <v>21</v>
      </c>
      <c r="D179" t="n">
        <v>2</v>
      </c>
      <c r="E179" t="inlineStr">
        <is>
          <t>Input</t>
        </is>
      </c>
      <c r="F179" t="n">
        <v/>
      </c>
      <c r="G179" t="n">
        <v>2704.21</v>
      </c>
      <c r="H179" t="inlineStr"/>
      <c r="I179" t="inlineStr">
        <is>
          <t>#,##0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Revenue Model</t>
        </is>
      </c>
      <c r="B180" t="inlineStr">
        <is>
          <t>C21</t>
        </is>
      </c>
      <c r="C180" t="n">
        <v>21</v>
      </c>
      <c r="D180" t="n">
        <v>3</v>
      </c>
      <c r="E180" t="inlineStr">
        <is>
          <t>Input</t>
        </is>
      </c>
      <c r="F180" t="n">
        <v/>
      </c>
      <c r="G180" t="n">
        <v>2636.11</v>
      </c>
      <c r="H180" t="inlineStr"/>
      <c r="I180" t="inlineStr">
        <is>
          <t>#,##0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Revenue Model</t>
        </is>
      </c>
      <c r="B181" t="inlineStr">
        <is>
          <t>D21</t>
        </is>
      </c>
      <c r="C181" t="n">
        <v>21</v>
      </c>
      <c r="D181" t="n">
        <v>4</v>
      </c>
      <c r="E181" t="inlineStr">
        <is>
          <t>Input</t>
        </is>
      </c>
      <c r="F181" t="n">
        <v/>
      </c>
      <c r="G181" t="n">
        <v>3433.75</v>
      </c>
      <c r="H181" t="inlineStr"/>
      <c r="I181" t="inlineStr">
        <is>
          <t>#,##0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Revenue Model</t>
        </is>
      </c>
      <c r="B182" t="inlineStr">
        <is>
          <t>E21</t>
        </is>
      </c>
      <c r="C182" t="n">
        <v>21</v>
      </c>
      <c r="D182" t="n">
        <v>5</v>
      </c>
      <c r="E182" t="inlineStr">
        <is>
          <t>Calculation</t>
        </is>
      </c>
      <c r="F182" t="inlineStr">
        <is>
          <t>'=E$2*E31</t>
        </is>
      </c>
      <c r="G182" t="n">
        <v>3913.326736518988</v>
      </c>
      <c r="H182" t="inlineStr"/>
      <c r="I182" t="inlineStr">
        <is>
          <t>_-* #,##0_-;\-* #,##0_-;_-* "-"??_-;_-@_-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G000020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Revenue Model!E21:I21</t>
        </is>
      </c>
      <c r="X182">
        <f>R2C[0]*R[10]C[0]</f>
        <v/>
      </c>
    </row>
    <row r="183">
      <c r="A183" t="inlineStr">
        <is>
          <t>Revenue Model</t>
        </is>
      </c>
      <c r="B183" t="inlineStr">
        <is>
          <t>F21</t>
        </is>
      </c>
      <c r="C183" t="n">
        <v>21</v>
      </c>
      <c r="D183" t="n">
        <v>6</v>
      </c>
      <c r="E183" t="inlineStr">
        <is>
          <t>Calculation</t>
        </is>
      </c>
      <c r="F183" t="inlineStr">
        <is>
          <t>'=F$2*F31</t>
        </is>
      </c>
      <c r="G183" t="n">
        <v>4288.135969139242</v>
      </c>
      <c r="H183" t="inlineStr"/>
      <c r="I183" t="inlineStr">
        <is>
          <t>_-* #,##0_-;\-* #,##0_-;_-* "-"??_-;_-@_-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inlineStr">
        <is>
          <t>G000020</t>
        </is>
      </c>
      <c r="T183" t="inlineStr">
        <is>
          <t>Horizontal</t>
        </is>
      </c>
      <c r="U183" t="n">
        <v>5</v>
      </c>
      <c r="V183" t="b">
        <v>1</v>
      </c>
      <c r="W183" t="inlineStr">
        <is>
          <t>Revenue Model!E21:I21</t>
        </is>
      </c>
      <c r="X183">
        <f>R2C[0]*R[10]C[0]</f>
        <v/>
      </c>
    </row>
    <row r="184">
      <c r="A184" t="inlineStr">
        <is>
          <t>Revenue Model</t>
        </is>
      </c>
      <c r="B184" t="inlineStr">
        <is>
          <t>G21</t>
        </is>
      </c>
      <c r="C184" t="n">
        <v>21</v>
      </c>
      <c r="D184" t="n">
        <v>7</v>
      </c>
      <c r="E184" t="inlineStr">
        <is>
          <t>Calculation</t>
        </is>
      </c>
      <c r="F184" t="inlineStr">
        <is>
          <t>'=G$2*G31</t>
        </is>
      </c>
      <c r="G184" t="n">
        <v>4694.573920977058</v>
      </c>
      <c r="H184" t="inlineStr"/>
      <c r="I184" t="inlineStr">
        <is>
          <t>_-* #,##0_-;\-* #,##0_-;_-* "-"??_-;_-@_-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inlineStr">
        <is>
          <t>G000020</t>
        </is>
      </c>
      <c r="T184" t="inlineStr">
        <is>
          <t>Horizontal</t>
        </is>
      </c>
      <c r="U184" t="n">
        <v>5</v>
      </c>
      <c r="V184" t="b">
        <v>1</v>
      </c>
      <c r="W184" t="inlineStr">
        <is>
          <t>Revenue Model!E21:I21</t>
        </is>
      </c>
      <c r="X184">
        <f>R2C[0]*R[10]C[0]</f>
        <v/>
      </c>
    </row>
    <row r="185">
      <c r="A185" t="inlineStr">
        <is>
          <t>Revenue Model</t>
        </is>
      </c>
      <c r="B185" t="inlineStr">
        <is>
          <t>H21</t>
        </is>
      </c>
      <c r="C185" t="n">
        <v>21</v>
      </c>
      <c r="D185" t="n">
        <v>8</v>
      </c>
      <c r="E185" t="inlineStr">
        <is>
          <t>Calculation</t>
        </is>
      </c>
      <c r="F185" t="inlineStr">
        <is>
          <t>'=H$2*H31</t>
        </is>
      </c>
      <c r="G185" t="n">
        <v>5135.062996512485</v>
      </c>
      <c r="H185" t="inlineStr"/>
      <c r="I185" t="inlineStr">
        <is>
          <t>_-* #,##0_-;\-* #,##0_-;_-* "-"??_-;_-@_-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G000020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Revenue Model!E21:I21</t>
        </is>
      </c>
      <c r="X185">
        <f>R2C[0]*R[10]C[0]</f>
        <v/>
      </c>
    </row>
    <row r="186">
      <c r="A186" t="inlineStr">
        <is>
          <t>Revenue Model</t>
        </is>
      </c>
      <c r="B186" t="inlineStr">
        <is>
          <t>I21</t>
        </is>
      </c>
      <c r="C186" t="n">
        <v>21</v>
      </c>
      <c r="D186" t="n">
        <v>9</v>
      </c>
      <c r="E186" t="inlineStr">
        <is>
          <t>Calculation</t>
        </is>
      </c>
      <c r="F186" t="inlineStr">
        <is>
          <t>'=I$2*I31</t>
        </is>
      </c>
      <c r="G186" t="n">
        <v>5612.198596657526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G000020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Revenue Model!E21:I21</t>
        </is>
      </c>
      <c r="X186">
        <f>R2C[0]*R[10]C[0]</f>
        <v/>
      </c>
    </row>
    <row r="187">
      <c r="A187" t="inlineStr">
        <is>
          <t>Revenue Model</t>
        </is>
      </c>
      <c r="B187" t="inlineStr">
        <is>
          <t>A22</t>
        </is>
      </c>
      <c r="C187" t="n">
        <v>22</v>
      </c>
      <c r="D187" t="n">
        <v>1</v>
      </c>
      <c r="E187" t="inlineStr">
        <is>
          <t>Input</t>
        </is>
      </c>
      <c r="F187" t="n">
        <v/>
      </c>
      <c r="G187" t="inlineStr">
        <is>
          <t>Salaries</t>
        </is>
      </c>
      <c r="H187" t="inlineStr"/>
      <c r="I187" t="inlineStr">
        <is>
          <t>General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 t="n">
        <v/>
      </c>
    </row>
    <row r="188">
      <c r="A188" t="inlineStr">
        <is>
          <t>Revenue Model</t>
        </is>
      </c>
      <c r="B188" t="inlineStr">
        <is>
          <t>B22</t>
        </is>
      </c>
      <c r="C188" t="n">
        <v>22</v>
      </c>
      <c r="D188" t="n">
        <v>2</v>
      </c>
      <c r="E188" t="inlineStr">
        <is>
          <t>Input</t>
        </is>
      </c>
      <c r="F188" t="n">
        <v/>
      </c>
      <c r="G188" t="n">
        <v>772.16</v>
      </c>
      <c r="H188" t="inlineStr"/>
      <c r="I188" t="inlineStr">
        <is>
          <t>#,##0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Revenue Model</t>
        </is>
      </c>
      <c r="B189" t="inlineStr">
        <is>
          <t>C22</t>
        </is>
      </c>
      <c r="C189" t="n">
        <v>22</v>
      </c>
      <c r="D189" t="n">
        <v>3</v>
      </c>
      <c r="E189" t="inlineStr">
        <is>
          <t>Input</t>
        </is>
      </c>
      <c r="F189" t="n">
        <v/>
      </c>
      <c r="G189" t="n">
        <v>756.72</v>
      </c>
      <c r="H189" t="inlineStr"/>
      <c r="I189" t="inlineStr">
        <is>
          <t>#,##0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Revenue Model</t>
        </is>
      </c>
      <c r="B190" t="inlineStr">
        <is>
          <t>D22</t>
        </is>
      </c>
      <c r="C190" t="n">
        <v>22</v>
      </c>
      <c r="D190" t="n">
        <v>4</v>
      </c>
      <c r="E190" t="inlineStr">
        <is>
          <t>Input</t>
        </is>
      </c>
      <c r="F190" t="n">
        <v/>
      </c>
      <c r="G190" t="n">
        <v>821.36</v>
      </c>
      <c r="H190" t="inlineStr"/>
      <c r="I190" t="inlineStr">
        <is>
          <t>#,##0</t>
        </is>
      </c>
      <c r="J190" t="b">
        <v>0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Revenue Model</t>
        </is>
      </c>
      <c r="B191" t="inlineStr">
        <is>
          <t>E22</t>
        </is>
      </c>
      <c r="C191" t="n">
        <v>22</v>
      </c>
      <c r="D191" t="n">
        <v>5</v>
      </c>
      <c r="E191" t="inlineStr">
        <is>
          <t>Calculation</t>
        </is>
      </c>
      <c r="F191" t="inlineStr">
        <is>
          <t>'=E$2*E32</t>
        </is>
      </c>
      <c r="G191" t="n">
        <v>884.2616202531647</v>
      </c>
      <c r="H191" t="inlineStr"/>
      <c r="I191" t="inlineStr">
        <is>
          <t>_-* #,##0_-;\-* #,##0_-;_-* "-"??_-;_-@_-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G000021</t>
        </is>
      </c>
      <c r="T191" t="inlineStr">
        <is>
          <t>Horizontal</t>
        </is>
      </c>
      <c r="U191" t="n">
        <v>5</v>
      </c>
      <c r="V191" t="b">
        <v>1</v>
      </c>
      <c r="W191" t="inlineStr">
        <is>
          <t>Revenue Model!E22:I22</t>
        </is>
      </c>
      <c r="X191">
        <f>R2C[0]*R[10]C[0]</f>
        <v/>
      </c>
    </row>
    <row r="192">
      <c r="A192" t="inlineStr">
        <is>
          <t>Revenue Model</t>
        </is>
      </c>
      <c r="B192" t="inlineStr">
        <is>
          <t>F22</t>
        </is>
      </c>
      <c r="C192" t="n">
        <v>22</v>
      </c>
      <c r="D192" t="n">
        <v>6</v>
      </c>
      <c r="E192" t="inlineStr">
        <is>
          <t>Calculation</t>
        </is>
      </c>
      <c r="F192" t="inlineStr">
        <is>
          <t>'=F$2*F32</t>
        </is>
      </c>
      <c r="G192" t="n">
        <v>951.4000025316458</v>
      </c>
      <c r="H192" t="inlineStr"/>
      <c r="I192" t="inlineStr">
        <is>
          <t>_-* #,##0_-;\-* #,##0_-;_-* "-"??_-;_-@_-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inlineStr">
        <is>
          <t>G000021</t>
        </is>
      </c>
      <c r="T192" t="inlineStr">
        <is>
          <t>Horizontal</t>
        </is>
      </c>
      <c r="U192" t="n">
        <v>5</v>
      </c>
      <c r="V192" t="b">
        <v>1</v>
      </c>
      <c r="W192" t="inlineStr">
        <is>
          <t>Revenue Model!E22:I22</t>
        </is>
      </c>
      <c r="X192">
        <f>R2C[0]*R[10]C[0]</f>
        <v/>
      </c>
    </row>
    <row r="193">
      <c r="A193" t="inlineStr">
        <is>
          <t>Revenue Model</t>
        </is>
      </c>
      <c r="B193" t="inlineStr">
        <is>
          <t>G22</t>
        </is>
      </c>
      <c r="C193" t="n">
        <v>22</v>
      </c>
      <c r="D193" t="n">
        <v>7</v>
      </c>
      <c r="E193" t="inlineStr">
        <is>
          <t>Calculation</t>
        </is>
      </c>
      <c r="F193" t="inlineStr">
        <is>
          <t>'=G$2*G32</t>
        </is>
      </c>
      <c r="G193" t="n">
        <v>1023.041568987342</v>
      </c>
      <c r="H193" t="inlineStr"/>
      <c r="I193" t="inlineStr">
        <is>
          <t>_-* #,##0_-;\-* #,##0_-;_-* "-"??_-;_-@_-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G000021</t>
        </is>
      </c>
      <c r="T193" t="inlineStr">
        <is>
          <t>Horizontal</t>
        </is>
      </c>
      <c r="U193" t="n">
        <v>5</v>
      </c>
      <c r="V193" t="b">
        <v>1</v>
      </c>
      <c r="W193" t="inlineStr">
        <is>
          <t>Revenue Model!E22:I22</t>
        </is>
      </c>
      <c r="X193">
        <f>R2C[0]*R[10]C[0]</f>
        <v/>
      </c>
    </row>
    <row r="194">
      <c r="A194" t="inlineStr">
        <is>
          <t>Revenue Model</t>
        </is>
      </c>
      <c r="B194" t="inlineStr">
        <is>
          <t>H22</t>
        </is>
      </c>
      <c r="C194" t="n">
        <v>22</v>
      </c>
      <c r="D194" t="n">
        <v>8</v>
      </c>
      <c r="E194" t="inlineStr">
        <is>
          <t>Calculation</t>
        </is>
      </c>
      <c r="F194" t="inlineStr">
        <is>
          <t>'=H$2*H32</t>
        </is>
      </c>
      <c r="G194" t="n">
        <v>1099.468792082279</v>
      </c>
      <c r="H194" t="inlineStr"/>
      <c r="I194" t="inlineStr">
        <is>
          <t>_-* #,##0_-;\-* #,##0_-;_-* "-"??_-;_-@_-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P194" t="n">
        <v/>
      </c>
      <c r="R194" t="b">
        <v>1</v>
      </c>
      <c r="S194" t="inlineStr">
        <is>
          <t>G000021</t>
        </is>
      </c>
      <c r="T194" t="inlineStr">
        <is>
          <t>Horizontal</t>
        </is>
      </c>
      <c r="U194" t="n">
        <v>5</v>
      </c>
      <c r="V194" t="b">
        <v>1</v>
      </c>
      <c r="W194" t="inlineStr">
        <is>
          <t>Revenue Model!E22:I22</t>
        </is>
      </c>
      <c r="X194">
        <f>R2C[0]*R[10]C[0]</f>
        <v/>
      </c>
    </row>
    <row r="195">
      <c r="A195" t="inlineStr">
        <is>
          <t>Revenue Model</t>
        </is>
      </c>
      <c r="B195" t="inlineStr">
        <is>
          <t>I22</t>
        </is>
      </c>
      <c r="C195" t="n">
        <v>22</v>
      </c>
      <c r="D195" t="n">
        <v>9</v>
      </c>
      <c r="E195" t="inlineStr">
        <is>
          <t>Calculation</t>
        </is>
      </c>
      <c r="F195" t="inlineStr">
        <is>
          <t>'=I$2*I32</t>
        </is>
      </c>
      <c r="G195" t="n">
        <v>1180.981133564241</v>
      </c>
      <c r="H195" t="inlineStr"/>
      <c r="I195" t="inlineStr">
        <is>
          <t>_-* #,##0_-;\-* #,##0_-;_-* "-"??_-;_-@_-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inlineStr">
        <is>
          <t>G000021</t>
        </is>
      </c>
      <c r="T195" t="inlineStr">
        <is>
          <t>Horizontal</t>
        </is>
      </c>
      <c r="U195" t="n">
        <v>5</v>
      </c>
      <c r="V195" t="b">
        <v>1</v>
      </c>
      <c r="W195" t="inlineStr">
        <is>
          <t>Revenue Model!E22:I22</t>
        </is>
      </c>
      <c r="X195">
        <f>R2C[0]*R[10]C[0]</f>
        <v/>
      </c>
    </row>
    <row r="196">
      <c r="A196" t="inlineStr">
        <is>
          <t>Revenue Model</t>
        </is>
      </c>
      <c r="B196" t="inlineStr">
        <is>
          <t>A23</t>
        </is>
      </c>
      <c r="C196" t="n">
        <v>23</v>
      </c>
      <c r="D196" t="n">
        <v>1</v>
      </c>
      <c r="E196" t="inlineStr">
        <is>
          <t>Input</t>
        </is>
      </c>
      <c r="F196" t="n">
        <v/>
      </c>
      <c r="G196" t="inlineStr">
        <is>
          <t>Other exps</t>
        </is>
      </c>
      <c r="H196" t="inlineStr"/>
      <c r="I196" t="inlineStr">
        <is>
          <t>General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 t="n">
        <v/>
      </c>
    </row>
    <row r="197">
      <c r="A197" t="inlineStr">
        <is>
          <t>Revenue Model</t>
        </is>
      </c>
      <c r="B197" t="inlineStr">
        <is>
          <t>B23</t>
        </is>
      </c>
      <c r="C197" t="n">
        <v>23</v>
      </c>
      <c r="D197" t="n">
        <v>2</v>
      </c>
      <c r="E197" t="inlineStr">
        <is>
          <t>Input</t>
        </is>
      </c>
      <c r="F197" t="n">
        <v/>
      </c>
      <c r="G197" t="n">
        <v>2547.89</v>
      </c>
      <c r="H197" t="inlineStr"/>
      <c r="I197" t="inlineStr">
        <is>
          <t>#,##0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 t="n">
        <v/>
      </c>
    </row>
    <row r="198">
      <c r="A198" t="inlineStr">
        <is>
          <t>Revenue Model</t>
        </is>
      </c>
      <c r="B198" t="inlineStr">
        <is>
          <t>C23</t>
        </is>
      </c>
      <c r="C198" t="n">
        <v>23</v>
      </c>
      <c r="D198" t="n">
        <v>3</v>
      </c>
      <c r="E198" t="inlineStr">
        <is>
          <t>Input</t>
        </is>
      </c>
      <c r="F198" t="n">
        <v/>
      </c>
      <c r="G198" t="n">
        <v>2357.68</v>
      </c>
      <c r="H198" t="inlineStr"/>
      <c r="I198" t="inlineStr">
        <is>
          <t>#,##0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Revenue Model</t>
        </is>
      </c>
      <c r="B199" t="inlineStr">
        <is>
          <t>D23</t>
        </is>
      </c>
      <c r="C199" t="n">
        <v>23</v>
      </c>
      <c r="D199" t="n">
        <v>4</v>
      </c>
      <c r="E199" t="inlineStr">
        <is>
          <t>Input</t>
        </is>
      </c>
      <c r="F199" t="n">
        <v/>
      </c>
      <c r="G199" t="n">
        <v>2440.8</v>
      </c>
      <c r="H199" t="inlineStr"/>
      <c r="I199" t="inlineStr">
        <is>
          <t>#,##0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Revenue Model</t>
        </is>
      </c>
      <c r="B200" t="inlineStr">
        <is>
          <t>E23</t>
        </is>
      </c>
      <c r="C200" t="n">
        <v>23</v>
      </c>
      <c r="D200" t="n">
        <v>5</v>
      </c>
      <c r="E200" t="inlineStr">
        <is>
          <t>Calculation</t>
        </is>
      </c>
      <c r="F200" t="inlineStr">
        <is>
          <t>'=E$2*E33</t>
        </is>
      </c>
      <c r="G200" t="n">
        <v>2627.722025316456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inlineStr">
        <is>
          <t>G000022</t>
        </is>
      </c>
      <c r="T200" t="inlineStr">
        <is>
          <t>Horizontal</t>
        </is>
      </c>
      <c r="U200" t="n">
        <v>5</v>
      </c>
      <c r="V200" t="b">
        <v>1</v>
      </c>
      <c r="W200" t="inlineStr">
        <is>
          <t>Revenue Model!E23:I23</t>
        </is>
      </c>
      <c r="X200">
        <f>R2C[0]*R[10]C[0]</f>
        <v/>
      </c>
    </row>
    <row r="201">
      <c r="A201" t="inlineStr">
        <is>
          <t>Revenue Model</t>
        </is>
      </c>
      <c r="B201" t="inlineStr">
        <is>
          <t>F23</t>
        </is>
      </c>
      <c r="C201" t="n">
        <v>23</v>
      </c>
      <c r="D201" t="n">
        <v>6</v>
      </c>
      <c r="E201" t="inlineStr">
        <is>
          <t>Calculation</t>
        </is>
      </c>
      <c r="F201" t="inlineStr">
        <is>
          <t>'=F$2*F33</t>
        </is>
      </c>
      <c r="G201" t="n">
        <v>2827.234253164558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G000022</t>
        </is>
      </c>
      <c r="T201" t="inlineStr">
        <is>
          <t>Horizontal</t>
        </is>
      </c>
      <c r="U201" t="n">
        <v>5</v>
      </c>
      <c r="V201" t="b">
        <v>1</v>
      </c>
      <c r="W201" t="inlineStr">
        <is>
          <t>Revenue Model!E23:I23</t>
        </is>
      </c>
      <c r="X201">
        <f>R2C[0]*R[10]C[0]</f>
        <v/>
      </c>
    </row>
    <row r="202">
      <c r="A202" t="inlineStr">
        <is>
          <t>Revenue Model</t>
        </is>
      </c>
      <c r="B202" t="inlineStr">
        <is>
          <t>G23</t>
        </is>
      </c>
      <c r="C202" t="n">
        <v>23</v>
      </c>
      <c r="D202" t="n">
        <v>7</v>
      </c>
      <c r="E202" t="inlineStr">
        <is>
          <t>Calculation</t>
        </is>
      </c>
      <c r="F202" t="inlineStr">
        <is>
          <t>'=G$2*G33</t>
        </is>
      </c>
      <c r="G202" t="n">
        <v>3040.128398734178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inlineStr">
        <is>
          <t>G000022</t>
        </is>
      </c>
      <c r="T202" t="inlineStr">
        <is>
          <t>Horizontal</t>
        </is>
      </c>
      <c r="U202" t="n">
        <v>5</v>
      </c>
      <c r="V202" t="b">
        <v>1</v>
      </c>
      <c r="W202" t="inlineStr">
        <is>
          <t>Revenue Model!E23:I23</t>
        </is>
      </c>
      <c r="X202">
        <f>R2C[0]*R[10]C[0]</f>
        <v/>
      </c>
    </row>
    <row r="203">
      <c r="A203" t="inlineStr">
        <is>
          <t>Revenue Model</t>
        </is>
      </c>
      <c r="B203" t="inlineStr">
        <is>
          <t>H23</t>
        </is>
      </c>
      <c r="C203" t="n">
        <v>23</v>
      </c>
      <c r="D203" t="n">
        <v>8</v>
      </c>
      <c r="E203" t="inlineStr">
        <is>
          <t>Calculation</t>
        </is>
      </c>
      <c r="F203" t="inlineStr">
        <is>
          <t>'=H$2*H33</t>
        </is>
      </c>
      <c r="G203" t="n">
        <v>3267.243873227849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G000022</t>
        </is>
      </c>
      <c r="T203" t="inlineStr">
        <is>
          <t>Horizontal</t>
        </is>
      </c>
      <c r="U203" t="n">
        <v>5</v>
      </c>
      <c r="V203" t="b">
        <v>1</v>
      </c>
      <c r="W203" t="inlineStr">
        <is>
          <t>Revenue Model!E23:I23</t>
        </is>
      </c>
      <c r="X203">
        <f>R2C[0]*R[10]C[0]</f>
        <v/>
      </c>
    </row>
    <row r="204">
      <c r="A204" t="inlineStr">
        <is>
          <t>Revenue Model</t>
        </is>
      </c>
      <c r="B204" t="inlineStr">
        <is>
          <t>I23</t>
        </is>
      </c>
      <c r="C204" t="n">
        <v>23</v>
      </c>
      <c r="D204" t="n">
        <v>9</v>
      </c>
      <c r="E204" t="inlineStr">
        <is>
          <t>Calculation</t>
        </is>
      </c>
      <c r="F204" t="inlineStr">
        <is>
          <t>'=I$2*I33</t>
        </is>
      </c>
      <c r="G204" t="n">
        <v>3509.470574174053</v>
      </c>
      <c r="H204" t="inlineStr"/>
      <c r="I204" t="inlineStr">
        <is>
          <t>_-* #,##0_-;\-* #,##0_-;_-* "-"??_-;_-@_-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G000022</t>
        </is>
      </c>
      <c r="T204" t="inlineStr">
        <is>
          <t>Horizontal</t>
        </is>
      </c>
      <c r="U204" t="n">
        <v>5</v>
      </c>
      <c r="V204" t="b">
        <v>1</v>
      </c>
      <c r="W204" t="inlineStr">
        <is>
          <t>Revenue Model!E23:I23</t>
        </is>
      </c>
      <c r="X204">
        <f>R2C[0]*R[10]C[0]</f>
        <v/>
      </c>
    </row>
    <row r="205">
      <c r="A205" t="inlineStr">
        <is>
          <t>Revenue Model</t>
        </is>
      </c>
      <c r="B205" t="inlineStr">
        <is>
          <t>A24</t>
        </is>
      </c>
      <c r="C205" t="n">
        <v>24</v>
      </c>
      <c r="D205" t="n">
        <v>1</v>
      </c>
      <c r="E205" t="inlineStr">
        <is>
          <t>Input</t>
        </is>
      </c>
      <c r="F205" t="n">
        <v/>
      </c>
      <c r="G205" t="inlineStr">
        <is>
          <t>Total expenses</t>
        </is>
      </c>
      <c r="H205" t="inlineStr"/>
      <c r="I205" t="inlineStr">
        <is>
          <t>General</t>
        </is>
      </c>
      <c r="J205" t="b">
        <v>1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 t="n">
        <v/>
      </c>
    </row>
    <row r="206">
      <c r="A206" t="inlineStr">
        <is>
          <t>Revenue Model</t>
        </is>
      </c>
      <c r="B206" t="inlineStr">
        <is>
          <t>B24</t>
        </is>
      </c>
      <c r="C206" t="n">
        <v>24</v>
      </c>
      <c r="D206" t="n">
        <v>2</v>
      </c>
      <c r="E206" t="inlineStr">
        <is>
          <t>Calculation</t>
        </is>
      </c>
      <c r="F206" t="inlineStr">
        <is>
          <t>'=SUM(B19:B23)</t>
        </is>
      </c>
      <c r="G206" t="n">
        <v>10269.05</v>
      </c>
      <c r="H206" t="inlineStr"/>
      <c r="I206" t="inlineStr">
        <is>
          <t>#,##0</t>
        </is>
      </c>
      <c r="J206" t="b">
        <v>1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G000023</t>
        </is>
      </c>
      <c r="T206" t="inlineStr">
        <is>
          <t>Horizontal</t>
        </is>
      </c>
      <c r="U206" t="n">
        <v>8</v>
      </c>
      <c r="V206" t="b">
        <v>1</v>
      </c>
      <c r="W206" t="inlineStr">
        <is>
          <t>Revenue Model!B24:I24</t>
        </is>
      </c>
      <c r="X206">
        <f>SUM(R[-5]C[0]:R[-1]C[0])</f>
        <v/>
      </c>
    </row>
    <row r="207">
      <c r="A207" t="inlineStr">
        <is>
          <t>Revenue Model</t>
        </is>
      </c>
      <c r="B207" t="inlineStr">
        <is>
          <t>C24</t>
        </is>
      </c>
      <c r="C207" t="n">
        <v>24</v>
      </c>
      <c r="D207" t="n">
        <v>3</v>
      </c>
      <c r="E207" t="inlineStr">
        <is>
          <t>Calculation</t>
        </is>
      </c>
      <c r="F207" t="inlineStr">
        <is>
          <t>'=SUM(C19:C23)</t>
        </is>
      </c>
      <c r="G207" t="n">
        <v>9517.190000000001</v>
      </c>
      <c r="H207" t="inlineStr"/>
      <c r="I207" t="inlineStr">
        <is>
          <t>#,##0</t>
        </is>
      </c>
      <c r="J207" t="b">
        <v>1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G000023</t>
        </is>
      </c>
      <c r="T207" t="inlineStr">
        <is>
          <t>Horizontal</t>
        </is>
      </c>
      <c r="U207" t="n">
        <v>8</v>
      </c>
      <c r="V207" t="b">
        <v>1</v>
      </c>
      <c r="W207" t="inlineStr">
        <is>
          <t>Revenue Model!B24:I24</t>
        </is>
      </c>
      <c r="X207">
        <f>SUM(R[-5]C[0]:R[-1]C[0])</f>
        <v/>
      </c>
    </row>
    <row r="208">
      <c r="A208" t="inlineStr">
        <is>
          <t>Revenue Model</t>
        </is>
      </c>
      <c r="B208" t="inlineStr">
        <is>
          <t>D24</t>
        </is>
      </c>
      <c r="C208" t="n">
        <v>24</v>
      </c>
      <c r="D208" t="n">
        <v>4</v>
      </c>
      <c r="E208" t="inlineStr">
        <is>
          <t>Calculation</t>
        </is>
      </c>
      <c r="F208" t="inlineStr">
        <is>
          <t>'=SUM(D19:D23)</t>
        </is>
      </c>
      <c r="G208" t="n">
        <v>11378.83</v>
      </c>
      <c r="H208" t="inlineStr"/>
      <c r="I208" t="inlineStr">
        <is>
          <t>#,##0</t>
        </is>
      </c>
      <c r="J208" t="b">
        <v>1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G000023</t>
        </is>
      </c>
      <c r="T208" t="inlineStr">
        <is>
          <t>Horizontal</t>
        </is>
      </c>
      <c r="U208" t="n">
        <v>8</v>
      </c>
      <c r="V208" t="b">
        <v>1</v>
      </c>
      <c r="W208" t="inlineStr">
        <is>
          <t>Revenue Model!B24:I24</t>
        </is>
      </c>
      <c r="X208">
        <f>SUM(R[-5]C[0]:R[-1]C[0])</f>
        <v/>
      </c>
    </row>
    <row r="209">
      <c r="A209" t="inlineStr">
        <is>
          <t>Revenue Model</t>
        </is>
      </c>
      <c r="B209" t="inlineStr">
        <is>
          <t>E24</t>
        </is>
      </c>
      <c r="C209" t="n">
        <v>24</v>
      </c>
      <c r="D209" t="n">
        <v>5</v>
      </c>
      <c r="E209" t="inlineStr">
        <is>
          <t>Calculation</t>
        </is>
      </c>
      <c r="F209" t="inlineStr">
        <is>
          <t>'=SUM(E19:E23)</t>
        </is>
      </c>
      <c r="G209" t="n">
        <v>12466.85906563291</v>
      </c>
      <c r="H209" t="inlineStr"/>
      <c r="I209" t="inlineStr">
        <is>
          <t>#,##0</t>
        </is>
      </c>
      <c r="J209" t="b">
        <v>1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G000023</t>
        </is>
      </c>
      <c r="T209" t="inlineStr">
        <is>
          <t>Horizontal</t>
        </is>
      </c>
      <c r="U209" t="n">
        <v>8</v>
      </c>
      <c r="V209" t="b">
        <v>1</v>
      </c>
      <c r="W209" t="inlineStr">
        <is>
          <t>Revenue Model!B24:I24</t>
        </is>
      </c>
      <c r="X209">
        <f>SUM(R[-5]C[0]:R[-1]C[0])</f>
        <v/>
      </c>
    </row>
    <row r="210">
      <c r="A210" t="inlineStr">
        <is>
          <t>Revenue Model</t>
        </is>
      </c>
      <c r="B210" t="inlineStr">
        <is>
          <t>F24</t>
        </is>
      </c>
      <c r="C210" t="n">
        <v>24</v>
      </c>
      <c r="D210" t="n">
        <v>6</v>
      </c>
      <c r="E210" t="inlineStr">
        <is>
          <t>Calculation</t>
        </is>
      </c>
      <c r="F210" t="inlineStr">
        <is>
          <t>'=SUM(F19:F23)</t>
        </is>
      </c>
      <c r="G210" t="n">
        <v>13491.10316027848</v>
      </c>
      <c r="H210" t="inlineStr"/>
      <c r="I210" t="inlineStr">
        <is>
          <t>#,##0</t>
        </is>
      </c>
      <c r="J210" t="b">
        <v>1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G000023</t>
        </is>
      </c>
      <c r="T210" t="inlineStr">
        <is>
          <t>Horizontal</t>
        </is>
      </c>
      <c r="U210" t="n">
        <v>8</v>
      </c>
      <c r="V210" t="b">
        <v>1</v>
      </c>
      <c r="W210" t="inlineStr">
        <is>
          <t>Revenue Model!B24:I24</t>
        </is>
      </c>
      <c r="X210">
        <f>SUM(R[-5]C[0]:R[-1]C[0])</f>
        <v/>
      </c>
    </row>
    <row r="211">
      <c r="A211" t="inlineStr">
        <is>
          <t>Revenue Model</t>
        </is>
      </c>
      <c r="B211" t="inlineStr">
        <is>
          <t>G24</t>
        </is>
      </c>
      <c r="C211" t="n">
        <v>24</v>
      </c>
      <c r="D211" t="n">
        <v>7</v>
      </c>
      <c r="E211" t="inlineStr">
        <is>
          <t>Calculation</t>
        </is>
      </c>
      <c r="F211" t="inlineStr">
        <is>
          <t>'=SUM(G19:G23)</t>
        </is>
      </c>
      <c r="G211" t="n">
        <v>14590.53562952136</v>
      </c>
      <c r="H211" t="inlineStr"/>
      <c r="I211" t="inlineStr">
        <is>
          <t>#,##0</t>
        </is>
      </c>
      <c r="J211" t="b">
        <v>1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G000023</t>
        </is>
      </c>
      <c r="T211" t="inlineStr">
        <is>
          <t>Horizontal</t>
        </is>
      </c>
      <c r="U211" t="n">
        <v>8</v>
      </c>
      <c r="V211" t="b">
        <v>1</v>
      </c>
      <c r="W211" t="inlineStr">
        <is>
          <t>Revenue Model!B24:I24</t>
        </is>
      </c>
      <c r="X211">
        <f>SUM(R[-5]C[0]:R[-1]C[0])</f>
        <v/>
      </c>
    </row>
    <row r="212">
      <c r="A212" t="inlineStr">
        <is>
          <t>Revenue Model</t>
        </is>
      </c>
      <c r="B212" t="inlineStr">
        <is>
          <t>H24</t>
        </is>
      </c>
      <c r="C212" t="n">
        <v>24</v>
      </c>
      <c r="D212" t="n">
        <v>8</v>
      </c>
      <c r="E212" t="inlineStr">
        <is>
          <t>Calculation</t>
        </is>
      </c>
      <c r="F212" t="inlineStr">
        <is>
          <t>'=SUM(H19:H23)</t>
        </is>
      </c>
      <c r="G212" t="n">
        <v>15770.31125622451</v>
      </c>
      <c r="H212" t="inlineStr"/>
      <c r="I212" t="inlineStr">
        <is>
          <t>#,##0</t>
        </is>
      </c>
      <c r="J212" t="b">
        <v>1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G000023</t>
        </is>
      </c>
      <c r="T212" t="inlineStr">
        <is>
          <t>Horizontal</t>
        </is>
      </c>
      <c r="U212" t="n">
        <v>8</v>
      </c>
      <c r="V212" t="b">
        <v>1</v>
      </c>
      <c r="W212" t="inlineStr">
        <is>
          <t>Revenue Model!B24:I24</t>
        </is>
      </c>
      <c r="X212">
        <f>SUM(R[-5]C[0]:R[-1]C[0])</f>
        <v/>
      </c>
    </row>
    <row r="213">
      <c r="A213" t="inlineStr">
        <is>
          <t>Revenue Model</t>
        </is>
      </c>
      <c r="B213" t="inlineStr">
        <is>
          <t>I24</t>
        </is>
      </c>
      <c r="C213" t="n">
        <v>24</v>
      </c>
      <c r="D213" t="n">
        <v>9</v>
      </c>
      <c r="E213" t="inlineStr">
        <is>
          <t>Calculation</t>
        </is>
      </c>
      <c r="F213" t="inlineStr">
        <is>
          <t>'=SUM(I19:I23)</t>
        </is>
      </c>
      <c r="G213" t="n">
        <v>17035.92215838269</v>
      </c>
      <c r="H213" t="inlineStr"/>
      <c r="I213" t="inlineStr">
        <is>
          <t>#,##0</t>
        </is>
      </c>
      <c r="J213" t="b">
        <v>1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G000023</t>
        </is>
      </c>
      <c r="T213" t="inlineStr">
        <is>
          <t>Horizontal</t>
        </is>
      </c>
      <c r="U213" t="n">
        <v>8</v>
      </c>
      <c r="V213" t="b">
        <v>1</v>
      </c>
      <c r="W213" t="inlineStr">
        <is>
          <t>Revenue Model!B24:I24</t>
        </is>
      </c>
      <c r="X213">
        <f>SUM(R[-5]C[0]:R[-1]C[0])</f>
        <v/>
      </c>
    </row>
    <row r="214">
      <c r="A214" t="inlineStr">
        <is>
          <t>Revenue Model</t>
        </is>
      </c>
      <c r="B214" t="inlineStr">
        <is>
          <t>M24</t>
        </is>
      </c>
      <c r="C214" t="n">
        <v>24</v>
      </c>
      <c r="D214" t="n">
        <v>13</v>
      </c>
      <c r="E214" t="inlineStr">
        <is>
          <t>Input</t>
        </is>
      </c>
      <c r="F214" t="n">
        <v/>
      </c>
      <c r="H214" t="inlineStr"/>
      <c r="I214" t="inlineStr">
        <is>
          <t>0%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0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Revenue Model</t>
        </is>
      </c>
      <c r="B215" t="inlineStr">
        <is>
          <t>B25</t>
        </is>
      </c>
      <c r="C215" t="n">
        <v>25</v>
      </c>
      <c r="D215" t="n">
        <v>2</v>
      </c>
      <c r="E215" t="inlineStr">
        <is>
          <t>Input</t>
        </is>
      </c>
      <c r="F215" t="n">
        <v/>
      </c>
      <c r="H215" t="inlineStr"/>
      <c r="I215" t="inlineStr">
        <is>
          <t>0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0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Revenue Model</t>
        </is>
      </c>
      <c r="B216" t="inlineStr">
        <is>
          <t>C25</t>
        </is>
      </c>
      <c r="C216" t="n">
        <v>25</v>
      </c>
      <c r="D216" t="n">
        <v>3</v>
      </c>
      <c r="E216" t="inlineStr">
        <is>
          <t>Input</t>
        </is>
      </c>
      <c r="F216" t="n">
        <v/>
      </c>
      <c r="H216" t="inlineStr"/>
      <c r="I216" t="inlineStr">
        <is>
          <t>#,##0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0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Revenue Model</t>
        </is>
      </c>
      <c r="B217" t="inlineStr">
        <is>
          <t>D25</t>
        </is>
      </c>
      <c r="C217" t="n">
        <v>25</v>
      </c>
      <c r="D217" t="n">
        <v>4</v>
      </c>
      <c r="E217" t="inlineStr">
        <is>
          <t>Input</t>
        </is>
      </c>
      <c r="F217" t="n">
        <v/>
      </c>
      <c r="H217" t="inlineStr"/>
      <c r="I217" t="inlineStr">
        <is>
          <t>#,##0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0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Revenue Model</t>
        </is>
      </c>
      <c r="B218" t="inlineStr">
        <is>
          <t>M25</t>
        </is>
      </c>
      <c r="C218" t="n">
        <v>25</v>
      </c>
      <c r="D218" t="n">
        <v>13</v>
      </c>
      <c r="E218" t="inlineStr">
        <is>
          <t>Input</t>
        </is>
      </c>
      <c r="F218" t="n">
        <v/>
      </c>
      <c r="H218" t="inlineStr"/>
      <c r="I218" t="inlineStr">
        <is>
          <t>0%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0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Revenue Model</t>
        </is>
      </c>
      <c r="B219" t="inlineStr">
        <is>
          <t>A26</t>
        </is>
      </c>
      <c r="C219" t="n">
        <v>26</v>
      </c>
      <c r="D219" t="n">
        <v>1</v>
      </c>
      <c r="E219" t="inlineStr">
        <is>
          <t>Input</t>
        </is>
      </c>
      <c r="F219" t="n">
        <v/>
      </c>
      <c r="G219" t="inlineStr">
        <is>
          <t>EBITDA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P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Revenue Model</t>
        </is>
      </c>
      <c r="B220" t="inlineStr">
        <is>
          <t>B26</t>
        </is>
      </c>
      <c r="C220" t="n">
        <v>26</v>
      </c>
      <c r="D220" t="n">
        <v>2</v>
      </c>
      <c r="E220" t="inlineStr">
        <is>
          <t>Calculation</t>
        </is>
      </c>
      <c r="F220" t="inlineStr">
        <is>
          <t>'=B2-B24</t>
        </is>
      </c>
      <c r="G220" t="n">
        <v>1647.950000000001</v>
      </c>
      <c r="H220" t="inlineStr"/>
      <c r="I220" t="inlineStr">
        <is>
          <t>#,##0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1</v>
      </c>
      <c r="S220" t="inlineStr">
        <is>
          <t>G000024</t>
        </is>
      </c>
      <c r="T220" t="inlineStr">
        <is>
          <t>Horizontal</t>
        </is>
      </c>
      <c r="U220" t="n">
        <v>8</v>
      </c>
      <c r="V220" t="b">
        <v>1</v>
      </c>
      <c r="W220" t="inlineStr">
        <is>
          <t>Revenue Model!B26:I26</t>
        </is>
      </c>
      <c r="X220">
        <f>R[-24]C[0]-R[-2]C[0]</f>
        <v/>
      </c>
    </row>
    <row r="221">
      <c r="A221" t="inlineStr">
        <is>
          <t>Revenue Model</t>
        </is>
      </c>
      <c r="B221" t="inlineStr">
        <is>
          <t>C26</t>
        </is>
      </c>
      <c r="C221" t="n">
        <v>26</v>
      </c>
      <c r="D221" t="n">
        <v>3</v>
      </c>
      <c r="E221" t="inlineStr">
        <is>
          <t>Calculation</t>
        </is>
      </c>
      <c r="F221" t="inlineStr">
        <is>
          <t>'=C2-C24</t>
        </is>
      </c>
      <c r="G221" t="n">
        <v>1595.01</v>
      </c>
      <c r="H221" t="inlineStr"/>
      <c r="I221" t="inlineStr">
        <is>
          <t>#,##0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1</v>
      </c>
      <c r="S221" t="inlineStr">
        <is>
          <t>G000024</t>
        </is>
      </c>
      <c r="T221" t="inlineStr">
        <is>
          <t>Horizontal</t>
        </is>
      </c>
      <c r="U221" t="n">
        <v>8</v>
      </c>
      <c r="V221" t="b">
        <v>1</v>
      </c>
      <c r="W221" t="inlineStr">
        <is>
          <t>Revenue Model!B26:I26</t>
        </is>
      </c>
      <c r="X221">
        <f>R[-24]C[0]-R[-2]C[0]</f>
        <v/>
      </c>
    </row>
    <row r="222">
      <c r="A222" t="inlineStr">
        <is>
          <t>Revenue Model</t>
        </is>
      </c>
      <c r="B222" t="inlineStr">
        <is>
          <t>D26</t>
        </is>
      </c>
      <c r="C222" t="n">
        <v>26</v>
      </c>
      <c r="D222" t="n">
        <v>4</v>
      </c>
      <c r="E222" t="inlineStr">
        <is>
          <t>Calculation</t>
        </is>
      </c>
      <c r="F222" t="inlineStr">
        <is>
          <t>'=D2-D24</t>
        </is>
      </c>
      <c r="G222" t="n">
        <v>2034.749999999998</v>
      </c>
      <c r="H222" t="inlineStr"/>
      <c r="I222" t="inlineStr">
        <is>
          <t>#,##0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P222" t="n">
        <v/>
      </c>
      <c r="R222" t="b">
        <v>1</v>
      </c>
      <c r="S222" t="inlineStr">
        <is>
          <t>G000024</t>
        </is>
      </c>
      <c r="T222" t="inlineStr">
        <is>
          <t>Horizontal</t>
        </is>
      </c>
      <c r="U222" t="n">
        <v>8</v>
      </c>
      <c r="V222" t="b">
        <v>1</v>
      </c>
      <c r="W222" t="inlineStr">
        <is>
          <t>Revenue Model!B26:I26</t>
        </is>
      </c>
      <c r="X222">
        <f>R[-24]C[0]-R[-2]C[0]</f>
        <v/>
      </c>
    </row>
    <row r="223">
      <c r="A223" t="inlineStr">
        <is>
          <t>Revenue Model</t>
        </is>
      </c>
      <c r="B223" t="inlineStr">
        <is>
          <t>E26</t>
        </is>
      </c>
      <c r="C223" t="n">
        <v>26</v>
      </c>
      <c r="D223" t="n">
        <v>5</v>
      </c>
      <c r="E223" t="inlineStr">
        <is>
          <t>Calculation</t>
        </is>
      </c>
      <c r="F223" t="inlineStr">
        <is>
          <t>'=E2-E24</t>
        </is>
      </c>
      <c r="G223" t="n">
        <v>1973.96345335443</v>
      </c>
      <c r="H223" t="inlineStr"/>
      <c r="I223" t="inlineStr">
        <is>
          <t>#,##0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inlineStr">
        <is>
          <t>G000024</t>
        </is>
      </c>
      <c r="T223" t="inlineStr">
        <is>
          <t>Horizontal</t>
        </is>
      </c>
      <c r="U223" t="n">
        <v>8</v>
      </c>
      <c r="V223" t="b">
        <v>1</v>
      </c>
      <c r="W223" t="inlineStr">
        <is>
          <t>Revenue Model!B26:I26</t>
        </is>
      </c>
      <c r="X223">
        <f>R[-24]C[0]-R[-2]C[0]</f>
        <v/>
      </c>
    </row>
    <row r="224">
      <c r="A224" t="inlineStr">
        <is>
          <t>Revenue Model</t>
        </is>
      </c>
      <c r="B224" t="inlineStr">
        <is>
          <t>F26</t>
        </is>
      </c>
      <c r="C224" t="n">
        <v>26</v>
      </c>
      <c r="D224" t="n">
        <v>6</v>
      </c>
      <c r="E224" t="inlineStr">
        <is>
          <t>Calculation</t>
        </is>
      </c>
      <c r="F224" t="inlineStr">
        <is>
          <t>'=F2-F24</t>
        </is>
      </c>
      <c r="G224" t="n">
        <v>2046.152179594937</v>
      </c>
      <c r="H224" t="inlineStr"/>
      <c r="I224" t="inlineStr">
        <is>
          <t>#,##0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inlineStr">
        <is>
          <t>G000024</t>
        </is>
      </c>
      <c r="T224" t="inlineStr">
        <is>
          <t>Horizontal</t>
        </is>
      </c>
      <c r="U224" t="n">
        <v>8</v>
      </c>
      <c r="V224" t="b">
        <v>1</v>
      </c>
      <c r="W224" t="inlineStr">
        <is>
          <t>Revenue Model!B26:I26</t>
        </is>
      </c>
      <c r="X224">
        <f>R[-24]C[0]-R[-2]C[0]</f>
        <v/>
      </c>
    </row>
    <row r="225">
      <c r="A225" t="inlineStr">
        <is>
          <t>Revenue Model</t>
        </is>
      </c>
      <c r="B225" t="inlineStr">
        <is>
          <t>G26</t>
        </is>
      </c>
      <c r="C225" t="n">
        <v>26</v>
      </c>
      <c r="D225" t="n">
        <v>7</v>
      </c>
      <c r="E225" t="inlineStr">
        <is>
          <t>Calculation</t>
        </is>
      </c>
      <c r="F225" t="inlineStr">
        <is>
          <t>'=G2-G24</t>
        </is>
      </c>
      <c r="G225" t="n">
        <v>2116.693757029272</v>
      </c>
      <c r="H225" t="inlineStr"/>
      <c r="I225" t="inlineStr">
        <is>
          <t>#,##0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G000024</t>
        </is>
      </c>
      <c r="T225" t="inlineStr">
        <is>
          <t>Horizontal</t>
        </is>
      </c>
      <c r="U225" t="n">
        <v>8</v>
      </c>
      <c r="V225" t="b">
        <v>1</v>
      </c>
      <c r="W225" t="inlineStr">
        <is>
          <t>Revenue Model!B26:I26</t>
        </is>
      </c>
      <c r="X225">
        <f>R[-24]C[0]-R[-2]C[0]</f>
        <v/>
      </c>
    </row>
    <row r="226">
      <c r="A226" t="inlineStr">
        <is>
          <t>Revenue Model</t>
        </is>
      </c>
      <c r="B226" t="inlineStr">
        <is>
          <t>H26</t>
        </is>
      </c>
      <c r="C226" t="n">
        <v>26</v>
      </c>
      <c r="D226" t="n">
        <v>8</v>
      </c>
      <c r="E226" t="inlineStr">
        <is>
          <t>Calculation</t>
        </is>
      </c>
      <c r="F226" t="inlineStr">
        <is>
          <t>'=H2-H24</t>
        </is>
      </c>
      <c r="G226" t="n">
        <v>2185.046443321378</v>
      </c>
      <c r="H226" t="inlineStr"/>
      <c r="I226" t="inlineStr">
        <is>
          <t>#,##0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G000024</t>
        </is>
      </c>
      <c r="T226" t="inlineStr">
        <is>
          <t>Horizontal</t>
        </is>
      </c>
      <c r="U226" t="n">
        <v>8</v>
      </c>
      <c r="V226" t="b">
        <v>1</v>
      </c>
      <c r="W226" t="inlineStr">
        <is>
          <t>Revenue Model!B26:I26</t>
        </is>
      </c>
      <c r="X226">
        <f>R[-24]C[0]-R[-2]C[0]</f>
        <v/>
      </c>
    </row>
    <row r="227">
      <c r="A227" t="inlineStr">
        <is>
          <t>Revenue Model</t>
        </is>
      </c>
      <c r="B227" t="inlineStr">
        <is>
          <t>I26</t>
        </is>
      </c>
      <c r="C227" t="n">
        <v>26</v>
      </c>
      <c r="D227" t="n">
        <v>9</v>
      </c>
      <c r="E227" t="inlineStr">
        <is>
          <t>Calculation</t>
        </is>
      </c>
      <c r="F227" t="inlineStr">
        <is>
          <t>'=I2-I24</t>
        </is>
      </c>
      <c r="G227" t="n">
        <v>2250.608611991611</v>
      </c>
      <c r="H227" t="inlineStr"/>
      <c r="I227" t="inlineStr">
        <is>
          <t>#,##0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G000024</t>
        </is>
      </c>
      <c r="T227" t="inlineStr">
        <is>
          <t>Horizontal</t>
        </is>
      </c>
      <c r="U227" t="n">
        <v>8</v>
      </c>
      <c r="V227" t="b">
        <v>1</v>
      </c>
      <c r="W227" t="inlineStr">
        <is>
          <t>Revenue Model!B26:I26</t>
        </is>
      </c>
      <c r="X227">
        <f>R[-24]C[0]-R[-2]C[0]</f>
        <v/>
      </c>
    </row>
    <row r="228">
      <c r="A228" t="inlineStr">
        <is>
          <t>Revenue Model</t>
        </is>
      </c>
      <c r="B228" t="inlineStr">
        <is>
          <t>M26</t>
        </is>
      </c>
      <c r="C228" t="n">
        <v>26</v>
      </c>
      <c r="D228" t="n">
        <v>13</v>
      </c>
      <c r="E228" t="inlineStr">
        <is>
          <t>Input</t>
        </is>
      </c>
      <c r="F228" t="n">
        <v/>
      </c>
      <c r="H228" t="inlineStr"/>
      <c r="I228" t="inlineStr">
        <is>
          <t>0%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0</v>
      </c>
      <c r="S228" t="n">
        <v/>
      </c>
      <c r="T228" t="n">
        <v/>
      </c>
      <c r="U228" t="n">
        <v/>
      </c>
      <c r="V228" t="b">
        <v>0</v>
      </c>
      <c r="W228" t="inlineStr"/>
      <c r="X228" t="n">
        <v/>
      </c>
    </row>
    <row r="229">
      <c r="A229" t="inlineStr">
        <is>
          <t>Revenue Model</t>
        </is>
      </c>
      <c r="B229" t="inlineStr">
        <is>
          <t>A27</t>
        </is>
      </c>
      <c r="C229" t="n">
        <v>27</v>
      </c>
      <c r="D229" t="n">
        <v>1</v>
      </c>
      <c r="E229" t="inlineStr">
        <is>
          <t>Input</t>
        </is>
      </c>
      <c r="F229" t="n">
        <v/>
      </c>
      <c r="G229" t="inlineStr">
        <is>
          <t>Margin</t>
        </is>
      </c>
      <c r="H229" t="inlineStr"/>
      <c r="I229" t="inlineStr">
        <is>
          <t>General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n">
        <v/>
      </c>
      <c r="T229" t="n">
        <v/>
      </c>
      <c r="U229" t="n">
        <v/>
      </c>
      <c r="V229" t="b">
        <v>0</v>
      </c>
      <c r="W229" t="inlineStr"/>
      <c r="X229" t="n">
        <v/>
      </c>
    </row>
    <row r="230">
      <c r="A230" t="inlineStr">
        <is>
          <t>Revenue Model</t>
        </is>
      </c>
      <c r="B230" t="inlineStr">
        <is>
          <t>B27</t>
        </is>
      </c>
      <c r="C230" t="n">
        <v>27</v>
      </c>
      <c r="D230" t="n">
        <v>2</v>
      </c>
      <c r="E230" t="inlineStr">
        <is>
          <t>Output</t>
        </is>
      </c>
      <c r="F230" t="inlineStr">
        <is>
          <t>'=B26/B2</t>
        </is>
      </c>
      <c r="G230" t="n">
        <v>0.1382856423596543</v>
      </c>
      <c r="H230" t="inlineStr"/>
      <c r="I230" t="inlineStr">
        <is>
          <t>0%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inlineStr">
        <is>
          <t>G000025</t>
        </is>
      </c>
      <c r="T230" t="inlineStr">
        <is>
          <t>Horizontal</t>
        </is>
      </c>
      <c r="U230" t="n">
        <v>8</v>
      </c>
      <c r="V230" t="b">
        <v>1</v>
      </c>
      <c r="W230" t="inlineStr">
        <is>
          <t>Revenue Model!B27:I27</t>
        </is>
      </c>
      <c r="X230">
        <f>R[-1]C[0]/R[-25]C[0]</f>
        <v/>
      </c>
    </row>
    <row r="231">
      <c r="A231" t="inlineStr">
        <is>
          <t>Revenue Model</t>
        </is>
      </c>
      <c r="B231" t="inlineStr">
        <is>
          <t>C27</t>
        </is>
      </c>
      <c r="C231" t="n">
        <v>27</v>
      </c>
      <c r="D231" t="n">
        <v>3</v>
      </c>
      <c r="E231" t="inlineStr">
        <is>
          <t>Output</t>
        </is>
      </c>
      <c r="F231" t="inlineStr">
        <is>
          <t>'=C26/C2</t>
        </is>
      </c>
      <c r="G231" t="n">
        <v>0.1435368333903277</v>
      </c>
      <c r="H231" t="inlineStr"/>
      <c r="I231" t="inlineStr">
        <is>
          <t>0%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inlineStr">
        <is>
          <t>G000025</t>
        </is>
      </c>
      <c r="T231" t="inlineStr">
        <is>
          <t>Horizontal</t>
        </is>
      </c>
      <c r="U231" t="n">
        <v>8</v>
      </c>
      <c r="V231" t="b">
        <v>1</v>
      </c>
      <c r="W231" t="inlineStr">
        <is>
          <t>Revenue Model!B27:I27</t>
        </is>
      </c>
      <c r="X231">
        <f>R[-1]C[0]/R[-25]C[0]</f>
        <v/>
      </c>
    </row>
    <row r="232">
      <c r="A232" t="inlineStr">
        <is>
          <t>Revenue Model</t>
        </is>
      </c>
      <c r="B232" t="inlineStr">
        <is>
          <t>D27</t>
        </is>
      </c>
      <c r="C232" t="n">
        <v>27</v>
      </c>
      <c r="D232" t="n">
        <v>4</v>
      </c>
      <c r="E232" t="inlineStr">
        <is>
          <t>Output</t>
        </is>
      </c>
      <c r="F232" t="inlineStr">
        <is>
          <t>'=D26/D2</t>
        </is>
      </c>
      <c r="G232" t="n">
        <v>0.1516932839704239</v>
      </c>
      <c r="H232" t="inlineStr"/>
      <c r="I232" t="inlineStr">
        <is>
          <t>0%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inlineStr">
        <is>
          <t>G000025</t>
        </is>
      </c>
      <c r="T232" t="inlineStr">
        <is>
          <t>Horizontal</t>
        </is>
      </c>
      <c r="U232" t="n">
        <v>8</v>
      </c>
      <c r="V232" t="b">
        <v>1</v>
      </c>
      <c r="W232" t="inlineStr">
        <is>
          <t>Revenue Model!B27:I27</t>
        </is>
      </c>
      <c r="X232">
        <f>R[-1]C[0]/R[-25]C[0]</f>
        <v/>
      </c>
    </row>
    <row r="233">
      <c r="A233" t="inlineStr">
        <is>
          <t>Revenue Model</t>
        </is>
      </c>
      <c r="B233" t="inlineStr">
        <is>
          <t>E27</t>
        </is>
      </c>
      <c r="C233" t="n">
        <v>27</v>
      </c>
      <c r="D233" t="n">
        <v>5</v>
      </c>
      <c r="E233" t="inlineStr">
        <is>
          <t>Output</t>
        </is>
      </c>
      <c r="F233" t="inlineStr">
        <is>
          <t>'=E26/E2</t>
        </is>
      </c>
      <c r="G233" t="n">
        <v>0.136693283970424</v>
      </c>
      <c r="H233" t="inlineStr"/>
      <c r="I233" t="inlineStr">
        <is>
          <t>0%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1</v>
      </c>
      <c r="S233" t="inlineStr">
        <is>
          <t>G000025</t>
        </is>
      </c>
      <c r="T233" t="inlineStr">
        <is>
          <t>Horizontal</t>
        </is>
      </c>
      <c r="U233" t="n">
        <v>8</v>
      </c>
      <c r="V233" t="b">
        <v>1</v>
      </c>
      <c r="W233" t="inlineStr">
        <is>
          <t>Revenue Model!B27:I27</t>
        </is>
      </c>
      <c r="X233">
        <f>R[-1]C[0]/R[-25]C[0]</f>
        <v/>
      </c>
    </row>
    <row r="234">
      <c r="A234" t="inlineStr">
        <is>
          <t>Revenue Model</t>
        </is>
      </c>
      <c r="B234" t="inlineStr">
        <is>
          <t>F27</t>
        </is>
      </c>
      <c r="C234" t="n">
        <v>27</v>
      </c>
      <c r="D234" t="n">
        <v>6</v>
      </c>
      <c r="E234" t="inlineStr">
        <is>
          <t>Output</t>
        </is>
      </c>
      <c r="F234" t="inlineStr">
        <is>
          <t>'=F26/F2</t>
        </is>
      </c>
      <c r="G234" t="n">
        <v>0.131693283970424</v>
      </c>
      <c r="H234" t="inlineStr"/>
      <c r="I234" t="inlineStr">
        <is>
          <t>0%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inlineStr">
        <is>
          <t>G000025</t>
        </is>
      </c>
      <c r="T234" t="inlineStr">
        <is>
          <t>Horizontal</t>
        </is>
      </c>
      <c r="U234" t="n">
        <v>8</v>
      </c>
      <c r="V234" t="b">
        <v>1</v>
      </c>
      <c r="W234" t="inlineStr">
        <is>
          <t>Revenue Model!B27:I27</t>
        </is>
      </c>
      <c r="X234">
        <f>R[-1]C[0]/R[-25]C[0]</f>
        <v/>
      </c>
    </row>
    <row r="235">
      <c r="A235" t="inlineStr">
        <is>
          <t>Revenue Model</t>
        </is>
      </c>
      <c r="B235" t="inlineStr">
        <is>
          <t>G27</t>
        </is>
      </c>
      <c r="C235" t="n">
        <v>27</v>
      </c>
      <c r="D235" t="n">
        <v>7</v>
      </c>
      <c r="E235" t="inlineStr">
        <is>
          <t>Output</t>
        </is>
      </c>
      <c r="F235" t="inlineStr">
        <is>
          <t>'=G26/G2</t>
        </is>
      </c>
      <c r="G235" t="n">
        <v>0.126693283970424</v>
      </c>
      <c r="H235" t="inlineStr"/>
      <c r="I235" t="inlineStr">
        <is>
          <t>0%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G000025</t>
        </is>
      </c>
      <c r="T235" t="inlineStr">
        <is>
          <t>Horizontal</t>
        </is>
      </c>
      <c r="U235" t="n">
        <v>8</v>
      </c>
      <c r="V235" t="b">
        <v>1</v>
      </c>
      <c r="W235" t="inlineStr">
        <is>
          <t>Revenue Model!B27:I27</t>
        </is>
      </c>
      <c r="X235">
        <f>R[-1]C[0]/R[-25]C[0]</f>
        <v/>
      </c>
    </row>
    <row r="236">
      <c r="A236" t="inlineStr">
        <is>
          <t>Revenue Model</t>
        </is>
      </c>
      <c r="B236" t="inlineStr">
        <is>
          <t>H27</t>
        </is>
      </c>
      <c r="C236" t="n">
        <v>27</v>
      </c>
      <c r="D236" t="n">
        <v>8</v>
      </c>
      <c r="E236" t="inlineStr">
        <is>
          <t>Output</t>
        </is>
      </c>
      <c r="F236" t="inlineStr">
        <is>
          <t>'=H26/H2</t>
        </is>
      </c>
      <c r="G236" t="n">
        <v>0.1216932839704241</v>
      </c>
      <c r="H236" t="inlineStr"/>
      <c r="I236" t="inlineStr">
        <is>
          <t>0%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G000025</t>
        </is>
      </c>
      <c r="T236" t="inlineStr">
        <is>
          <t>Horizontal</t>
        </is>
      </c>
      <c r="U236" t="n">
        <v>8</v>
      </c>
      <c r="V236" t="b">
        <v>1</v>
      </c>
      <c r="W236" t="inlineStr">
        <is>
          <t>Revenue Model!B27:I27</t>
        </is>
      </c>
      <c r="X236">
        <f>R[-1]C[0]/R[-25]C[0]</f>
        <v/>
      </c>
    </row>
    <row r="237">
      <c r="A237" t="inlineStr">
        <is>
          <t>Revenue Model</t>
        </is>
      </c>
      <c r="B237" t="inlineStr">
        <is>
          <t>I27</t>
        </is>
      </c>
      <c r="C237" t="n">
        <v>27</v>
      </c>
      <c r="D237" t="n">
        <v>9</v>
      </c>
      <c r="E237" t="inlineStr">
        <is>
          <t>Output</t>
        </is>
      </c>
      <c r="F237" t="inlineStr">
        <is>
          <t>'=I26/I2</t>
        </is>
      </c>
      <c r="G237" t="n">
        <v>0.1166932839704241</v>
      </c>
      <c r="H237" t="inlineStr"/>
      <c r="I237" t="inlineStr">
        <is>
          <t>0%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inlineStr">
        <is>
          <t>G000025</t>
        </is>
      </c>
      <c r="T237" t="inlineStr">
        <is>
          <t>Horizontal</t>
        </is>
      </c>
      <c r="U237" t="n">
        <v>8</v>
      </c>
      <c r="V237" t="b">
        <v>1</v>
      </c>
      <c r="W237" t="inlineStr">
        <is>
          <t>Revenue Model!B27:I27</t>
        </is>
      </c>
      <c r="X237">
        <f>R[-1]C[0]/R[-25]C[0]</f>
        <v/>
      </c>
    </row>
    <row r="238">
      <c r="A238" t="inlineStr">
        <is>
          <t>Revenue Model</t>
        </is>
      </c>
      <c r="B238" t="inlineStr">
        <is>
          <t>M27</t>
        </is>
      </c>
      <c r="C238" t="n">
        <v>27</v>
      </c>
      <c r="D238" t="n">
        <v>13</v>
      </c>
      <c r="E238" t="inlineStr">
        <is>
          <t>Input</t>
        </is>
      </c>
      <c r="F238" t="n">
        <v/>
      </c>
      <c r="H238" t="inlineStr"/>
      <c r="I238" t="inlineStr">
        <is>
          <t>0%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0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Revenue Model</t>
        </is>
      </c>
      <c r="B239" t="inlineStr">
        <is>
          <t>L28</t>
        </is>
      </c>
      <c r="C239" t="n">
        <v>28</v>
      </c>
      <c r="D239" t="n">
        <v>12</v>
      </c>
      <c r="E239" t="inlineStr">
        <is>
          <t>Input</t>
        </is>
      </c>
      <c r="F239" t="n">
        <v/>
      </c>
      <c r="H239" t="inlineStr"/>
      <c r="I239" t="inlineStr">
        <is>
          <t>General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0</v>
      </c>
      <c r="S239" t="n">
        <v/>
      </c>
      <c r="T239" t="n">
        <v/>
      </c>
      <c r="U239" t="n">
        <v/>
      </c>
      <c r="V239" t="b">
        <v>0</v>
      </c>
      <c r="W239" t="inlineStr"/>
      <c r="X239" t="n">
        <v/>
      </c>
    </row>
    <row r="240">
      <c r="A240" t="inlineStr">
        <is>
          <t>Revenue Model</t>
        </is>
      </c>
      <c r="B240" t="inlineStr">
        <is>
          <t>M28</t>
        </is>
      </c>
      <c r="C240" t="n">
        <v>28</v>
      </c>
      <c r="D240" t="n">
        <v>13</v>
      </c>
      <c r="E240" t="inlineStr">
        <is>
          <t>Input</t>
        </is>
      </c>
      <c r="F240" t="n">
        <v/>
      </c>
      <c r="H240" t="inlineStr"/>
      <c r="I240" t="inlineStr">
        <is>
          <t>0%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0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Revenue Model</t>
        </is>
      </c>
      <c r="B241" t="inlineStr">
        <is>
          <t>A29</t>
        </is>
      </c>
      <c r="C241" t="n">
        <v>29</v>
      </c>
      <c r="D241" t="n">
        <v>1</v>
      </c>
      <c r="E241" t="inlineStr">
        <is>
          <t>Input</t>
        </is>
      </c>
      <c r="F241" t="n">
        <v/>
      </c>
      <c r="G241" t="inlineStr">
        <is>
          <t>Raw Materials as % of sales</t>
        </is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Revenue Model</t>
        </is>
      </c>
      <c r="B242" t="inlineStr">
        <is>
          <t>B29</t>
        </is>
      </c>
      <c r="C242" t="n">
        <v>29</v>
      </c>
      <c r="D242" t="n">
        <v>2</v>
      </c>
      <c r="E242" t="inlineStr">
        <is>
          <t>Output</t>
        </is>
      </c>
      <c r="F242" t="inlineStr">
        <is>
          <t>'=B19/B$2</t>
        </is>
      </c>
      <c r="G242" t="n">
        <v>0.1550826550306285</v>
      </c>
      <c r="H242" t="inlineStr"/>
      <c r="I242" t="inlineStr">
        <is>
          <t>0%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inlineStr">
        <is>
          <t>G000026</t>
        </is>
      </c>
      <c r="T242" t="inlineStr">
        <is>
          <t>Horizontal</t>
        </is>
      </c>
      <c r="U242" t="n">
        <v>3</v>
      </c>
      <c r="V242" t="b">
        <v>1</v>
      </c>
      <c r="W242" t="inlineStr">
        <is>
          <t>Revenue Model!B29:D29</t>
        </is>
      </c>
      <c r="X242">
        <f>R[-10]C[0]/R2C[0]</f>
        <v/>
      </c>
    </row>
    <row r="243">
      <c r="A243" t="inlineStr">
        <is>
          <t>Revenue Model</t>
        </is>
      </c>
      <c r="B243" t="inlineStr">
        <is>
          <t>C29</t>
        </is>
      </c>
      <c r="C243" t="n">
        <v>29</v>
      </c>
      <c r="D243" t="n">
        <v>3</v>
      </c>
      <c r="E243" t="inlineStr">
        <is>
          <t>Output</t>
        </is>
      </c>
      <c r="F243" t="inlineStr">
        <is>
          <t>'=C19/C$2</t>
        </is>
      </c>
      <c r="G243" t="n">
        <v>0.1445951296772916</v>
      </c>
      <c r="H243" t="inlineStr"/>
      <c r="I243" t="inlineStr">
        <is>
          <t>0%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inlineStr">
        <is>
          <t>G000026</t>
        </is>
      </c>
      <c r="T243" t="inlineStr">
        <is>
          <t>Horizontal</t>
        </is>
      </c>
      <c r="U243" t="n">
        <v>3</v>
      </c>
      <c r="V243" t="b">
        <v>1</v>
      </c>
      <c r="W243" t="inlineStr">
        <is>
          <t>Revenue Model!B29:D29</t>
        </is>
      </c>
      <c r="X243">
        <f>R[-10]C[0]/R2C[0]</f>
        <v/>
      </c>
    </row>
    <row r="244">
      <c r="A244" t="inlineStr">
        <is>
          <t>Revenue Model</t>
        </is>
      </c>
      <c r="B244" t="inlineStr">
        <is>
          <t>D29</t>
        </is>
      </c>
      <c r="C244" t="n">
        <v>29</v>
      </c>
      <c r="D244" t="n">
        <v>4</v>
      </c>
      <c r="E244" t="inlineStr">
        <is>
          <t>Calculation</t>
        </is>
      </c>
      <c r="F244" t="inlineStr">
        <is>
          <t>'=D19/D$2</t>
        </is>
      </c>
      <c r="G244" t="n">
        <v>0.1465663901806974</v>
      </c>
      <c r="H244" t="inlineStr"/>
      <c r="I244" t="inlineStr">
        <is>
          <t>0%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inlineStr">
        <is>
          <t>G000026</t>
        </is>
      </c>
      <c r="T244" t="inlineStr">
        <is>
          <t>Horizontal</t>
        </is>
      </c>
      <c r="U244" t="n">
        <v>3</v>
      </c>
      <c r="V244" t="b">
        <v>1</v>
      </c>
      <c r="W244" t="inlineStr">
        <is>
          <t>Revenue Model!B29:D29</t>
        </is>
      </c>
      <c r="X244">
        <f>R[-10]C[0]/R2C[0]</f>
        <v/>
      </c>
    </row>
    <row r="245">
      <c r="A245" t="inlineStr">
        <is>
          <t>Revenue Model</t>
        </is>
      </c>
      <c r="B245" t="inlineStr">
        <is>
          <t>E29</t>
        </is>
      </c>
      <c r="C245" t="n">
        <v>29</v>
      </c>
      <c r="D245" t="n">
        <v>5</v>
      </c>
      <c r="E245" t="inlineStr">
        <is>
          <t>Calculation</t>
        </is>
      </c>
      <c r="F245" t="inlineStr">
        <is>
          <t>'=D29</t>
        </is>
      </c>
      <c r="G245" t="n">
        <v>0.1465663901806974</v>
      </c>
      <c r="H245" t="inlineStr"/>
      <c r="I245" t="inlineStr">
        <is>
          <t>0%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inlineStr">
        <is>
          <t>G000031</t>
        </is>
      </c>
      <c r="T245" t="inlineStr">
        <is>
          <t>Horizontal</t>
        </is>
      </c>
      <c r="U245" t="n">
        <v>5</v>
      </c>
      <c r="V245" t="b">
        <v>1</v>
      </c>
      <c r="W245" t="inlineStr">
        <is>
          <t>Revenue Model!E29:I29</t>
        </is>
      </c>
      <c r="X245">
        <f>R[0]C[-1]</f>
        <v/>
      </c>
    </row>
    <row r="246">
      <c r="A246" t="inlineStr">
        <is>
          <t>Revenue Model</t>
        </is>
      </c>
      <c r="B246" t="inlineStr">
        <is>
          <t>F29</t>
        </is>
      </c>
      <c r="C246" t="n">
        <v>29</v>
      </c>
      <c r="D246" t="n">
        <v>6</v>
      </c>
      <c r="E246" t="inlineStr">
        <is>
          <t>Calculation</t>
        </is>
      </c>
      <c r="F246" t="inlineStr">
        <is>
          <t>'=E29</t>
        </is>
      </c>
      <c r="G246" t="n">
        <v>0.1465663901806974</v>
      </c>
      <c r="H246" t="inlineStr"/>
      <c r="I246" t="inlineStr">
        <is>
          <t>0%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G000031</t>
        </is>
      </c>
      <c r="T246" t="inlineStr">
        <is>
          <t>Horizontal</t>
        </is>
      </c>
      <c r="U246" t="n">
        <v>5</v>
      </c>
      <c r="V246" t="b">
        <v>1</v>
      </c>
      <c r="W246" t="inlineStr">
        <is>
          <t>Revenue Model!E29:I29</t>
        </is>
      </c>
      <c r="X246">
        <f>R[0]C[-1]</f>
        <v/>
      </c>
    </row>
    <row r="247">
      <c r="A247" t="inlineStr">
        <is>
          <t>Revenue Model</t>
        </is>
      </c>
      <c r="B247" t="inlineStr">
        <is>
          <t>G29</t>
        </is>
      </c>
      <c r="C247" t="n">
        <v>29</v>
      </c>
      <c r="D247" t="n">
        <v>7</v>
      </c>
      <c r="E247" t="inlineStr">
        <is>
          <t>Calculation</t>
        </is>
      </c>
      <c r="F247" t="inlineStr">
        <is>
          <t>'=F29</t>
        </is>
      </c>
      <c r="G247" t="n">
        <v>0.1465663901806974</v>
      </c>
      <c r="H247" t="inlineStr"/>
      <c r="I247" t="inlineStr">
        <is>
          <t>0%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G000031</t>
        </is>
      </c>
      <c r="T247" t="inlineStr">
        <is>
          <t>Horizontal</t>
        </is>
      </c>
      <c r="U247" t="n">
        <v>5</v>
      </c>
      <c r="V247" t="b">
        <v>1</v>
      </c>
      <c r="W247" t="inlineStr">
        <is>
          <t>Revenue Model!E29:I29</t>
        </is>
      </c>
      <c r="X247">
        <f>R[0]C[-1]</f>
        <v/>
      </c>
    </row>
    <row r="248">
      <c r="A248" t="inlineStr">
        <is>
          <t>Revenue Model</t>
        </is>
      </c>
      <c r="B248" t="inlineStr">
        <is>
          <t>H29</t>
        </is>
      </c>
      <c r="C248" t="n">
        <v>29</v>
      </c>
      <c r="D248" t="n">
        <v>8</v>
      </c>
      <c r="E248" t="inlineStr">
        <is>
          <t>Calculation</t>
        </is>
      </c>
      <c r="F248" t="inlineStr">
        <is>
          <t>'=G29</t>
        </is>
      </c>
      <c r="G248" t="n">
        <v>0.1465663901806974</v>
      </c>
      <c r="H248" t="inlineStr"/>
      <c r="I248" t="inlineStr">
        <is>
          <t>0%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G000031</t>
        </is>
      </c>
      <c r="T248" t="inlineStr">
        <is>
          <t>Horizontal</t>
        </is>
      </c>
      <c r="U248" t="n">
        <v>5</v>
      </c>
      <c r="V248" t="b">
        <v>1</v>
      </c>
      <c r="W248" t="inlineStr">
        <is>
          <t>Revenue Model!E29:I29</t>
        </is>
      </c>
      <c r="X248">
        <f>R[0]C[-1]</f>
        <v/>
      </c>
    </row>
    <row r="249">
      <c r="A249" t="inlineStr">
        <is>
          <t>Revenue Model</t>
        </is>
      </c>
      <c r="B249" t="inlineStr">
        <is>
          <t>I29</t>
        </is>
      </c>
      <c r="C249" t="n">
        <v>29</v>
      </c>
      <c r="D249" t="n">
        <v>9</v>
      </c>
      <c r="E249" t="inlineStr">
        <is>
          <t>Calculation</t>
        </is>
      </c>
      <c r="F249" t="inlineStr">
        <is>
          <t>'=H29</t>
        </is>
      </c>
      <c r="G249" t="n">
        <v>0.1465663901806974</v>
      </c>
      <c r="H249" t="inlineStr"/>
      <c r="I249" t="inlineStr">
        <is>
          <t>0%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inlineStr">
        <is>
          <t>G000031</t>
        </is>
      </c>
      <c r="T249" t="inlineStr">
        <is>
          <t>Horizontal</t>
        </is>
      </c>
      <c r="U249" t="n">
        <v>5</v>
      </c>
      <c r="V249" t="b">
        <v>1</v>
      </c>
      <c r="W249" t="inlineStr">
        <is>
          <t>Revenue Model!E29:I29</t>
        </is>
      </c>
      <c r="X249">
        <f>R[0]C[-1]</f>
        <v/>
      </c>
    </row>
    <row r="250">
      <c r="A250" t="inlineStr">
        <is>
          <t>Revenue Model</t>
        </is>
      </c>
      <c r="B250" t="inlineStr">
        <is>
          <t>A30</t>
        </is>
      </c>
      <c r="C250" t="n">
        <v>30</v>
      </c>
      <c r="D250" t="n">
        <v>1</v>
      </c>
      <c r="E250" t="inlineStr">
        <is>
          <t>Input</t>
        </is>
      </c>
      <c r="F250" t="n">
        <v/>
      </c>
      <c r="G250" t="inlineStr">
        <is>
          <t>Power as % of sales</t>
        </is>
      </c>
      <c r="H250" t="inlineStr"/>
      <c r="I250" t="inlineStr">
        <is>
          <t>General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1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Revenue Model</t>
        </is>
      </c>
      <c r="B251" t="inlineStr">
        <is>
          <t>B30</t>
        </is>
      </c>
      <c r="C251" t="n">
        <v>30</v>
      </c>
      <c r="D251" t="n">
        <v>2</v>
      </c>
      <c r="E251" t="inlineStr">
        <is>
          <t>Output</t>
        </is>
      </c>
      <c r="F251" t="inlineStr">
        <is>
          <t>'=B20/B$2</t>
        </is>
      </c>
      <c r="G251" t="n">
        <v>0.2011135352857263</v>
      </c>
      <c r="H251" t="inlineStr"/>
      <c r="I251" t="inlineStr">
        <is>
          <t>0%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inlineStr">
        <is>
          <t>G000027</t>
        </is>
      </c>
      <c r="T251" t="inlineStr">
        <is>
          <t>Horizontal</t>
        </is>
      </c>
      <c r="U251" t="n">
        <v>3</v>
      </c>
      <c r="V251" t="b">
        <v>1</v>
      </c>
      <c r="W251" t="inlineStr">
        <is>
          <t>Revenue Model!B30:D30</t>
        </is>
      </c>
      <c r="X251">
        <f>R[-10]C[0]/R2C[0]</f>
        <v/>
      </c>
    </row>
    <row r="252">
      <c r="A252" t="inlineStr">
        <is>
          <t>Revenue Model</t>
        </is>
      </c>
      <c r="B252" t="inlineStr">
        <is>
          <t>C30</t>
        </is>
      </c>
      <c r="C252" t="n">
        <v>30</v>
      </c>
      <c r="D252" t="n">
        <v>3</v>
      </c>
      <c r="E252" t="inlineStr">
        <is>
          <t>Output</t>
        </is>
      </c>
      <c r="F252" t="inlineStr">
        <is>
          <t>'=C20/C$2</t>
        </is>
      </c>
      <c r="G252" t="n">
        <v>0.1943728514605568</v>
      </c>
      <c r="H252" t="inlineStr"/>
      <c r="I252" t="inlineStr">
        <is>
          <t>0%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inlineStr">
        <is>
          <t>G000027</t>
        </is>
      </c>
      <c r="T252" t="inlineStr">
        <is>
          <t>Horizontal</t>
        </is>
      </c>
      <c r="U252" t="n">
        <v>3</v>
      </c>
      <c r="V252" t="b">
        <v>1</v>
      </c>
      <c r="W252" t="inlineStr">
        <is>
          <t>Revenue Model!B30:D30</t>
        </is>
      </c>
      <c r="X252">
        <f>R[-10]C[0]/R2C[0]</f>
        <v/>
      </c>
    </row>
    <row r="253">
      <c r="A253" t="inlineStr">
        <is>
          <t>Revenue Model</t>
        </is>
      </c>
      <c r="B253" t="inlineStr">
        <is>
          <t>D30</t>
        </is>
      </c>
      <c r="C253" t="n">
        <v>30</v>
      </c>
      <c r="D253" t="n">
        <v>4</v>
      </c>
      <c r="E253" t="inlineStr">
        <is>
          <t>Calculation</t>
        </is>
      </c>
      <c r="F253" t="inlineStr">
        <is>
          <t>'=D20/D$2</t>
        </is>
      </c>
      <c r="G253" t="n">
        <v>0.2025514441334826</v>
      </c>
      <c r="H253" t="inlineStr"/>
      <c r="I253" t="inlineStr">
        <is>
          <t>0%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G000027</t>
        </is>
      </c>
      <c r="T253" t="inlineStr">
        <is>
          <t>Horizontal</t>
        </is>
      </c>
      <c r="U253" t="n">
        <v>3</v>
      </c>
      <c r="V253" t="b">
        <v>1</v>
      </c>
      <c r="W253" t="inlineStr">
        <is>
          <t>Revenue Model!B30:D30</t>
        </is>
      </c>
      <c r="X253">
        <f>R[-10]C[0]/R2C[0]</f>
        <v/>
      </c>
    </row>
    <row r="254">
      <c r="A254" t="inlineStr">
        <is>
          <t>Revenue Model</t>
        </is>
      </c>
      <c r="B254" t="inlineStr">
        <is>
          <t>E30</t>
        </is>
      </c>
      <c r="C254" t="n">
        <v>30</v>
      </c>
      <c r="D254" t="n">
        <v>5</v>
      </c>
      <c r="E254" t="inlineStr">
        <is>
          <t>Calculation</t>
        </is>
      </c>
      <c r="F254" t="inlineStr">
        <is>
          <t>'=D30</t>
        </is>
      </c>
      <c r="G254" t="n">
        <v>0.2025514441334826</v>
      </c>
      <c r="H254" t="inlineStr"/>
      <c r="I254" t="inlineStr">
        <is>
          <t>0%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G000032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Revenue Model!E30:I30</t>
        </is>
      </c>
      <c r="X254">
        <f>R[0]C[-1]</f>
        <v/>
      </c>
    </row>
    <row r="255">
      <c r="A255" t="inlineStr">
        <is>
          <t>Revenue Model</t>
        </is>
      </c>
      <c r="B255" t="inlineStr">
        <is>
          <t>F30</t>
        </is>
      </c>
      <c r="C255" t="n">
        <v>30</v>
      </c>
      <c r="D255" t="n">
        <v>6</v>
      </c>
      <c r="E255" t="inlineStr">
        <is>
          <t>Calculation</t>
        </is>
      </c>
      <c r="F255" t="inlineStr">
        <is>
          <t>'=E30</t>
        </is>
      </c>
      <c r="G255" t="n">
        <v>0.2025514441334826</v>
      </c>
      <c r="H255" t="inlineStr"/>
      <c r="I255" t="inlineStr">
        <is>
          <t>0%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G000032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Revenue Model!E30:I30</t>
        </is>
      </c>
      <c r="X255">
        <f>R[0]C[-1]</f>
        <v/>
      </c>
    </row>
    <row r="256">
      <c r="A256" t="inlineStr">
        <is>
          <t>Revenue Model</t>
        </is>
      </c>
      <c r="B256" t="inlineStr">
        <is>
          <t>G30</t>
        </is>
      </c>
      <c r="C256" t="n">
        <v>30</v>
      </c>
      <c r="D256" t="n">
        <v>7</v>
      </c>
      <c r="E256" t="inlineStr">
        <is>
          <t>Calculation</t>
        </is>
      </c>
      <c r="F256" t="inlineStr">
        <is>
          <t>'=F30</t>
        </is>
      </c>
      <c r="G256" t="n">
        <v>0.2025514441334826</v>
      </c>
      <c r="H256" t="inlineStr"/>
      <c r="I256" t="inlineStr">
        <is>
          <t>0%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G000032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Revenue Model!E30:I30</t>
        </is>
      </c>
      <c r="X256">
        <f>R[0]C[-1]</f>
        <v/>
      </c>
    </row>
    <row r="257">
      <c r="A257" t="inlineStr">
        <is>
          <t>Revenue Model</t>
        </is>
      </c>
      <c r="B257" t="inlineStr">
        <is>
          <t>H30</t>
        </is>
      </c>
      <c r="C257" t="n">
        <v>30</v>
      </c>
      <c r="D257" t="n">
        <v>8</v>
      </c>
      <c r="E257" t="inlineStr">
        <is>
          <t>Calculation</t>
        </is>
      </c>
      <c r="F257" t="inlineStr">
        <is>
          <t>'=G30</t>
        </is>
      </c>
      <c r="G257" t="n">
        <v>0.2025514441334826</v>
      </c>
      <c r="H257" t="inlineStr"/>
      <c r="I257" t="inlineStr">
        <is>
          <t>0%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G000032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Revenue Model!E30:I30</t>
        </is>
      </c>
      <c r="X257">
        <f>R[0]C[-1]</f>
        <v/>
      </c>
    </row>
    <row r="258">
      <c r="A258" t="inlineStr">
        <is>
          <t>Revenue Model</t>
        </is>
      </c>
      <c r="B258" t="inlineStr">
        <is>
          <t>I30</t>
        </is>
      </c>
      <c r="C258" t="n">
        <v>30</v>
      </c>
      <c r="D258" t="n">
        <v>9</v>
      </c>
      <c r="E258" t="inlineStr">
        <is>
          <t>Calculation</t>
        </is>
      </c>
      <c r="F258" t="inlineStr">
        <is>
          <t>'=H30</t>
        </is>
      </c>
      <c r="G258" t="n">
        <v>0.2025514441334826</v>
      </c>
      <c r="H258" t="inlineStr"/>
      <c r="I258" t="inlineStr">
        <is>
          <t>0%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1</v>
      </c>
      <c r="S258" t="inlineStr">
        <is>
          <t>G000032</t>
        </is>
      </c>
      <c r="T258" t="inlineStr">
        <is>
          <t>Horizontal</t>
        </is>
      </c>
      <c r="U258" t="n">
        <v>5</v>
      </c>
      <c r="V258" t="b">
        <v>1</v>
      </c>
      <c r="W258" t="inlineStr">
        <is>
          <t>Revenue Model!E30:I30</t>
        </is>
      </c>
      <c r="X258">
        <f>R[0]C[-1]</f>
        <v/>
      </c>
    </row>
    <row r="259">
      <c r="A259" t="inlineStr">
        <is>
          <t>Revenue Model</t>
        </is>
      </c>
      <c r="B259" t="inlineStr">
        <is>
          <t>A31</t>
        </is>
      </c>
      <c r="C259" t="n">
        <v>31</v>
      </c>
      <c r="D259" t="n">
        <v>1</v>
      </c>
      <c r="E259" t="inlineStr">
        <is>
          <t>Input</t>
        </is>
      </c>
      <c r="F259" t="n">
        <v/>
      </c>
      <c r="G259" t="inlineStr">
        <is>
          <t>Transport as % of sales</t>
        </is>
      </c>
      <c r="H259" t="inlineStr"/>
      <c r="I259" t="inlineStr">
        <is>
          <t>General</t>
        </is>
      </c>
      <c r="J259" t="b">
        <v>0</v>
      </c>
      <c r="K259" t="b">
        <v>0</v>
      </c>
      <c r="L259" t="n">
        <v>11</v>
      </c>
      <c r="M259" t="n">
        <v/>
      </c>
      <c r="N259" t="inlineStr">
        <is>
          <t>00000000</t>
        </is>
      </c>
      <c r="O259" t="n">
        <v/>
      </c>
      <c r="P259" t="n">
        <v/>
      </c>
      <c r="R259" t="b">
        <v>1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Revenue Model</t>
        </is>
      </c>
      <c r="B260" t="inlineStr">
        <is>
          <t>B31</t>
        </is>
      </c>
      <c r="C260" t="n">
        <v>31</v>
      </c>
      <c r="D260" t="n">
        <v>2</v>
      </c>
      <c r="E260" t="inlineStr">
        <is>
          <t>Output</t>
        </is>
      </c>
      <c r="F260" t="inlineStr">
        <is>
          <t>'=B21/B$2</t>
        </is>
      </c>
      <c r="G260" t="n">
        <v>0.2269203658638919</v>
      </c>
      <c r="H260" t="inlineStr"/>
      <c r="I260" t="inlineStr">
        <is>
          <t>0%</t>
        </is>
      </c>
      <c r="J260" t="b">
        <v>0</v>
      </c>
      <c r="K260" t="b">
        <v>0</v>
      </c>
      <c r="L260" t="n">
        <v>11</v>
      </c>
      <c r="M260" t="n">
        <v/>
      </c>
      <c r="N260" t="inlineStr">
        <is>
          <t>00000000</t>
        </is>
      </c>
      <c r="O260" t="n">
        <v/>
      </c>
      <c r="P260" t="n">
        <v/>
      </c>
      <c r="R260" t="b">
        <v>1</v>
      </c>
      <c r="S260" t="inlineStr">
        <is>
          <t>G000028</t>
        </is>
      </c>
      <c r="T260" t="inlineStr">
        <is>
          <t>Horizontal</t>
        </is>
      </c>
      <c r="U260" t="n">
        <v>3</v>
      </c>
      <c r="V260" t="b">
        <v>1</v>
      </c>
      <c r="W260" t="inlineStr">
        <is>
          <t>Revenue Model!B31:D31</t>
        </is>
      </c>
      <c r="X260">
        <f>R[-10]C[0]/R2C[0]</f>
        <v/>
      </c>
    </row>
    <row r="261">
      <c r="A261" t="inlineStr">
        <is>
          <t>Revenue Model</t>
        </is>
      </c>
      <c r="B261" t="inlineStr">
        <is>
          <t>C31</t>
        </is>
      </c>
      <c r="C261" t="n">
        <v>31</v>
      </c>
      <c r="D261" t="n">
        <v>3</v>
      </c>
      <c r="E261" t="inlineStr">
        <is>
          <t>Output</t>
        </is>
      </c>
      <c r="F261" t="inlineStr">
        <is>
          <t>'=C21/C$2</t>
        </is>
      </c>
      <c r="G261" t="n">
        <v>0.2372266517881248</v>
      </c>
      <c r="H261" t="inlineStr"/>
      <c r="I261" t="inlineStr">
        <is>
          <t>0%</t>
        </is>
      </c>
      <c r="J261" t="b">
        <v>0</v>
      </c>
      <c r="K261" t="b">
        <v>0</v>
      </c>
      <c r="L261" t="n">
        <v>11</v>
      </c>
      <c r="M261" t="n">
        <v/>
      </c>
      <c r="N261" t="inlineStr">
        <is>
          <t>00000000</t>
        </is>
      </c>
      <c r="O261" t="n">
        <v/>
      </c>
      <c r="P261" t="n">
        <v/>
      </c>
      <c r="R261" t="b">
        <v>1</v>
      </c>
      <c r="S261" t="inlineStr">
        <is>
          <t>G000028</t>
        </is>
      </c>
      <c r="T261" t="inlineStr">
        <is>
          <t>Horizontal</t>
        </is>
      </c>
      <c r="U261" t="n">
        <v>3</v>
      </c>
      <c r="V261" t="b">
        <v>1</v>
      </c>
      <c r="W261" t="inlineStr">
        <is>
          <t>Revenue Model!B31:D31</t>
        </is>
      </c>
      <c r="X261">
        <f>R[-10]C[0]/R2C[0]</f>
        <v/>
      </c>
    </row>
    <row r="262">
      <c r="A262" t="inlineStr">
        <is>
          <t>Revenue Model</t>
        </is>
      </c>
      <c r="B262" t="inlineStr">
        <is>
          <t>D31</t>
        </is>
      </c>
      <c r="C262" t="n">
        <v>31</v>
      </c>
      <c r="D262" t="n">
        <v>4</v>
      </c>
      <c r="E262" t="inlineStr">
        <is>
          <t>Calculation</t>
        </is>
      </c>
      <c r="F262" t="inlineStr">
        <is>
          <t>'=D21/D$2</t>
        </is>
      </c>
      <c r="G262" t="n">
        <v>0.2559905707499415</v>
      </c>
      <c r="H262" t="inlineStr"/>
      <c r="I262" t="inlineStr">
        <is>
          <t>0%</t>
        </is>
      </c>
      <c r="J262" t="b">
        <v>0</v>
      </c>
      <c r="K262" t="b">
        <v>0</v>
      </c>
      <c r="L262" t="n">
        <v>11</v>
      </c>
      <c r="M262" t="n">
        <v/>
      </c>
      <c r="N262" t="inlineStr">
        <is>
          <t>00000000</t>
        </is>
      </c>
      <c r="O262" t="n">
        <v/>
      </c>
      <c r="P262" t="n">
        <v/>
      </c>
      <c r="R262" t="b">
        <v>1</v>
      </c>
      <c r="S262" t="inlineStr">
        <is>
          <t>G000028</t>
        </is>
      </c>
      <c r="T262" t="inlineStr">
        <is>
          <t>Horizontal</t>
        </is>
      </c>
      <c r="U262" t="n">
        <v>3</v>
      </c>
      <c r="V262" t="b">
        <v>1</v>
      </c>
      <c r="W262" t="inlineStr">
        <is>
          <t>Revenue Model!B31:D31</t>
        </is>
      </c>
      <c r="X262">
        <f>R[-10]C[0]/R2C[0]</f>
        <v/>
      </c>
    </row>
    <row r="263">
      <c r="A263" t="inlineStr">
        <is>
          <t>Revenue Model</t>
        </is>
      </c>
      <c r="B263" t="inlineStr">
        <is>
          <t>E31</t>
        </is>
      </c>
      <c r="C263" t="n">
        <v>31</v>
      </c>
      <c r="D263" t="n">
        <v>5</v>
      </c>
      <c r="E263" t="inlineStr">
        <is>
          <t>Calculation</t>
        </is>
      </c>
      <c r="F263" t="inlineStr">
        <is>
          <t>'=D31+1.5%</t>
        </is>
      </c>
      <c r="G263" t="n">
        <v>0.2709905707499415</v>
      </c>
      <c r="H263" t="inlineStr"/>
      <c r="I263" t="inlineStr">
        <is>
          <t>0%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1</v>
      </c>
      <c r="S263" t="n">
        <v/>
      </c>
      <c r="T263" t="n">
        <v/>
      </c>
      <c r="U263" t="n">
        <v/>
      </c>
      <c r="V263" t="b">
        <v>0</v>
      </c>
      <c r="W263" t="inlineStr"/>
      <c r="X263">
        <f>R[0]C[-1]+1.5%</f>
        <v/>
      </c>
    </row>
    <row r="264">
      <c r="A264" t="inlineStr">
        <is>
          <t>Revenue Model</t>
        </is>
      </c>
      <c r="B264" t="inlineStr">
        <is>
          <t>F31</t>
        </is>
      </c>
      <c r="C264" t="n">
        <v>31</v>
      </c>
      <c r="D264" t="n">
        <v>6</v>
      </c>
      <c r="E264" t="inlineStr">
        <is>
          <t>Calculation</t>
        </is>
      </c>
      <c r="F264" t="inlineStr">
        <is>
          <t>'=E31+0.5%</t>
        </is>
      </c>
      <c r="G264" t="n">
        <v>0.2759905707499415</v>
      </c>
      <c r="H264" t="inlineStr"/>
      <c r="I264" t="inlineStr">
        <is>
          <t>0%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n">
        <v/>
      </c>
      <c r="P264" t="n">
        <v/>
      </c>
      <c r="R264" t="b">
        <v>1</v>
      </c>
      <c r="S264" t="inlineStr">
        <is>
          <t>G000035</t>
        </is>
      </c>
      <c r="T264" t="inlineStr">
        <is>
          <t>Horizontal</t>
        </is>
      </c>
      <c r="U264" t="n">
        <v>4</v>
      </c>
      <c r="V264" t="b">
        <v>1</v>
      </c>
      <c r="W264" t="inlineStr">
        <is>
          <t>Revenue Model!F31:I31</t>
        </is>
      </c>
      <c r="X264">
        <f>R[0]C[-1]+0.5%</f>
        <v/>
      </c>
    </row>
    <row r="265">
      <c r="A265" t="inlineStr">
        <is>
          <t>Revenue Model</t>
        </is>
      </c>
      <c r="B265" t="inlineStr">
        <is>
          <t>G31</t>
        </is>
      </c>
      <c r="C265" t="n">
        <v>31</v>
      </c>
      <c r="D265" t="n">
        <v>7</v>
      </c>
      <c r="E265" t="inlineStr">
        <is>
          <t>Calculation</t>
        </is>
      </c>
      <c r="F265" t="inlineStr">
        <is>
          <t>'=F31+0.5%</t>
        </is>
      </c>
      <c r="G265" t="n">
        <v>0.2809905707499415</v>
      </c>
      <c r="H265" t="inlineStr"/>
      <c r="I265" t="inlineStr">
        <is>
          <t>0%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1</v>
      </c>
      <c r="S265" t="inlineStr">
        <is>
          <t>G000035</t>
        </is>
      </c>
      <c r="T265" t="inlineStr">
        <is>
          <t>Horizontal</t>
        </is>
      </c>
      <c r="U265" t="n">
        <v>4</v>
      </c>
      <c r="V265" t="b">
        <v>1</v>
      </c>
      <c r="W265" t="inlineStr">
        <is>
          <t>Revenue Model!F31:I31</t>
        </is>
      </c>
      <c r="X265">
        <f>R[0]C[-1]+0.5%</f>
        <v/>
      </c>
    </row>
    <row r="266">
      <c r="A266" t="inlineStr">
        <is>
          <t>Revenue Model</t>
        </is>
      </c>
      <c r="B266" t="inlineStr">
        <is>
          <t>H31</t>
        </is>
      </c>
      <c r="C266" t="n">
        <v>31</v>
      </c>
      <c r="D266" t="n">
        <v>8</v>
      </c>
      <c r="E266" t="inlineStr">
        <is>
          <t>Calculation</t>
        </is>
      </c>
      <c r="F266" t="inlineStr">
        <is>
          <t>'=G31+0.5%</t>
        </is>
      </c>
      <c r="G266" t="n">
        <v>0.2859905707499415</v>
      </c>
      <c r="H266" t="inlineStr"/>
      <c r="I266" t="inlineStr">
        <is>
          <t>0%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inlineStr">
        <is>
          <t>G000035</t>
        </is>
      </c>
      <c r="T266" t="inlineStr">
        <is>
          <t>Horizontal</t>
        </is>
      </c>
      <c r="U266" t="n">
        <v>4</v>
      </c>
      <c r="V266" t="b">
        <v>1</v>
      </c>
      <c r="W266" t="inlineStr">
        <is>
          <t>Revenue Model!F31:I31</t>
        </is>
      </c>
      <c r="X266">
        <f>R[0]C[-1]+0.5%</f>
        <v/>
      </c>
    </row>
    <row r="267">
      <c r="A267" t="inlineStr">
        <is>
          <t>Revenue Model</t>
        </is>
      </c>
      <c r="B267" t="inlineStr">
        <is>
          <t>I31</t>
        </is>
      </c>
      <c r="C267" t="n">
        <v>31</v>
      </c>
      <c r="D267" t="n">
        <v>9</v>
      </c>
      <c r="E267" t="inlineStr">
        <is>
          <t>Calculation</t>
        </is>
      </c>
      <c r="F267" t="inlineStr">
        <is>
          <t>'=H31+0.5%</t>
        </is>
      </c>
      <c r="G267" t="n">
        <v>0.2909905707499415</v>
      </c>
      <c r="H267" t="inlineStr"/>
      <c r="I267" t="inlineStr">
        <is>
          <t>0%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inlineStr">
        <is>
          <t>G000035</t>
        </is>
      </c>
      <c r="T267" t="inlineStr">
        <is>
          <t>Horizontal</t>
        </is>
      </c>
      <c r="U267" t="n">
        <v>4</v>
      </c>
      <c r="V267" t="b">
        <v>1</v>
      </c>
      <c r="W267" t="inlineStr">
        <is>
          <t>Revenue Model!F31:I31</t>
        </is>
      </c>
      <c r="X267">
        <f>R[0]C[-1]+0.5%</f>
        <v/>
      </c>
    </row>
    <row r="268">
      <c r="A268" t="inlineStr">
        <is>
          <t>Revenue Model</t>
        </is>
      </c>
      <c r="B268" t="inlineStr">
        <is>
          <t>A32</t>
        </is>
      </c>
      <c r="C268" t="n">
        <v>32</v>
      </c>
      <c r="D268" t="n">
        <v>1</v>
      </c>
      <c r="E268" t="inlineStr">
        <is>
          <t>Input</t>
        </is>
      </c>
      <c r="F268" t="n">
        <v/>
      </c>
      <c r="G268" t="inlineStr">
        <is>
          <t>Salaries as % of sales</t>
        </is>
      </c>
      <c r="H268" t="inlineStr"/>
      <c r="I268" t="inlineStr">
        <is>
          <t>General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Revenue Model</t>
        </is>
      </c>
      <c r="B269" t="inlineStr">
        <is>
          <t>B32</t>
        </is>
      </c>
      <c r="C269" t="n">
        <v>32</v>
      </c>
      <c r="D269" t="n">
        <v>2</v>
      </c>
      <c r="E269" t="inlineStr">
        <is>
          <t>Output</t>
        </is>
      </c>
      <c r="F269" t="inlineStr">
        <is>
          <t>'=B22/B$2</t>
        </is>
      </c>
      <c r="G269" t="n">
        <v>0.06479483091382059</v>
      </c>
      <c r="H269" t="inlineStr"/>
      <c r="I269" t="inlineStr">
        <is>
          <t>0%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inlineStr">
        <is>
          <t>G000029</t>
        </is>
      </c>
      <c r="T269" t="inlineStr">
        <is>
          <t>Horizontal</t>
        </is>
      </c>
      <c r="U269" t="n">
        <v>3</v>
      </c>
      <c r="V269" t="b">
        <v>1</v>
      </c>
      <c r="W269" t="inlineStr">
        <is>
          <t>Revenue Model!B32:D32</t>
        </is>
      </c>
      <c r="X269">
        <f>R[-10]C[0]/R2C[0]</f>
        <v/>
      </c>
    </row>
    <row r="270">
      <c r="A270" t="inlineStr">
        <is>
          <t>Revenue Model</t>
        </is>
      </c>
      <c r="B270" t="inlineStr">
        <is>
          <t>C32</t>
        </is>
      </c>
      <c r="C270" t="n">
        <v>32</v>
      </c>
      <c r="D270" t="n">
        <v>3</v>
      </c>
      <c r="E270" t="inlineStr">
        <is>
          <t>Output</t>
        </is>
      </c>
      <c r="F270" t="inlineStr">
        <is>
          <t>'=C22/C$2</t>
        </is>
      </c>
      <c r="G270" t="n">
        <v>0.0680981263836144</v>
      </c>
      <c r="H270" t="inlineStr"/>
      <c r="I270" t="inlineStr">
        <is>
          <t>0%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inlineStr">
        <is>
          <t>G000029</t>
        </is>
      </c>
      <c r="T270" t="inlineStr">
        <is>
          <t>Horizontal</t>
        </is>
      </c>
      <c r="U270" t="n">
        <v>3</v>
      </c>
      <c r="V270" t="b">
        <v>1</v>
      </c>
      <c r="W270" t="inlineStr">
        <is>
          <t>Revenue Model!B32:D32</t>
        </is>
      </c>
      <c r="X270">
        <f>R[-10]C[0]/R2C[0]</f>
        <v/>
      </c>
    </row>
    <row r="271">
      <c r="A271" t="inlineStr">
        <is>
          <t>Revenue Model</t>
        </is>
      </c>
      <c r="B271" t="inlineStr">
        <is>
          <t>D32</t>
        </is>
      </c>
      <c r="C271" t="n">
        <v>32</v>
      </c>
      <c r="D271" t="n">
        <v>4</v>
      </c>
      <c r="E271" t="inlineStr">
        <is>
          <t>Calculation</t>
        </is>
      </c>
      <c r="F271" t="inlineStr">
        <is>
          <t>'=D22/D$2</t>
        </is>
      </c>
      <c r="G271" t="n">
        <v>0.06123346638257646</v>
      </c>
      <c r="H271" t="inlineStr"/>
      <c r="I271" t="inlineStr">
        <is>
          <t>0%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G000029</t>
        </is>
      </c>
      <c r="T271" t="inlineStr">
        <is>
          <t>Horizontal</t>
        </is>
      </c>
      <c r="U271" t="n">
        <v>3</v>
      </c>
      <c r="V271" t="b">
        <v>1</v>
      </c>
      <c r="W271" t="inlineStr">
        <is>
          <t>Revenue Model!B32:D32</t>
        </is>
      </c>
      <c r="X271">
        <f>R[-10]C[0]/R2C[0]</f>
        <v/>
      </c>
    </row>
    <row r="272">
      <c r="A272" t="inlineStr">
        <is>
          <t>Revenue Model</t>
        </is>
      </c>
      <c r="B272" t="inlineStr">
        <is>
          <t>E32</t>
        </is>
      </c>
      <c r="C272" t="n">
        <v>32</v>
      </c>
      <c r="D272" t="n">
        <v>5</v>
      </c>
      <c r="E272" t="inlineStr">
        <is>
          <t>Calculation</t>
        </is>
      </c>
      <c r="F272" t="inlineStr">
        <is>
          <t>'=D32</t>
        </is>
      </c>
      <c r="G272" t="n">
        <v>0.06123346638257646</v>
      </c>
      <c r="H272" t="inlineStr"/>
      <c r="I272" t="inlineStr">
        <is>
          <t>0%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inlineStr">
        <is>
          <t>G000033</t>
        </is>
      </c>
      <c r="T272" t="inlineStr">
        <is>
          <t>Horizontal</t>
        </is>
      </c>
      <c r="U272" t="n">
        <v>5</v>
      </c>
      <c r="V272" t="b">
        <v>1</v>
      </c>
      <c r="W272" t="inlineStr">
        <is>
          <t>Revenue Model!E32:I32</t>
        </is>
      </c>
      <c r="X272">
        <f>R[0]C[-1]</f>
        <v/>
      </c>
    </row>
    <row r="273">
      <c r="A273" t="inlineStr">
        <is>
          <t>Revenue Model</t>
        </is>
      </c>
      <c r="B273" t="inlineStr">
        <is>
          <t>F32</t>
        </is>
      </c>
      <c r="C273" t="n">
        <v>32</v>
      </c>
      <c r="D273" t="n">
        <v>6</v>
      </c>
      <c r="E273" t="inlineStr">
        <is>
          <t>Calculation</t>
        </is>
      </c>
      <c r="F273" t="inlineStr">
        <is>
          <t>'=E32</t>
        </is>
      </c>
      <c r="G273" t="n">
        <v>0.06123346638257646</v>
      </c>
      <c r="H273" t="inlineStr"/>
      <c r="I273" t="inlineStr">
        <is>
          <t>0%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inlineStr">
        <is>
          <t>G000033</t>
        </is>
      </c>
      <c r="T273" t="inlineStr">
        <is>
          <t>Horizontal</t>
        </is>
      </c>
      <c r="U273" t="n">
        <v>5</v>
      </c>
      <c r="V273" t="b">
        <v>1</v>
      </c>
      <c r="W273" t="inlineStr">
        <is>
          <t>Revenue Model!E32:I32</t>
        </is>
      </c>
      <c r="X273">
        <f>R[0]C[-1]</f>
        <v/>
      </c>
    </row>
    <row r="274">
      <c r="A274" t="inlineStr">
        <is>
          <t>Revenue Model</t>
        </is>
      </c>
      <c r="B274" t="inlineStr">
        <is>
          <t>G32</t>
        </is>
      </c>
      <c r="C274" t="n">
        <v>32</v>
      </c>
      <c r="D274" t="n">
        <v>7</v>
      </c>
      <c r="E274" t="inlineStr">
        <is>
          <t>Calculation</t>
        </is>
      </c>
      <c r="F274" t="inlineStr">
        <is>
          <t>'=F32</t>
        </is>
      </c>
      <c r="G274" t="n">
        <v>0.06123346638257646</v>
      </c>
      <c r="H274" t="inlineStr"/>
      <c r="I274" t="inlineStr">
        <is>
          <t>0%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inlineStr">
        <is>
          <t>G000033</t>
        </is>
      </c>
      <c r="T274" t="inlineStr">
        <is>
          <t>Horizontal</t>
        </is>
      </c>
      <c r="U274" t="n">
        <v>5</v>
      </c>
      <c r="V274" t="b">
        <v>1</v>
      </c>
      <c r="W274" t="inlineStr">
        <is>
          <t>Revenue Model!E32:I32</t>
        </is>
      </c>
      <c r="X274">
        <f>R[0]C[-1]</f>
        <v/>
      </c>
    </row>
    <row r="275">
      <c r="A275" t="inlineStr">
        <is>
          <t>Revenue Model</t>
        </is>
      </c>
      <c r="B275" t="inlineStr">
        <is>
          <t>H32</t>
        </is>
      </c>
      <c r="C275" t="n">
        <v>32</v>
      </c>
      <c r="D275" t="n">
        <v>8</v>
      </c>
      <c r="E275" t="inlineStr">
        <is>
          <t>Calculation</t>
        </is>
      </c>
      <c r="F275" t="inlineStr">
        <is>
          <t>'=G32</t>
        </is>
      </c>
      <c r="G275" t="n">
        <v>0.06123346638257646</v>
      </c>
      <c r="H275" t="inlineStr"/>
      <c r="I275" t="inlineStr">
        <is>
          <t>0%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inlineStr">
        <is>
          <t>G000033</t>
        </is>
      </c>
      <c r="T275" t="inlineStr">
        <is>
          <t>Horizontal</t>
        </is>
      </c>
      <c r="U275" t="n">
        <v>5</v>
      </c>
      <c r="V275" t="b">
        <v>1</v>
      </c>
      <c r="W275" t="inlineStr">
        <is>
          <t>Revenue Model!E32:I32</t>
        </is>
      </c>
      <c r="X275">
        <f>R[0]C[-1]</f>
        <v/>
      </c>
    </row>
    <row r="276">
      <c r="A276" t="inlineStr">
        <is>
          <t>Revenue Model</t>
        </is>
      </c>
      <c r="B276" t="inlineStr">
        <is>
          <t>I32</t>
        </is>
      </c>
      <c r="C276" t="n">
        <v>32</v>
      </c>
      <c r="D276" t="n">
        <v>9</v>
      </c>
      <c r="E276" t="inlineStr">
        <is>
          <t>Calculation</t>
        </is>
      </c>
      <c r="F276" t="inlineStr">
        <is>
          <t>'=H32</t>
        </is>
      </c>
      <c r="G276" t="n">
        <v>0.06123346638257646</v>
      </c>
      <c r="H276" t="inlineStr"/>
      <c r="I276" t="inlineStr">
        <is>
          <t>0%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inlineStr">
        <is>
          <t>G000033</t>
        </is>
      </c>
      <c r="T276" t="inlineStr">
        <is>
          <t>Horizontal</t>
        </is>
      </c>
      <c r="U276" t="n">
        <v>5</v>
      </c>
      <c r="V276" t="b">
        <v>1</v>
      </c>
      <c r="W276" t="inlineStr">
        <is>
          <t>Revenue Model!E32:I32</t>
        </is>
      </c>
      <c r="X276">
        <f>R[0]C[-1]</f>
        <v/>
      </c>
    </row>
    <row r="277">
      <c r="A277" t="inlineStr">
        <is>
          <t>Revenue Model</t>
        </is>
      </c>
      <c r="B277" t="inlineStr">
        <is>
          <t>A33</t>
        </is>
      </c>
      <c r="C277" t="n">
        <v>33</v>
      </c>
      <c r="D277" t="n">
        <v>1</v>
      </c>
      <c r="E277" t="inlineStr">
        <is>
          <t>Input</t>
        </is>
      </c>
      <c r="F277" t="n">
        <v/>
      </c>
      <c r="G277" t="inlineStr">
        <is>
          <t>Other exps as % of sales</t>
        </is>
      </c>
      <c r="H277" t="inlineStr"/>
      <c r="I277" t="inlineStr">
        <is>
          <t>General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Revenue Model</t>
        </is>
      </c>
      <c r="B278" t="inlineStr">
        <is>
          <t>B33</t>
        </is>
      </c>
      <c r="C278" t="n">
        <v>33</v>
      </c>
      <c r="D278" t="n">
        <v>2</v>
      </c>
      <c r="E278" t="inlineStr">
        <is>
          <t>Output</t>
        </is>
      </c>
      <c r="F278" t="inlineStr">
        <is>
          <t>'=B23/B$2</t>
        </is>
      </c>
      <c r="G278" t="n">
        <v>0.2138029705462784</v>
      </c>
      <c r="H278" t="inlineStr"/>
      <c r="I278" t="inlineStr">
        <is>
          <t>0%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G000030</t>
        </is>
      </c>
      <c r="T278" t="inlineStr">
        <is>
          <t>Horizontal</t>
        </is>
      </c>
      <c r="U278" t="n">
        <v>3</v>
      </c>
      <c r="V278" t="b">
        <v>1</v>
      </c>
      <c r="W278" t="inlineStr">
        <is>
          <t>Revenue Model!B33:D33</t>
        </is>
      </c>
      <c r="X278">
        <f>R[-10]C[0]/R2C[0]</f>
        <v/>
      </c>
    </row>
    <row r="279">
      <c r="A279" t="inlineStr">
        <is>
          <t>Revenue Model</t>
        </is>
      </c>
      <c r="B279" t="inlineStr">
        <is>
          <t>C33</t>
        </is>
      </c>
      <c r="C279" t="n">
        <v>33</v>
      </c>
      <c r="D279" t="n">
        <v>3</v>
      </c>
      <c r="E279" t="inlineStr">
        <is>
          <t>Output</t>
        </is>
      </c>
      <c r="F279" t="inlineStr">
        <is>
          <t>'=C23/C$2</t>
        </is>
      </c>
      <c r="G279" t="n">
        <v>0.2121704073000846</v>
      </c>
      <c r="H279" t="inlineStr"/>
      <c r="I279" t="inlineStr">
        <is>
          <t>0%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G000030</t>
        </is>
      </c>
      <c r="T279" t="inlineStr">
        <is>
          <t>Horizontal</t>
        </is>
      </c>
      <c r="U279" t="n">
        <v>3</v>
      </c>
      <c r="V279" t="b">
        <v>1</v>
      </c>
      <c r="W279" t="inlineStr">
        <is>
          <t>Revenue Model!B33:D33</t>
        </is>
      </c>
      <c r="X279">
        <f>R[-10]C[0]/R2C[0]</f>
        <v/>
      </c>
    </row>
    <row r="280">
      <c r="A280" t="inlineStr">
        <is>
          <t>Revenue Model</t>
        </is>
      </c>
      <c r="B280" t="inlineStr">
        <is>
          <t>D33</t>
        </is>
      </c>
      <c r="C280" t="n">
        <v>33</v>
      </c>
      <c r="D280" t="n">
        <v>4</v>
      </c>
      <c r="E280" t="inlineStr">
        <is>
          <t>Calculation</t>
        </is>
      </c>
      <c r="F280" t="inlineStr">
        <is>
          <t>'=D23/D$2</t>
        </is>
      </c>
      <c r="G280" t="n">
        <v>0.181964844582878</v>
      </c>
      <c r="H280" t="inlineStr"/>
      <c r="I280" t="inlineStr">
        <is>
          <t>0%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G000030</t>
        </is>
      </c>
      <c r="T280" t="inlineStr">
        <is>
          <t>Horizontal</t>
        </is>
      </c>
      <c r="U280" t="n">
        <v>3</v>
      </c>
      <c r="V280" t="b">
        <v>1</v>
      </c>
      <c r="W280" t="inlineStr">
        <is>
          <t>Revenue Model!B33:D33</t>
        </is>
      </c>
      <c r="X280">
        <f>R[-10]C[0]/R2C[0]</f>
        <v/>
      </c>
    </row>
    <row r="281">
      <c r="A281" t="inlineStr">
        <is>
          <t>Revenue Model</t>
        </is>
      </c>
      <c r="B281" t="inlineStr">
        <is>
          <t>E33</t>
        </is>
      </c>
      <c r="C281" t="n">
        <v>33</v>
      </c>
      <c r="D281" t="n">
        <v>5</v>
      </c>
      <c r="E281" t="inlineStr">
        <is>
          <t>Calculation</t>
        </is>
      </c>
      <c r="F281" t="inlineStr">
        <is>
          <t>'=D33</t>
        </is>
      </c>
      <c r="G281" t="n">
        <v>0.181964844582878</v>
      </c>
      <c r="H281" t="inlineStr"/>
      <c r="I281" t="inlineStr">
        <is>
          <t>0%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inlineStr">
        <is>
          <t>G000034</t>
        </is>
      </c>
      <c r="T281" t="inlineStr">
        <is>
          <t>Horizontal</t>
        </is>
      </c>
      <c r="U281" t="n">
        <v>5</v>
      </c>
      <c r="V281" t="b">
        <v>1</v>
      </c>
      <c r="W281" t="inlineStr">
        <is>
          <t>Revenue Model!E33:I33</t>
        </is>
      </c>
      <c r="X281">
        <f>R[0]C[-1]</f>
        <v/>
      </c>
    </row>
    <row r="282">
      <c r="A282" t="inlineStr">
        <is>
          <t>Revenue Model</t>
        </is>
      </c>
      <c r="B282" t="inlineStr">
        <is>
          <t>F33</t>
        </is>
      </c>
      <c r="C282" t="n">
        <v>33</v>
      </c>
      <c r="D282" t="n">
        <v>6</v>
      </c>
      <c r="E282" t="inlineStr">
        <is>
          <t>Calculation</t>
        </is>
      </c>
      <c r="F282" t="inlineStr">
        <is>
          <t>'=E33</t>
        </is>
      </c>
      <c r="G282" t="n">
        <v>0.181964844582878</v>
      </c>
      <c r="H282" t="inlineStr"/>
      <c r="I282" t="inlineStr">
        <is>
          <t>0%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G000034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Revenue Model!E33:I33</t>
        </is>
      </c>
      <c r="X282">
        <f>R[0]C[-1]</f>
        <v/>
      </c>
    </row>
    <row r="283">
      <c r="A283" t="inlineStr">
        <is>
          <t>Revenue Model</t>
        </is>
      </c>
      <c r="B283" t="inlineStr">
        <is>
          <t>G33</t>
        </is>
      </c>
      <c r="C283" t="n">
        <v>33</v>
      </c>
      <c r="D283" t="n">
        <v>7</v>
      </c>
      <c r="E283" t="inlineStr">
        <is>
          <t>Calculation</t>
        </is>
      </c>
      <c r="F283" t="inlineStr">
        <is>
          <t>'=F33</t>
        </is>
      </c>
      <c r="G283" t="n">
        <v>0.181964844582878</v>
      </c>
      <c r="H283" t="inlineStr"/>
      <c r="I283" t="inlineStr">
        <is>
          <t>0%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G000034</t>
        </is>
      </c>
      <c r="T283" t="inlineStr">
        <is>
          <t>Horizontal</t>
        </is>
      </c>
      <c r="U283" t="n">
        <v>5</v>
      </c>
      <c r="V283" t="b">
        <v>1</v>
      </c>
      <c r="W283" t="inlineStr">
        <is>
          <t>Revenue Model!E33:I33</t>
        </is>
      </c>
      <c r="X283">
        <f>R[0]C[-1]</f>
        <v/>
      </c>
    </row>
    <row r="284">
      <c r="A284" t="inlineStr">
        <is>
          <t>Revenue Model</t>
        </is>
      </c>
      <c r="B284" t="inlineStr">
        <is>
          <t>H33</t>
        </is>
      </c>
      <c r="C284" t="n">
        <v>33</v>
      </c>
      <c r="D284" t="n">
        <v>8</v>
      </c>
      <c r="E284" t="inlineStr">
        <is>
          <t>Calculation</t>
        </is>
      </c>
      <c r="F284" t="inlineStr">
        <is>
          <t>'=G33</t>
        </is>
      </c>
      <c r="G284" t="n">
        <v>0.181964844582878</v>
      </c>
      <c r="H284" t="inlineStr"/>
      <c r="I284" t="inlineStr">
        <is>
          <t>0%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G000034</t>
        </is>
      </c>
      <c r="T284" t="inlineStr">
        <is>
          <t>Horizontal</t>
        </is>
      </c>
      <c r="U284" t="n">
        <v>5</v>
      </c>
      <c r="V284" t="b">
        <v>1</v>
      </c>
      <c r="W284" t="inlineStr">
        <is>
          <t>Revenue Model!E33:I33</t>
        </is>
      </c>
      <c r="X284">
        <f>R[0]C[-1]</f>
        <v/>
      </c>
    </row>
    <row r="285">
      <c r="A285" t="inlineStr">
        <is>
          <t>Revenue Model</t>
        </is>
      </c>
      <c r="B285" t="inlineStr">
        <is>
          <t>I33</t>
        </is>
      </c>
      <c r="C285" t="n">
        <v>33</v>
      </c>
      <c r="D285" t="n">
        <v>9</v>
      </c>
      <c r="E285" t="inlineStr">
        <is>
          <t>Calculation</t>
        </is>
      </c>
      <c r="F285" t="inlineStr">
        <is>
          <t>'=H33</t>
        </is>
      </c>
      <c r="G285" t="n">
        <v>0.181964844582878</v>
      </c>
      <c r="H285" t="inlineStr"/>
      <c r="I285" t="inlineStr">
        <is>
          <t>0%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G000034</t>
        </is>
      </c>
      <c r="T285" t="inlineStr">
        <is>
          <t>Horizontal</t>
        </is>
      </c>
      <c r="U285" t="n">
        <v>5</v>
      </c>
      <c r="V285" t="b">
        <v>1</v>
      </c>
      <c r="W285" t="inlineStr">
        <is>
          <t>Revenue Model!E33:I33</t>
        </is>
      </c>
      <c r="X285">
        <f>R[0]C[-1]</f>
        <v/>
      </c>
    </row>
    <row r="286">
      <c r="A286" t="inlineStr">
        <is>
          <t>Revenue Model</t>
        </is>
      </c>
      <c r="B286" t="inlineStr">
        <is>
          <t>B34</t>
        </is>
      </c>
      <c r="C286" t="n">
        <v>34</v>
      </c>
      <c r="D286" t="n">
        <v>2</v>
      </c>
      <c r="E286" t="inlineStr">
        <is>
          <t>Input</t>
        </is>
      </c>
      <c r="F286" t="n">
        <v/>
      </c>
      <c r="H286" t="inlineStr"/>
      <c r="I286" t="inlineStr">
        <is>
          <t>0%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0</v>
      </c>
      <c r="S286" t="n">
        <v/>
      </c>
      <c r="T286" t="n">
        <v/>
      </c>
      <c r="U286" t="n">
        <v/>
      </c>
      <c r="V286" t="b">
        <v>0</v>
      </c>
      <c r="W286" t="inlineStr"/>
      <c r="X286" t="n">
        <v/>
      </c>
    </row>
    <row r="287">
      <c r="A287" t="inlineStr">
        <is>
          <t>Revenue Model</t>
        </is>
      </c>
      <c r="B287" t="inlineStr">
        <is>
          <t>C34</t>
        </is>
      </c>
      <c r="C287" t="n">
        <v>34</v>
      </c>
      <c r="D287" t="n">
        <v>3</v>
      </c>
      <c r="E287" t="inlineStr">
        <is>
          <t>Input</t>
        </is>
      </c>
      <c r="F287" t="n">
        <v/>
      </c>
      <c r="H287" t="inlineStr"/>
      <c r="I287" t="inlineStr">
        <is>
          <t>0%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0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Revenue Model</t>
        </is>
      </c>
      <c r="B288" t="inlineStr">
        <is>
          <t>D34</t>
        </is>
      </c>
      <c r="C288" t="n">
        <v>34</v>
      </c>
      <c r="D288" t="n">
        <v>4</v>
      </c>
      <c r="E288" t="inlineStr">
        <is>
          <t>Input</t>
        </is>
      </c>
      <c r="F288" t="n">
        <v/>
      </c>
      <c r="H288" t="inlineStr"/>
      <c r="I288" t="inlineStr">
        <is>
          <t>0%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0</v>
      </c>
      <c r="S288" t="n">
        <v/>
      </c>
      <c r="T288" t="n">
        <v/>
      </c>
      <c r="U288" t="n">
        <v/>
      </c>
      <c r="V288" t="b">
        <v>0</v>
      </c>
      <c r="W288" t="inlineStr"/>
      <c r="X288" t="n">
        <v/>
      </c>
    </row>
    <row r="289">
      <c r="A289" t="inlineStr">
        <is>
          <t>Revenue Model</t>
        </is>
      </c>
      <c r="B289" t="inlineStr">
        <is>
          <t>A35</t>
        </is>
      </c>
      <c r="C289" t="n">
        <v>35</v>
      </c>
      <c r="D289" t="n">
        <v>1</v>
      </c>
      <c r="E289" t="inlineStr">
        <is>
          <t>Input</t>
        </is>
      </c>
      <c r="F289" t="n">
        <v/>
      </c>
      <c r="G289" t="inlineStr">
        <is>
          <t>Average Diesel prices</t>
        </is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Revenue Model</t>
        </is>
      </c>
      <c r="B290" t="inlineStr">
        <is>
          <t>B35</t>
        </is>
      </c>
      <c r="C290" t="n">
        <v>35</v>
      </c>
      <c r="D290" t="n">
        <v>2</v>
      </c>
      <c r="E290" t="inlineStr">
        <is>
          <t>Input</t>
        </is>
      </c>
      <c r="F290" t="n">
        <v/>
      </c>
      <c r="G290" t="n">
        <v>48.72</v>
      </c>
      <c r="H290" t="inlineStr"/>
      <c r="I290" t="inlineStr">
        <is>
          <t>General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Revenue Model</t>
        </is>
      </c>
      <c r="B291" t="inlineStr">
        <is>
          <t>C35</t>
        </is>
      </c>
      <c r="C291" t="n">
        <v>35</v>
      </c>
      <c r="D291" t="n">
        <v>3</v>
      </c>
      <c r="E291" t="inlineStr">
        <is>
          <t>Input</t>
        </is>
      </c>
      <c r="F291" t="n">
        <v/>
      </c>
      <c r="G291" t="n">
        <v>43.58</v>
      </c>
      <c r="H291" t="inlineStr"/>
      <c r="I291" t="inlineStr">
        <is>
          <t>General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Revenue Model</t>
        </is>
      </c>
      <c r="B292" t="inlineStr">
        <is>
          <t>D35</t>
        </is>
      </c>
      <c r="C292" t="n">
        <v>35</v>
      </c>
      <c r="D292" t="n">
        <v>4</v>
      </c>
      <c r="E292" t="inlineStr">
        <is>
          <t>Input</t>
        </is>
      </c>
      <c r="F292" t="n">
        <v/>
      </c>
      <c r="G292" t="n">
        <v>50.83</v>
      </c>
      <c r="H292" t="inlineStr"/>
      <c r="I292" t="inlineStr">
        <is>
          <t>General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n">
        <v/>
      </c>
      <c r="T292" t="n">
        <v/>
      </c>
      <c r="U292" t="n">
        <v/>
      </c>
      <c r="V292" t="b">
        <v>0</v>
      </c>
      <c r="W292" t="inlineStr"/>
      <c r="X292" t="n">
        <v/>
      </c>
    </row>
    <row r="293">
      <c r="A293" t="inlineStr">
        <is>
          <t>Revenue Model</t>
        </is>
      </c>
      <c r="B293" t="inlineStr">
        <is>
          <t>A36</t>
        </is>
      </c>
      <c r="C293" t="n">
        <v>36</v>
      </c>
      <c r="D293" t="n">
        <v>1</v>
      </c>
      <c r="E293" t="inlineStr">
        <is>
          <t>Input</t>
        </is>
      </c>
      <c r="F293" t="n">
        <v/>
      </c>
      <c r="G293" t="inlineStr">
        <is>
          <t>Growth</t>
        </is>
      </c>
      <c r="H293" t="inlineStr"/>
      <c r="I293" t="inlineStr">
        <is>
          <t>General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n">
        <v/>
      </c>
      <c r="T293" t="n">
        <v/>
      </c>
      <c r="U293" t="n">
        <v/>
      </c>
      <c r="V293" t="b">
        <v>0</v>
      </c>
      <c r="W293" t="inlineStr"/>
      <c r="X293" t="n">
        <v/>
      </c>
    </row>
    <row r="294">
      <c r="A294" t="inlineStr">
        <is>
          <t>Revenue Model</t>
        </is>
      </c>
      <c r="B294" t="inlineStr">
        <is>
          <t>C36</t>
        </is>
      </c>
      <c r="C294" t="n">
        <v>36</v>
      </c>
      <c r="D294" t="n">
        <v>3</v>
      </c>
      <c r="E294" t="inlineStr">
        <is>
          <t>Output</t>
        </is>
      </c>
      <c r="F294" t="inlineStr">
        <is>
          <t>'=C35/B35-1</t>
        </is>
      </c>
      <c r="G294" t="n">
        <v>-0.1055008210180625</v>
      </c>
      <c r="H294" t="inlineStr"/>
      <c r="I294" t="inlineStr">
        <is>
          <t>0%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G000012</t>
        </is>
      </c>
      <c r="T294" t="inlineStr">
        <is>
          <t>Horizontal</t>
        </is>
      </c>
      <c r="U294" t="n">
        <v>2</v>
      </c>
      <c r="V294" t="b">
        <v>1</v>
      </c>
      <c r="W294" t="inlineStr">
        <is>
          <t>Revenue Model!C36:D36</t>
        </is>
      </c>
      <c r="X294">
        <f>R[-1]C[0]/R[-1]C[-1]-1</f>
        <v/>
      </c>
    </row>
    <row r="295">
      <c r="A295" t="inlineStr">
        <is>
          <t>Revenue Model</t>
        </is>
      </c>
      <c r="B295" t="inlineStr">
        <is>
          <t>D36</t>
        </is>
      </c>
      <c r="C295" t="n">
        <v>36</v>
      </c>
      <c r="D295" t="n">
        <v>4</v>
      </c>
      <c r="E295" t="inlineStr">
        <is>
          <t>Output</t>
        </is>
      </c>
      <c r="F295" t="inlineStr">
        <is>
          <t>'=D35/C35-1</t>
        </is>
      </c>
      <c r="G295" t="n">
        <v>0.1663607159247362</v>
      </c>
      <c r="H295" t="inlineStr"/>
      <c r="I295" t="inlineStr">
        <is>
          <t>0%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G000012</t>
        </is>
      </c>
      <c r="T295" t="inlineStr">
        <is>
          <t>Horizontal</t>
        </is>
      </c>
      <c r="U295" t="n">
        <v>2</v>
      </c>
      <c r="V295" t="b">
        <v>1</v>
      </c>
      <c r="W295" t="inlineStr">
        <is>
          <t>Revenue Model!C36:D36</t>
        </is>
      </c>
      <c r="X295">
        <f>R[-1]C[0]/R[-1]C[-1]-1</f>
        <v/>
      </c>
    </row>
    <row r="296">
      <c r="A296" t="inlineStr">
        <is>
          <t>Revenue Model</t>
        </is>
      </c>
      <c r="B296" t="inlineStr">
        <is>
          <t>A37</t>
        </is>
      </c>
      <c r="C296" t="n">
        <v>37</v>
      </c>
      <c r="D296" t="n">
        <v>1</v>
      </c>
      <c r="E296" t="inlineStr">
        <is>
          <t>Input</t>
        </is>
      </c>
      <c r="F296" t="n">
        <v/>
      </c>
      <c r="G296" t="inlineStr">
        <is>
          <t>Crude</t>
        </is>
      </c>
      <c r="H296" t="inlineStr"/>
      <c r="I296" t="inlineStr">
        <is>
          <t>General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Revenue Model</t>
        </is>
      </c>
      <c r="B297" t="inlineStr">
        <is>
          <t>B37</t>
        </is>
      </c>
      <c r="C297" t="n">
        <v>37</v>
      </c>
      <c r="D297" t="n">
        <v>2</v>
      </c>
      <c r="E297" t="inlineStr">
        <is>
          <t>Input</t>
        </is>
      </c>
      <c r="F297" t="n">
        <v/>
      </c>
      <c r="G297" t="n">
        <v>53.03</v>
      </c>
      <c r="H297" t="inlineStr"/>
      <c r="I297" t="inlineStr">
        <is>
          <t>General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Revenue Model</t>
        </is>
      </c>
      <c r="B298" t="inlineStr">
        <is>
          <t>C37</t>
        </is>
      </c>
      <c r="C298" t="n">
        <v>37</v>
      </c>
      <c r="D298" t="n">
        <v>3</v>
      </c>
      <c r="E298" t="inlineStr">
        <is>
          <t>Input</t>
        </is>
      </c>
      <c r="F298" t="n">
        <v/>
      </c>
      <c r="G298" t="n">
        <v>45.13</v>
      </c>
      <c r="H298" t="inlineStr"/>
      <c r="I298" t="inlineStr">
        <is>
          <t>General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n">
        <v/>
      </c>
      <c r="T298" t="n">
        <v/>
      </c>
      <c r="U298" t="n">
        <v/>
      </c>
      <c r="V298" t="b">
        <v>0</v>
      </c>
      <c r="W298" t="inlineStr"/>
      <c r="X298" t="n">
        <v/>
      </c>
    </row>
    <row r="299">
      <c r="A299" t="inlineStr">
        <is>
          <t>Revenue Model</t>
        </is>
      </c>
      <c r="B299" t="inlineStr">
        <is>
          <t>D37</t>
        </is>
      </c>
      <c r="C299" t="n">
        <v>37</v>
      </c>
      <c r="D299" t="n">
        <v>4</v>
      </c>
      <c r="E299" t="inlineStr">
        <is>
          <t>Input</t>
        </is>
      </c>
      <c r="F299" t="n">
        <v/>
      </c>
      <c r="G299" t="n">
        <v>54.17</v>
      </c>
      <c r="H299" t="inlineStr"/>
      <c r="I299" t="inlineStr">
        <is>
          <t>General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n">
        <v/>
      </c>
      <c r="T299" t="n">
        <v/>
      </c>
      <c r="U299" t="n">
        <v/>
      </c>
      <c r="V299" t="b">
        <v>0</v>
      </c>
      <c r="W299" t="inlineStr"/>
      <c r="X299" t="n">
        <v/>
      </c>
    </row>
    <row r="300">
      <c r="A300" t="inlineStr">
        <is>
          <t>Revenue Model</t>
        </is>
      </c>
      <c r="B300" t="inlineStr">
        <is>
          <t>E37</t>
        </is>
      </c>
      <c r="C300" t="n">
        <v>37</v>
      </c>
      <c r="D300" t="n">
        <v>5</v>
      </c>
      <c r="E300" t="inlineStr">
        <is>
          <t>Input</t>
        </is>
      </c>
      <c r="F300" t="n">
        <v/>
      </c>
      <c r="G300" t="n">
        <v>72.81999999999999</v>
      </c>
      <c r="H300" t="inlineStr"/>
      <c r="I300" t="inlineStr">
        <is>
          <t>General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n">
        <v/>
      </c>
      <c r="T300" t="n">
        <v/>
      </c>
      <c r="U300" t="n">
        <v/>
      </c>
      <c r="V300" t="b">
        <v>0</v>
      </c>
      <c r="W300" t="inlineStr"/>
      <c r="X300" t="n">
        <v/>
      </c>
    </row>
    <row r="301">
      <c r="A301" t="inlineStr">
        <is>
          <t>Revenue Model</t>
        </is>
      </c>
      <c r="B301" t="inlineStr">
        <is>
          <t>C38</t>
        </is>
      </c>
      <c r="C301" t="n">
        <v>38</v>
      </c>
      <c r="D301" t="n">
        <v>3</v>
      </c>
      <c r="E301" t="inlineStr">
        <is>
          <t>Output</t>
        </is>
      </c>
      <c r="F301" t="inlineStr">
        <is>
          <t>'=C37/B37-1</t>
        </is>
      </c>
      <c r="G301" t="n">
        <v>-0.1489722798415991</v>
      </c>
      <c r="H301" t="inlineStr"/>
      <c r="I301" t="inlineStr">
        <is>
          <t>0%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G000013</t>
        </is>
      </c>
      <c r="T301" t="inlineStr">
        <is>
          <t>Horizontal</t>
        </is>
      </c>
      <c r="U301" t="n">
        <v>3</v>
      </c>
      <c r="V301" t="b">
        <v>1</v>
      </c>
      <c r="W301" t="inlineStr">
        <is>
          <t>Revenue Model!C38:E38</t>
        </is>
      </c>
      <c r="X301">
        <f>R[-1]C[0]/R[-1]C[-1]-1</f>
        <v/>
      </c>
    </row>
    <row r="302">
      <c r="A302" t="inlineStr">
        <is>
          <t>Revenue Model</t>
        </is>
      </c>
      <c r="B302" t="inlineStr">
        <is>
          <t>D38</t>
        </is>
      </c>
      <c r="C302" t="n">
        <v>38</v>
      </c>
      <c r="D302" t="n">
        <v>4</v>
      </c>
      <c r="E302" t="inlineStr">
        <is>
          <t>Output</t>
        </is>
      </c>
      <c r="F302" t="inlineStr">
        <is>
          <t>'=D37/C37-1</t>
        </is>
      </c>
      <c r="G302" t="n">
        <v>0.2003102149346332</v>
      </c>
      <c r="H302" t="inlineStr"/>
      <c r="I302" t="inlineStr">
        <is>
          <t>0%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inlineStr">
        <is>
          <t>G000013</t>
        </is>
      </c>
      <c r="T302" t="inlineStr">
        <is>
          <t>Horizontal</t>
        </is>
      </c>
      <c r="U302" t="n">
        <v>3</v>
      </c>
      <c r="V302" t="b">
        <v>1</v>
      </c>
      <c r="W302" t="inlineStr">
        <is>
          <t>Revenue Model!C38:E38</t>
        </is>
      </c>
      <c r="X302">
        <f>R[-1]C[0]/R[-1]C[-1]-1</f>
        <v/>
      </c>
    </row>
    <row r="303">
      <c r="A303" t="inlineStr">
        <is>
          <t>Revenue Model</t>
        </is>
      </c>
      <c r="B303" t="inlineStr">
        <is>
          <t>E38</t>
        </is>
      </c>
      <c r="C303" t="n">
        <v>38</v>
      </c>
      <c r="D303" t="n">
        <v>5</v>
      </c>
      <c r="E303" t="inlineStr">
        <is>
          <t>Output</t>
        </is>
      </c>
      <c r="F303" t="inlineStr">
        <is>
          <t>'=E37/D37-1</t>
        </is>
      </c>
      <c r="G303" t="n">
        <v>0.3442865054458186</v>
      </c>
      <c r="H303" t="inlineStr"/>
      <c r="I303" t="inlineStr">
        <is>
          <t>0%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G000013</t>
        </is>
      </c>
      <c r="T303" t="inlineStr">
        <is>
          <t>Horizontal</t>
        </is>
      </c>
      <c r="U303" t="n">
        <v>3</v>
      </c>
      <c r="V303" t="b">
        <v>1</v>
      </c>
      <c r="W303" t="inlineStr">
        <is>
          <t>Revenue Model!C38:E38</t>
        </is>
      </c>
      <c r="X303">
        <f>R[-1]C[0]/R[-1]C[-1]-1</f>
        <v/>
      </c>
    </row>
    <row r="304">
      <c r="A304" t="inlineStr">
        <is>
          <t>Revenue Model</t>
        </is>
      </c>
      <c r="B304" t="inlineStr">
        <is>
          <t>A39</t>
        </is>
      </c>
      <c r="C304" t="n">
        <v>39</v>
      </c>
      <c r="D304" t="n">
        <v>1</v>
      </c>
      <c r="E304" t="inlineStr">
        <is>
          <t>Input</t>
        </is>
      </c>
      <c r="F304" t="n">
        <v/>
      </c>
      <c r="G304" t="inlineStr">
        <is>
          <t>INR USD</t>
        </is>
      </c>
      <c r="H304" t="inlineStr"/>
      <c r="I304" t="inlineStr">
        <is>
          <t>General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Revenue Model</t>
        </is>
      </c>
      <c r="B305" t="inlineStr">
        <is>
          <t>B39</t>
        </is>
      </c>
      <c r="C305" t="n">
        <v>39</v>
      </c>
      <c r="D305" t="n">
        <v>2</v>
      </c>
      <c r="E305" t="inlineStr">
        <is>
          <t>Input</t>
        </is>
      </c>
      <c r="F305" t="n">
        <v/>
      </c>
      <c r="G305" t="n">
        <v>66.768</v>
      </c>
      <c r="H305" t="inlineStr"/>
      <c r="I305" t="inlineStr">
        <is>
          <t>General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n">
        <v/>
      </c>
      <c r="T305" t="n">
        <v/>
      </c>
      <c r="U305" t="n">
        <v/>
      </c>
      <c r="V305" t="b">
        <v>0</v>
      </c>
      <c r="W305" t="inlineStr"/>
      <c r="X305" t="n">
        <v/>
      </c>
    </row>
    <row r="306">
      <c r="A306" t="inlineStr">
        <is>
          <t>Revenue Model</t>
        </is>
      </c>
      <c r="B306" t="inlineStr">
        <is>
          <t>C39</t>
        </is>
      </c>
      <c r="C306" t="n">
        <v>39</v>
      </c>
      <c r="D306" t="n">
        <v>3</v>
      </c>
      <c r="E306" t="inlineStr">
        <is>
          <t>Input</t>
        </is>
      </c>
      <c r="F306" t="n">
        <v/>
      </c>
      <c r="G306" t="n">
        <v>69.596</v>
      </c>
      <c r="H306" t="inlineStr"/>
      <c r="I306" t="inlineStr">
        <is>
          <t>General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Revenue Model</t>
        </is>
      </c>
      <c r="B307" t="inlineStr">
        <is>
          <t>D39</t>
        </is>
      </c>
      <c r="C307" t="n">
        <v>39</v>
      </c>
      <c r="D307" t="n">
        <v>4</v>
      </c>
      <c r="E307" t="inlineStr">
        <is>
          <t>Input</t>
        </is>
      </c>
      <c r="F307" t="n">
        <v/>
      </c>
      <c r="G307" t="n">
        <v>67.809</v>
      </c>
      <c r="H307" t="inlineStr"/>
      <c r="I307" t="inlineStr">
        <is>
          <t>General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Revenue Model</t>
        </is>
      </c>
      <c r="B308" t="inlineStr">
        <is>
          <t>C40</t>
        </is>
      </c>
      <c r="C308" t="n">
        <v>40</v>
      </c>
      <c r="D308" t="n">
        <v>3</v>
      </c>
      <c r="E308" t="inlineStr">
        <is>
          <t>Output</t>
        </is>
      </c>
      <c r="F308" t="inlineStr">
        <is>
          <t>'=C39/B39-1</t>
        </is>
      </c>
      <c r="G308" t="n">
        <v>0.04235561945842314</v>
      </c>
      <c r="H308" t="inlineStr"/>
      <c r="I308" t="inlineStr">
        <is>
          <t>0%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inlineStr">
        <is>
          <t>G000014</t>
        </is>
      </c>
      <c r="T308" t="inlineStr">
        <is>
          <t>Horizontal</t>
        </is>
      </c>
      <c r="U308" t="n">
        <v>2</v>
      </c>
      <c r="V308" t="b">
        <v>1</v>
      </c>
      <c r="W308" t="inlineStr">
        <is>
          <t>Revenue Model!C40:D40</t>
        </is>
      </c>
      <c r="X308">
        <f>R[-1]C[0]/R[-1]C[-1]-1</f>
        <v/>
      </c>
    </row>
    <row r="309">
      <c r="A309" t="inlineStr">
        <is>
          <t>Revenue Model</t>
        </is>
      </c>
      <c r="B309" t="inlineStr">
        <is>
          <t>D40</t>
        </is>
      </c>
      <c r="C309" t="n">
        <v>40</v>
      </c>
      <c r="D309" t="n">
        <v>4</v>
      </c>
      <c r="E309" t="inlineStr">
        <is>
          <t>Output</t>
        </is>
      </c>
      <c r="F309" t="inlineStr">
        <is>
          <t>'=D39/C39-1</t>
        </is>
      </c>
      <c r="G309" t="n">
        <v>-0.02567676303235822</v>
      </c>
      <c r="H309" t="inlineStr"/>
      <c r="I309" t="inlineStr">
        <is>
          <t>0%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inlineStr">
        <is>
          <t>G000014</t>
        </is>
      </c>
      <c r="T309" t="inlineStr">
        <is>
          <t>Horizontal</t>
        </is>
      </c>
      <c r="U309" t="n">
        <v>2</v>
      </c>
      <c r="V309" t="b">
        <v>1</v>
      </c>
      <c r="W309" t="inlineStr">
        <is>
          <t>Revenue Model!C40:D40</t>
        </is>
      </c>
      <c r="X309">
        <f>R[-1]C[0]/R[-1]C[-1]-1</f>
        <v/>
      </c>
    </row>
    <row r="310">
      <c r="A310" t="inlineStr">
        <is>
          <t>Revenue Model</t>
        </is>
      </c>
      <c r="B310" t="inlineStr">
        <is>
          <t>A41</t>
        </is>
      </c>
      <c r="C310" t="n">
        <v>41</v>
      </c>
      <c r="D310" t="n">
        <v>1</v>
      </c>
      <c r="E310" t="inlineStr">
        <is>
          <t>Input</t>
        </is>
      </c>
      <c r="F310" t="n">
        <v/>
      </c>
      <c r="H310" t="inlineStr"/>
      <c r="I310" t="inlineStr">
        <is>
          <t>General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0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Revenue Model</t>
        </is>
      </c>
      <c r="B311" t="inlineStr">
        <is>
          <t>C41</t>
        </is>
      </c>
      <c r="C311" t="n">
        <v>41</v>
      </c>
      <c r="D311" t="n">
        <v>3</v>
      </c>
      <c r="E311" t="inlineStr">
        <is>
          <t>Output</t>
        </is>
      </c>
      <c r="F311" t="inlineStr">
        <is>
          <t>'=C21/B21-1</t>
        </is>
      </c>
      <c r="G311" t="n">
        <v>-0.02518295546573668</v>
      </c>
      <c r="H311" t="inlineStr"/>
      <c r="I311" t="inlineStr">
        <is>
          <t>0%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n">
        <v/>
      </c>
      <c r="P311" t="n">
        <v/>
      </c>
      <c r="R311" t="b">
        <v>1</v>
      </c>
      <c r="S311" t="inlineStr">
        <is>
          <t>G000036</t>
        </is>
      </c>
      <c r="T311" t="inlineStr">
        <is>
          <t>Horizontal</t>
        </is>
      </c>
      <c r="U311" t="n">
        <v>2</v>
      </c>
      <c r="V311" t="b">
        <v>1</v>
      </c>
      <c r="W311" t="inlineStr">
        <is>
          <t>Revenue Model!C41:D41</t>
        </is>
      </c>
      <c r="X311">
        <f>R[-20]C[0]/R[-20]C[-1]-1</f>
        <v/>
      </c>
    </row>
    <row r="312">
      <c r="A312" t="inlineStr">
        <is>
          <t>Revenue Model</t>
        </is>
      </c>
      <c r="B312" t="inlineStr">
        <is>
          <t>D41</t>
        </is>
      </c>
      <c r="C312" t="n">
        <v>41</v>
      </c>
      <c r="D312" t="n">
        <v>4</v>
      </c>
      <c r="E312" t="inlineStr">
        <is>
          <t>Output</t>
        </is>
      </c>
      <c r="F312" t="inlineStr">
        <is>
          <t>'=D21/C21-1</t>
        </is>
      </c>
      <c r="G312" t="n">
        <v>0.3025822139440311</v>
      </c>
      <c r="H312" t="inlineStr"/>
      <c r="I312" t="inlineStr">
        <is>
          <t>0%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1</v>
      </c>
      <c r="S312" t="inlineStr">
        <is>
          <t>G000036</t>
        </is>
      </c>
      <c r="T312" t="inlineStr">
        <is>
          <t>Horizontal</t>
        </is>
      </c>
      <c r="U312" t="n">
        <v>2</v>
      </c>
      <c r="V312" t="b">
        <v>1</v>
      </c>
      <c r="W312" t="inlineStr">
        <is>
          <t>Revenue Model!C41:D41</t>
        </is>
      </c>
      <c r="X312">
        <f>R[-20]C[0]/R[-20]C[-1]-1</f>
        <v/>
      </c>
    </row>
    <row r="313">
      <c r="A313" t="inlineStr">
        <is>
          <t>Revenue Model</t>
        </is>
      </c>
      <c r="B313" t="inlineStr">
        <is>
          <t>E41</t>
        </is>
      </c>
      <c r="C313" t="n">
        <v>41</v>
      </c>
      <c r="D313" t="n">
        <v>5</v>
      </c>
      <c r="E313" t="inlineStr">
        <is>
          <t>Input</t>
        </is>
      </c>
      <c r="F313" t="n">
        <v/>
      </c>
      <c r="H313" t="inlineStr"/>
      <c r="I313" t="inlineStr">
        <is>
          <t>0%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0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Revenue Model</t>
        </is>
      </c>
      <c r="B314" t="inlineStr">
        <is>
          <t>F41</t>
        </is>
      </c>
      <c r="C314" t="n">
        <v>41</v>
      </c>
      <c r="D314" t="n">
        <v>6</v>
      </c>
      <c r="E314" t="inlineStr">
        <is>
          <t>Input</t>
        </is>
      </c>
      <c r="F314" t="n">
        <v/>
      </c>
      <c r="H314" t="inlineStr"/>
      <c r="I314" t="inlineStr">
        <is>
          <t>0%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0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Revenue Model</t>
        </is>
      </c>
      <c r="B315" t="inlineStr">
        <is>
          <t>G41</t>
        </is>
      </c>
      <c r="C315" t="n">
        <v>41</v>
      </c>
      <c r="D315" t="n">
        <v>7</v>
      </c>
      <c r="E315" t="inlineStr">
        <is>
          <t>Input</t>
        </is>
      </c>
      <c r="F315" t="n">
        <v/>
      </c>
      <c r="H315" t="inlineStr"/>
      <c r="I315" t="inlineStr">
        <is>
          <t>0%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0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Revenue Model</t>
        </is>
      </c>
      <c r="B316" t="inlineStr">
        <is>
          <t>H41</t>
        </is>
      </c>
      <c r="C316" t="n">
        <v>41</v>
      </c>
      <c r="D316" t="n">
        <v>8</v>
      </c>
      <c r="E316" t="inlineStr">
        <is>
          <t>Input</t>
        </is>
      </c>
      <c r="F316" t="n">
        <v/>
      </c>
      <c r="H316" t="inlineStr"/>
      <c r="I316" t="inlineStr">
        <is>
          <t>0%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0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Revenue Model</t>
        </is>
      </c>
      <c r="B317" t="inlineStr">
        <is>
          <t>I41</t>
        </is>
      </c>
      <c r="C317" t="n">
        <v>41</v>
      </c>
      <c r="D317" t="n">
        <v>9</v>
      </c>
      <c r="E317" t="inlineStr">
        <is>
          <t>Input</t>
        </is>
      </c>
      <c r="F317" t="n">
        <v/>
      </c>
      <c r="H317" t="inlineStr"/>
      <c r="I317" t="inlineStr">
        <is>
          <t>0%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0</v>
      </c>
      <c r="S317" t="n">
        <v/>
      </c>
      <c r="T317" t="n">
        <v/>
      </c>
      <c r="U317" t="n">
        <v/>
      </c>
      <c r="V317" t="b">
        <v>0</v>
      </c>
      <c r="W317" t="inlineStr"/>
      <c r="X317" t="n">
        <v/>
      </c>
    </row>
    <row r="318">
      <c r="A318" t="inlineStr">
        <is>
          <t>Revenue Model</t>
        </is>
      </c>
      <c r="B318" t="inlineStr">
        <is>
          <t>C42</t>
        </is>
      </c>
      <c r="C318" t="n">
        <v>42</v>
      </c>
      <c r="D318" t="n">
        <v>3</v>
      </c>
      <c r="E318" t="inlineStr">
        <is>
          <t>Input</t>
        </is>
      </c>
      <c r="F318" t="n">
        <v/>
      </c>
      <c r="H318" t="inlineStr"/>
      <c r="I318" t="inlineStr">
        <is>
          <t>0%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0</v>
      </c>
      <c r="S318" t="n">
        <v/>
      </c>
      <c r="T318" t="n">
        <v/>
      </c>
      <c r="U318" t="n">
        <v/>
      </c>
      <c r="V318" t="b">
        <v>0</v>
      </c>
      <c r="W318" t="inlineStr"/>
      <c r="X318" t="n">
        <v/>
      </c>
    </row>
    <row r="319">
      <c r="A319" t="inlineStr">
        <is>
          <t>Revenue Model</t>
        </is>
      </c>
      <c r="B319" t="inlineStr">
        <is>
          <t>D42</t>
        </is>
      </c>
      <c r="C319" t="n">
        <v>42</v>
      </c>
      <c r="D319" t="n">
        <v>4</v>
      </c>
      <c r="E319" t="inlineStr">
        <is>
          <t>Input</t>
        </is>
      </c>
      <c r="F319" t="n">
        <v/>
      </c>
      <c r="H319" t="inlineStr"/>
      <c r="I319" t="inlineStr">
        <is>
          <t>0%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0</v>
      </c>
      <c r="S319" t="n">
        <v/>
      </c>
      <c r="T319" t="n">
        <v/>
      </c>
      <c r="U319" t="n">
        <v/>
      </c>
      <c r="V319" t="b">
        <v>0</v>
      </c>
      <c r="W319" t="inlineStr"/>
      <c r="X319" t="n">
        <v/>
      </c>
    </row>
    <row r="320">
      <c r="A320" t="inlineStr">
        <is>
          <t>Revenue Model</t>
        </is>
      </c>
      <c r="B320" t="inlineStr">
        <is>
          <t>C43</t>
        </is>
      </c>
      <c r="C320" t="n">
        <v>43</v>
      </c>
      <c r="D320" t="n">
        <v>3</v>
      </c>
      <c r="E320" t="inlineStr">
        <is>
          <t>Input</t>
        </is>
      </c>
      <c r="F320" t="n">
        <v/>
      </c>
      <c r="H320" t="inlineStr"/>
      <c r="I320" t="inlineStr">
        <is>
          <t>0%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0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Revenue Model</t>
        </is>
      </c>
      <c r="B321" t="inlineStr">
        <is>
          <t>D43</t>
        </is>
      </c>
      <c r="C321" t="n">
        <v>43</v>
      </c>
      <c r="D321" t="n">
        <v>4</v>
      </c>
      <c r="E321" t="inlineStr">
        <is>
          <t>Input</t>
        </is>
      </c>
      <c r="F321" t="n">
        <v/>
      </c>
      <c r="H321" t="inlineStr"/>
      <c r="I321" t="inlineStr">
        <is>
          <t>0%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0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Revenue Model</t>
        </is>
      </c>
      <c r="B322" t="inlineStr">
        <is>
          <t>C44</t>
        </is>
      </c>
      <c r="C322" t="n">
        <v>44</v>
      </c>
      <c r="D322" t="n">
        <v>3</v>
      </c>
      <c r="E322" t="inlineStr">
        <is>
          <t>Input</t>
        </is>
      </c>
      <c r="F322" t="n">
        <v/>
      </c>
      <c r="H322" t="inlineStr"/>
      <c r="I322" t="inlineStr">
        <is>
          <t>0%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0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Revenue Model</t>
        </is>
      </c>
      <c r="B323" t="inlineStr">
        <is>
          <t>D44</t>
        </is>
      </c>
      <c r="C323" t="n">
        <v>44</v>
      </c>
      <c r="D323" t="n">
        <v>4</v>
      </c>
      <c r="E323" t="inlineStr">
        <is>
          <t>Input</t>
        </is>
      </c>
      <c r="F323" t="n">
        <v/>
      </c>
      <c r="H323" t="inlineStr"/>
      <c r="I323" t="inlineStr">
        <is>
          <t>0%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0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FAS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V2" t="b">
        <v>0</v>
      </c>
      <c r="W2" t="inlineStr"/>
    </row>
    <row r="3">
      <c r="A3" t="inlineStr">
        <is>
          <t>FAS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V3" t="b">
        <v>0</v>
      </c>
      <c r="W3" t="inlineStr"/>
    </row>
    <row r="4">
      <c r="A4" t="inlineStr">
        <is>
          <t>FAS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V4" t="b">
        <v>0</v>
      </c>
      <c r="W4" t="inlineStr"/>
    </row>
    <row r="5">
      <c r="A5" t="inlineStr">
        <is>
          <t>FAS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V5" t="b">
        <v>0</v>
      </c>
      <c r="W5" t="inlineStr"/>
    </row>
    <row r="6">
      <c r="A6" t="inlineStr">
        <is>
          <t>FAS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V6" t="b">
        <v>0</v>
      </c>
      <c r="W6" t="inlineStr"/>
    </row>
    <row r="7">
      <c r="A7" t="inlineStr">
        <is>
          <t>FAS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V7" t="b">
        <v>0</v>
      </c>
      <c r="W7" t="inlineStr"/>
    </row>
    <row r="8">
      <c r="A8" t="inlineStr">
        <is>
          <t>FAS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V8" t="b">
        <v>0</v>
      </c>
      <c r="W8" t="inlineStr"/>
    </row>
    <row r="9">
      <c r="A9" t="inlineStr">
        <is>
          <t>FAS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V9" t="b">
        <v>0</v>
      </c>
      <c r="W9" t="inlineStr"/>
    </row>
    <row r="10">
      <c r="A10" t="inlineStr">
        <is>
          <t>FAS</t>
        </is>
      </c>
      <c r="B10" t="inlineStr">
        <is>
          <t>A2</t>
        </is>
      </c>
      <c r="C10" t="n">
        <v>2</v>
      </c>
      <c r="D10" t="n">
        <v>1</v>
      </c>
      <c r="E10" t="inlineStr">
        <is>
          <t>Input</t>
        </is>
      </c>
      <c r="G10" t="inlineStr">
        <is>
          <t>Freehold Non Mining Land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V10" t="b">
        <v>0</v>
      </c>
      <c r="W10" t="inlineStr"/>
    </row>
    <row r="11">
      <c r="A11" t="inlineStr">
        <is>
          <t>FAS</t>
        </is>
      </c>
      <c r="B11" t="inlineStr">
        <is>
          <t>B2</t>
        </is>
      </c>
      <c r="C11" t="n">
        <v>2</v>
      </c>
      <c r="D11" t="n">
        <v>2</v>
      </c>
      <c r="E11" t="inlineStr">
        <is>
          <t>Input</t>
        </is>
      </c>
      <c r="G11" t="n">
        <v>92.69</v>
      </c>
      <c r="H11" t="inlineStr"/>
      <c r="I11" t="inlineStr">
        <is>
          <t>_-* #,##0_-;\-* #,##0_-;_-* "-"??_-;_-@_-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V11" t="b">
        <v>0</v>
      </c>
      <c r="W11" t="inlineStr"/>
    </row>
    <row r="12">
      <c r="A12" t="inlineStr">
        <is>
          <t>FAS</t>
        </is>
      </c>
      <c r="B12" t="inlineStr">
        <is>
          <t>C2</t>
        </is>
      </c>
      <c r="C12" t="n">
        <v>2</v>
      </c>
      <c r="D12" t="n">
        <v>3</v>
      </c>
      <c r="E12" t="inlineStr">
        <is>
          <t>Input</t>
        </is>
      </c>
      <c r="G12" t="n">
        <v>130.61</v>
      </c>
      <c r="H12" t="inlineStr"/>
      <c r="I12" t="inlineStr">
        <is>
          <t>_-* #,##0_-;\-* #,##0_-;_-* "-"??_-;_-@_-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V12" t="b">
        <v>0</v>
      </c>
      <c r="W12" t="inlineStr"/>
    </row>
    <row r="13">
      <c r="A13" t="inlineStr">
        <is>
          <t>FAS</t>
        </is>
      </c>
      <c r="B13" t="inlineStr">
        <is>
          <t>D2</t>
        </is>
      </c>
      <c r="C13" t="n">
        <v>2</v>
      </c>
      <c r="D13" t="n">
        <v>4</v>
      </c>
      <c r="E13" t="inlineStr">
        <is>
          <t>Input</t>
        </is>
      </c>
      <c r="G13" t="n">
        <v>130.61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V13" t="b">
        <v>0</v>
      </c>
      <c r="W13" t="inlineStr"/>
    </row>
    <row r="14">
      <c r="A14" t="inlineStr">
        <is>
          <t>FAS</t>
        </is>
      </c>
      <c r="B14" t="inlineStr">
        <is>
          <t>A3</t>
        </is>
      </c>
      <c r="C14" t="n">
        <v>3</v>
      </c>
      <c r="D14" t="n">
        <v>1</v>
      </c>
      <c r="E14" t="inlineStr">
        <is>
          <t>Input</t>
        </is>
      </c>
      <c r="G14" t="inlineStr">
        <is>
          <t>Freehold Mining Land</t>
        </is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V14" t="b">
        <v>0</v>
      </c>
      <c r="W14" t="inlineStr"/>
    </row>
    <row r="15">
      <c r="A15" t="inlineStr">
        <is>
          <t>FAS</t>
        </is>
      </c>
      <c r="B15" t="inlineStr">
        <is>
          <t>B3</t>
        </is>
      </c>
      <c r="C15" t="n">
        <v>3</v>
      </c>
      <c r="D15" t="n">
        <v>2</v>
      </c>
      <c r="E15" t="inlineStr">
        <is>
          <t>Input</t>
        </is>
      </c>
      <c r="G15" t="n">
        <v>296.85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V15" t="b">
        <v>0</v>
      </c>
      <c r="W15" t="inlineStr"/>
    </row>
    <row r="16">
      <c r="A16" t="inlineStr">
        <is>
          <t>FAS</t>
        </is>
      </c>
      <c r="B16" t="inlineStr">
        <is>
          <t>C3</t>
        </is>
      </c>
      <c r="C16" t="n">
        <v>3</v>
      </c>
      <c r="D16" t="n">
        <v>3</v>
      </c>
      <c r="E16" t="inlineStr">
        <is>
          <t>Input</t>
        </is>
      </c>
      <c r="G16" t="n">
        <v>303.09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V16" t="b">
        <v>0</v>
      </c>
      <c r="W16" t="inlineStr"/>
    </row>
    <row r="17">
      <c r="A17" t="inlineStr">
        <is>
          <t>FAS</t>
        </is>
      </c>
      <c r="B17" t="inlineStr">
        <is>
          <t>D3</t>
        </is>
      </c>
      <c r="C17" t="n">
        <v>3</v>
      </c>
      <c r="D17" t="n">
        <v>4</v>
      </c>
      <c r="E17" t="inlineStr">
        <is>
          <t>Input</t>
        </is>
      </c>
      <c r="G17" t="n">
        <v>304.3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V17" t="b">
        <v>0</v>
      </c>
      <c r="W17" t="inlineStr"/>
    </row>
    <row r="18">
      <c r="A18" t="inlineStr">
        <is>
          <t>FAS</t>
        </is>
      </c>
      <c r="B18" t="inlineStr">
        <is>
          <t>A4</t>
        </is>
      </c>
      <c r="C18" t="n">
        <v>4</v>
      </c>
      <c r="D18" t="n">
        <v>1</v>
      </c>
      <c r="E18" t="inlineStr">
        <is>
          <t>Input</t>
        </is>
      </c>
      <c r="G18" t="inlineStr">
        <is>
          <t>Leasehold Land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V18" t="b">
        <v>0</v>
      </c>
      <c r="W18" t="inlineStr"/>
    </row>
    <row r="19">
      <c r="A19" t="inlineStr">
        <is>
          <t>FAS</t>
        </is>
      </c>
      <c r="B19" t="inlineStr">
        <is>
          <t>B4</t>
        </is>
      </c>
      <c r="C19" t="n">
        <v>4</v>
      </c>
      <c r="D19" t="n">
        <v>2</v>
      </c>
      <c r="E19" t="inlineStr">
        <is>
          <t>Input</t>
        </is>
      </c>
      <c r="G19" t="n">
        <v>40.05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V19" t="b">
        <v>0</v>
      </c>
      <c r="W19" t="inlineStr"/>
    </row>
    <row r="20">
      <c r="A20" t="inlineStr">
        <is>
          <t>FAS</t>
        </is>
      </c>
      <c r="B20" t="inlineStr">
        <is>
          <t>C4</t>
        </is>
      </c>
      <c r="C20" t="n">
        <v>4</v>
      </c>
      <c r="D20" t="n">
        <v>3</v>
      </c>
      <c r="E20" t="inlineStr">
        <is>
          <t>Input</t>
        </is>
      </c>
      <c r="G20" t="n">
        <v>36.1</v>
      </c>
      <c r="H20" t="inlineStr"/>
      <c r="I20" t="inlineStr">
        <is>
          <t>_-* #,##0_-;\-* #,##0_-;_-* "-"??_-;_-@_-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V20" t="b">
        <v>0</v>
      </c>
      <c r="W20" t="inlineStr"/>
    </row>
    <row r="21">
      <c r="A21" t="inlineStr">
        <is>
          <t>FAS</t>
        </is>
      </c>
      <c r="B21" t="inlineStr">
        <is>
          <t>D4</t>
        </is>
      </c>
      <c r="C21" t="n">
        <v>4</v>
      </c>
      <c r="D21" t="n">
        <v>4</v>
      </c>
      <c r="E21" t="inlineStr">
        <is>
          <t>Input</t>
        </is>
      </c>
      <c r="G21" t="n">
        <v>38.46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V21" t="b">
        <v>0</v>
      </c>
      <c r="W21" t="inlineStr"/>
    </row>
    <row r="22">
      <c r="A22" t="inlineStr">
        <is>
          <t>FAS</t>
        </is>
      </c>
      <c r="B22" t="inlineStr">
        <is>
          <t>A5</t>
        </is>
      </c>
      <c r="C22" t="n">
        <v>5</v>
      </c>
      <c r="D22" t="n">
        <v>1</v>
      </c>
      <c r="E22" t="inlineStr">
        <is>
          <t>Input</t>
        </is>
      </c>
      <c r="G22" t="inlineStr">
        <is>
          <t>Buildings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V22" t="b">
        <v>0</v>
      </c>
      <c r="W22" t="inlineStr"/>
    </row>
    <row r="23">
      <c r="A23" t="inlineStr">
        <is>
          <t>FAS</t>
        </is>
      </c>
      <c r="B23" t="inlineStr">
        <is>
          <t>B5</t>
        </is>
      </c>
      <c r="C23" t="n">
        <v>5</v>
      </c>
      <c r="D23" t="n">
        <v>2</v>
      </c>
      <c r="E23" t="inlineStr">
        <is>
          <t>Input</t>
        </is>
      </c>
      <c r="G23" t="n">
        <v>928.5599999999999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V23" t="b">
        <v>0</v>
      </c>
      <c r="W23" t="inlineStr"/>
    </row>
    <row r="24">
      <c r="A24" t="inlineStr">
        <is>
          <t>FAS</t>
        </is>
      </c>
      <c r="B24" t="inlineStr">
        <is>
          <t>C5</t>
        </is>
      </c>
      <c r="C24" t="n">
        <v>5</v>
      </c>
      <c r="D24" t="n">
        <v>3</v>
      </c>
      <c r="E24" t="inlineStr">
        <is>
          <t>Input</t>
        </is>
      </c>
      <c r="G24" t="n">
        <v>1515.39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V24" t="b">
        <v>0</v>
      </c>
      <c r="W24" t="inlineStr"/>
    </row>
    <row r="25">
      <c r="A25" t="inlineStr">
        <is>
          <t>FAS</t>
        </is>
      </c>
      <c r="B25" t="inlineStr">
        <is>
          <t>D5</t>
        </is>
      </c>
      <c r="C25" t="n">
        <v>5</v>
      </c>
      <c r="D25" t="n">
        <v>4</v>
      </c>
      <c r="E25" t="inlineStr">
        <is>
          <t>Input</t>
        </is>
      </c>
      <c r="G25" t="n">
        <v>1472.4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V25" t="b">
        <v>0</v>
      </c>
      <c r="W25" t="inlineStr"/>
    </row>
    <row r="26">
      <c r="A26" t="inlineStr">
        <is>
          <t>FAS</t>
        </is>
      </c>
      <c r="B26" t="inlineStr">
        <is>
          <t>A6</t>
        </is>
      </c>
      <c r="C26" t="n">
        <v>6</v>
      </c>
      <c r="D26" t="n">
        <v>1</v>
      </c>
      <c r="E26" t="inlineStr">
        <is>
          <t>Input</t>
        </is>
      </c>
      <c r="G26" t="inlineStr">
        <is>
          <t>Plant and Equipment</t>
        </is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V26" t="b">
        <v>0</v>
      </c>
      <c r="W26" t="inlineStr"/>
    </row>
    <row r="27">
      <c r="A27" t="inlineStr">
        <is>
          <t>FAS</t>
        </is>
      </c>
      <c r="B27" t="inlineStr">
        <is>
          <t>B6</t>
        </is>
      </c>
      <c r="C27" t="n">
        <v>6</v>
      </c>
      <c r="D27" t="n">
        <v>2</v>
      </c>
      <c r="E27" t="inlineStr">
        <is>
          <t>Input</t>
        </is>
      </c>
      <c r="G27" t="n">
        <v>3763.42</v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V27" t="b">
        <v>0</v>
      </c>
      <c r="W27" t="inlineStr"/>
    </row>
    <row r="28">
      <c r="A28" t="inlineStr">
        <is>
          <t>FAS</t>
        </is>
      </c>
      <c r="B28" t="inlineStr">
        <is>
          <t>C6</t>
        </is>
      </c>
      <c r="C28" t="n">
        <v>6</v>
      </c>
      <c r="D28" t="n">
        <v>3</v>
      </c>
      <c r="E28" t="inlineStr">
        <is>
          <t>Input</t>
        </is>
      </c>
      <c r="G28" t="n">
        <v>5264.32</v>
      </c>
      <c r="H28" t="inlineStr"/>
      <c r="I28" t="inlineStr">
        <is>
          <t>_-* #,##0_-;\-* #,##0_-;_-* "-"??_-;_-@_-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V28" t="b">
        <v>0</v>
      </c>
      <c r="W28" t="inlineStr"/>
    </row>
    <row r="29">
      <c r="A29" t="inlineStr">
        <is>
          <t>FAS</t>
        </is>
      </c>
      <c r="B29" t="inlineStr">
        <is>
          <t>D6</t>
        </is>
      </c>
      <c r="C29" t="n">
        <v>6</v>
      </c>
      <c r="D29" t="n">
        <v>4</v>
      </c>
      <c r="E29" t="inlineStr">
        <is>
          <t>Input</t>
        </is>
      </c>
      <c r="G29" t="n">
        <v>4984.63</v>
      </c>
      <c r="H29" t="inlineStr"/>
      <c r="I29" t="inlineStr">
        <is>
          <t>_-* #,##0_-;\-* #,##0_-;_-* "-"??_-;_-@_-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V29" t="b">
        <v>0</v>
      </c>
      <c r="W29" t="inlineStr"/>
    </row>
    <row r="30">
      <c r="A30" t="inlineStr">
        <is>
          <t>FAS</t>
        </is>
      </c>
      <c r="B30" t="inlineStr">
        <is>
          <t>A7</t>
        </is>
      </c>
      <c r="C30" t="n">
        <v>7</v>
      </c>
      <c r="D30" t="n">
        <v>1</v>
      </c>
      <c r="E30" t="inlineStr">
        <is>
          <t>Input</t>
        </is>
      </c>
      <c r="G30" t="inlineStr">
        <is>
          <t>Railway Sidings</t>
        </is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V30" t="b">
        <v>0</v>
      </c>
      <c r="W30" t="inlineStr"/>
    </row>
    <row r="31">
      <c r="A31" t="inlineStr">
        <is>
          <t>FAS</t>
        </is>
      </c>
      <c r="B31" t="inlineStr">
        <is>
          <t>B7</t>
        </is>
      </c>
      <c r="C31" t="n">
        <v>7</v>
      </c>
      <c r="D31" t="n">
        <v>2</v>
      </c>
      <c r="E31" t="inlineStr">
        <is>
          <t>Input</t>
        </is>
      </c>
      <c r="G31" t="n">
        <v>109.03</v>
      </c>
      <c r="H31" t="inlineStr"/>
      <c r="I31" t="inlineStr">
        <is>
          <t>_-* #,##0_-;\-* #,##0_-;_-* "-"??_-;_-@_-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V31" t="b">
        <v>0</v>
      </c>
      <c r="W31" t="inlineStr"/>
    </row>
    <row r="32">
      <c r="A32" t="inlineStr">
        <is>
          <t>FAS</t>
        </is>
      </c>
      <c r="B32" t="inlineStr">
        <is>
          <t>C7</t>
        </is>
      </c>
      <c r="C32" t="n">
        <v>7</v>
      </c>
      <c r="D32" t="n">
        <v>3</v>
      </c>
      <c r="E32" t="inlineStr">
        <is>
          <t>Input</t>
        </is>
      </c>
      <c r="G32" t="n">
        <v>181.92</v>
      </c>
      <c r="H32" t="inlineStr"/>
      <c r="I32" t="inlineStr">
        <is>
          <t>_-* #,##0_-;\-* #,##0_-;_-* "-"??_-;_-@_-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V32" t="b">
        <v>0</v>
      </c>
      <c r="W32" t="inlineStr"/>
    </row>
    <row r="33">
      <c r="A33" t="inlineStr">
        <is>
          <t>FAS</t>
        </is>
      </c>
      <c r="B33" t="inlineStr">
        <is>
          <t>D7</t>
        </is>
      </c>
      <c r="C33" t="n">
        <v>7</v>
      </c>
      <c r="D33" t="n">
        <v>4</v>
      </c>
      <c r="E33" t="inlineStr">
        <is>
          <t>Input</t>
        </is>
      </c>
      <c r="G33" t="n">
        <v>212.14</v>
      </c>
      <c r="H33" t="inlineStr"/>
      <c r="I33" t="inlineStr">
        <is>
          <t>_-* #,##0_-;\-* #,##0_-;_-* "-"??_-;_-@_-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V33" t="b">
        <v>0</v>
      </c>
      <c r="W33" t="inlineStr"/>
    </row>
    <row r="34">
      <c r="A34" t="inlineStr">
        <is>
          <t>FAS</t>
        </is>
      </c>
      <c r="B34" t="inlineStr">
        <is>
          <t>A8</t>
        </is>
      </c>
      <c r="C34" t="n">
        <v>8</v>
      </c>
      <c r="D34" t="n">
        <v>1</v>
      </c>
      <c r="E34" t="inlineStr">
        <is>
          <t>Input</t>
        </is>
      </c>
      <c r="G34" t="inlineStr">
        <is>
          <t>Furniture and Fixtures</t>
        </is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V34" t="b">
        <v>0</v>
      </c>
      <c r="W34" t="inlineStr"/>
    </row>
    <row r="35">
      <c r="A35" t="inlineStr">
        <is>
          <t>FAS</t>
        </is>
      </c>
      <c r="B35" t="inlineStr">
        <is>
          <t>B8</t>
        </is>
      </c>
      <c r="C35" t="n">
        <v>8</v>
      </c>
      <c r="D35" t="n">
        <v>2</v>
      </c>
      <c r="E35" t="inlineStr">
        <is>
          <t>Input</t>
        </is>
      </c>
      <c r="G35" t="n">
        <v>19.67</v>
      </c>
      <c r="H35" t="inlineStr"/>
      <c r="I35" t="inlineStr">
        <is>
          <t>_-* #,##0_-;\-* #,##0_-;_-* "-"??_-;_-@_-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V35" t="b">
        <v>0</v>
      </c>
      <c r="W35" t="inlineStr"/>
    </row>
    <row r="36">
      <c r="A36" t="inlineStr">
        <is>
          <t>FAS</t>
        </is>
      </c>
      <c r="B36" t="inlineStr">
        <is>
          <t>C8</t>
        </is>
      </c>
      <c r="C36" t="n">
        <v>8</v>
      </c>
      <c r="D36" t="n">
        <v>3</v>
      </c>
      <c r="E36" t="inlineStr">
        <is>
          <t>Input</t>
        </is>
      </c>
      <c r="G36" t="n">
        <v>18.72</v>
      </c>
      <c r="H36" t="inlineStr"/>
      <c r="I36" t="inlineStr">
        <is>
          <t>_-* #,##0_-;\-* #,##0_-;_-* "-"??_-;_-@_-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V36" t="b">
        <v>0</v>
      </c>
      <c r="W36" t="inlineStr"/>
    </row>
    <row r="37">
      <c r="A37" t="inlineStr">
        <is>
          <t>FAS</t>
        </is>
      </c>
      <c r="B37" t="inlineStr">
        <is>
          <t>D8</t>
        </is>
      </c>
      <c r="C37" t="n">
        <v>8</v>
      </c>
      <c r="D37" t="n">
        <v>4</v>
      </c>
      <c r="E37" t="inlineStr">
        <is>
          <t>Input</t>
        </is>
      </c>
      <c r="G37" t="n">
        <v>16.51</v>
      </c>
      <c r="H37" t="inlineStr"/>
      <c r="I37" t="inlineStr">
        <is>
          <t>_-* #,##0_-;\-* #,##0_-;_-* "-"??_-;_-@_-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V37" t="b">
        <v>0</v>
      </c>
      <c r="W37" t="inlineStr"/>
    </row>
    <row r="38">
      <c r="A38" t="inlineStr">
        <is>
          <t>FAS</t>
        </is>
      </c>
      <c r="B38" t="inlineStr">
        <is>
          <t>A9</t>
        </is>
      </c>
      <c r="C38" t="n">
        <v>9</v>
      </c>
      <c r="D38" t="n">
        <v>1</v>
      </c>
      <c r="E38" t="inlineStr">
        <is>
          <t>Input</t>
        </is>
      </c>
      <c r="G38" t="inlineStr">
        <is>
          <t>Vehicles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V38" t="b">
        <v>0</v>
      </c>
      <c r="W38" t="inlineStr"/>
    </row>
    <row r="39">
      <c r="A39" t="inlineStr">
        <is>
          <t>FAS</t>
        </is>
      </c>
      <c r="B39" t="inlineStr">
        <is>
          <t>B9</t>
        </is>
      </c>
      <c r="C39" t="n">
        <v>9</v>
      </c>
      <c r="D39" t="n">
        <v>2</v>
      </c>
      <c r="E39" t="inlineStr">
        <is>
          <t>Input</t>
        </is>
      </c>
      <c r="G39" t="n">
        <v>33.78</v>
      </c>
      <c r="H39" t="inlineStr"/>
      <c r="I39" t="inlineStr">
        <is>
          <t>_-* #,##0_-;\-* #,##0_-;_-* "-"??_-;_-@_-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V39" t="b">
        <v>0</v>
      </c>
      <c r="W39" t="inlineStr"/>
    </row>
    <row r="40">
      <c r="A40" t="inlineStr">
        <is>
          <t>FAS</t>
        </is>
      </c>
      <c r="B40" t="inlineStr">
        <is>
          <t>C9</t>
        </is>
      </c>
      <c r="C40" t="n">
        <v>9</v>
      </c>
      <c r="D40" t="n">
        <v>3</v>
      </c>
      <c r="E40" t="inlineStr">
        <is>
          <t>Input</t>
        </is>
      </c>
      <c r="G40" t="n">
        <v>41.91</v>
      </c>
      <c r="H40" t="inlineStr"/>
      <c r="I40" t="inlineStr">
        <is>
          <t>_-* #,##0_-;\-* #,##0_-;_-* "-"??_-;_-@_-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V40" t="b">
        <v>0</v>
      </c>
      <c r="W40" t="inlineStr"/>
    </row>
    <row r="41">
      <c r="A41" t="inlineStr">
        <is>
          <t>FAS</t>
        </is>
      </c>
      <c r="B41" t="inlineStr">
        <is>
          <t>D9</t>
        </is>
      </c>
      <c r="C41" t="n">
        <v>9</v>
      </c>
      <c r="D41" t="n">
        <v>4</v>
      </c>
      <c r="E41" t="inlineStr">
        <is>
          <t>Input</t>
        </is>
      </c>
      <c r="G41" t="n">
        <v>39.33</v>
      </c>
      <c r="H41" t="inlineStr"/>
      <c r="I41" t="inlineStr">
        <is>
          <t>_-* #,##0_-;\-* #,##0_-;_-* "-"??_-;_-@_-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V41" t="b">
        <v>0</v>
      </c>
      <c r="W41" t="inlineStr"/>
    </row>
    <row r="42">
      <c r="A42" t="inlineStr">
        <is>
          <t>FAS</t>
        </is>
      </c>
      <c r="B42" t="inlineStr">
        <is>
          <t>A10</t>
        </is>
      </c>
      <c r="C42" t="n">
        <v>10</v>
      </c>
      <c r="D42" t="n">
        <v>1</v>
      </c>
      <c r="E42" t="inlineStr">
        <is>
          <t>Input</t>
        </is>
      </c>
      <c r="G42" t="inlineStr">
        <is>
          <t>Office equipment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V42" t="b">
        <v>0</v>
      </c>
      <c r="W42" t="inlineStr"/>
    </row>
    <row r="43">
      <c r="A43" t="inlineStr">
        <is>
          <t>FAS</t>
        </is>
      </c>
      <c r="B43" t="inlineStr">
        <is>
          <t>B10</t>
        </is>
      </c>
      <c r="C43" t="n">
        <v>10</v>
      </c>
      <c r="D43" t="n">
        <v>2</v>
      </c>
      <c r="E43" t="inlineStr">
        <is>
          <t>Input</t>
        </is>
      </c>
      <c r="G43" t="n">
        <v>30.95</v>
      </c>
      <c r="H43" t="inlineStr"/>
      <c r="I43" t="inlineStr">
        <is>
          <t>_-* #,##0_-;\-* #,##0_-;_-* "-"??_-;_-@_-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V43" t="b">
        <v>0</v>
      </c>
      <c r="W43" t="inlineStr"/>
    </row>
    <row r="44">
      <c r="A44" t="inlineStr">
        <is>
          <t>FAS</t>
        </is>
      </c>
      <c r="B44" t="inlineStr">
        <is>
          <t>C10</t>
        </is>
      </c>
      <c r="C44" t="n">
        <v>10</v>
      </c>
      <c r="D44" t="n">
        <v>3</v>
      </c>
      <c r="E44" t="inlineStr">
        <is>
          <t>Input</t>
        </is>
      </c>
      <c r="G44" t="n">
        <v>32.42</v>
      </c>
      <c r="H44" t="inlineStr"/>
      <c r="I44" t="inlineStr">
        <is>
          <t>_-* #,##0_-;\-* #,##0_-;_-* "-"??_-;_-@_-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V44" t="b">
        <v>0</v>
      </c>
      <c r="W44" t="inlineStr"/>
    </row>
    <row r="45">
      <c r="A45" t="inlineStr">
        <is>
          <t>FAS</t>
        </is>
      </c>
      <c r="B45" t="inlineStr">
        <is>
          <t>D10</t>
        </is>
      </c>
      <c r="C45" t="n">
        <v>10</v>
      </c>
      <c r="D45" t="n">
        <v>4</v>
      </c>
      <c r="E45" t="inlineStr">
        <is>
          <t>Input</t>
        </is>
      </c>
      <c r="G45" t="n">
        <v>26.08</v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V45" t="b">
        <v>0</v>
      </c>
      <c r="W45" t="inlineStr"/>
    </row>
    <row r="46">
      <c r="A46" t="inlineStr">
        <is>
          <t>FAS</t>
        </is>
      </c>
      <c r="B46" t="inlineStr">
        <is>
          <t>B11</t>
        </is>
      </c>
      <c r="C46" t="n">
        <v>11</v>
      </c>
      <c r="D46" t="n">
        <v>2</v>
      </c>
      <c r="E46" t="inlineStr">
        <is>
          <t>Input</t>
        </is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0</v>
      </c>
      <c r="V46" t="b">
        <v>0</v>
      </c>
      <c r="W46" t="inlineStr"/>
    </row>
    <row r="47">
      <c r="A47" t="inlineStr">
        <is>
          <t>FAS</t>
        </is>
      </c>
      <c r="B47" t="inlineStr">
        <is>
          <t>C11</t>
        </is>
      </c>
      <c r="C47" t="n">
        <v>11</v>
      </c>
      <c r="D47" t="n">
        <v>3</v>
      </c>
      <c r="E47" t="inlineStr">
        <is>
          <t>Input</t>
        </is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0</v>
      </c>
      <c r="V47" t="b">
        <v>0</v>
      </c>
      <c r="W47" t="inlineStr"/>
    </row>
    <row r="48">
      <c r="A48" t="inlineStr">
        <is>
          <t>FAS</t>
        </is>
      </c>
      <c r="B48" t="inlineStr">
        <is>
          <t>D11</t>
        </is>
      </c>
      <c r="C48" t="n">
        <v>11</v>
      </c>
      <c r="D48" t="n">
        <v>4</v>
      </c>
      <c r="E48" t="inlineStr">
        <is>
          <t>Input</t>
        </is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0</v>
      </c>
      <c r="V48" t="b">
        <v>0</v>
      </c>
      <c r="W48" t="inlineStr"/>
    </row>
    <row r="49">
      <c r="A49" t="inlineStr">
        <is>
          <t>FAS</t>
        </is>
      </c>
      <c r="B49" t="inlineStr">
        <is>
          <t>A12</t>
        </is>
      </c>
      <c r="C49" t="n">
        <v>12</v>
      </c>
      <c r="D49" t="n">
        <v>1</v>
      </c>
      <c r="E49" t="inlineStr">
        <is>
          <t>Input</t>
        </is>
      </c>
      <c r="G49" t="inlineStr">
        <is>
          <t>Computer Software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V49" t="b">
        <v>0</v>
      </c>
      <c r="W49" t="inlineStr"/>
    </row>
    <row r="50">
      <c r="A50" t="inlineStr">
        <is>
          <t>FAS</t>
        </is>
      </c>
      <c r="B50" t="inlineStr">
        <is>
          <t>B12</t>
        </is>
      </c>
      <c r="C50" t="n">
        <v>12</v>
      </c>
      <c r="D50" t="n">
        <v>2</v>
      </c>
      <c r="E50" t="inlineStr">
        <is>
          <t>Input</t>
        </is>
      </c>
      <c r="G50" t="n">
        <v>0.25</v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V50" t="b">
        <v>0</v>
      </c>
      <c r="W50" t="inlineStr"/>
    </row>
    <row r="51">
      <c r="A51" t="inlineStr">
        <is>
          <t>FAS</t>
        </is>
      </c>
      <c r="B51" t="inlineStr">
        <is>
          <t>C12</t>
        </is>
      </c>
      <c r="C51" t="n">
        <v>12</v>
      </c>
      <c r="D51" t="n">
        <v>3</v>
      </c>
      <c r="E51" t="inlineStr">
        <is>
          <t>Input</t>
        </is>
      </c>
      <c r="G51" t="n">
        <v>3.63</v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V51" t="b">
        <v>0</v>
      </c>
      <c r="W51" t="inlineStr"/>
    </row>
    <row r="52">
      <c r="A52" t="inlineStr">
        <is>
          <t>FAS</t>
        </is>
      </c>
      <c r="B52" t="inlineStr">
        <is>
          <t>D12</t>
        </is>
      </c>
      <c r="C52" t="n">
        <v>12</v>
      </c>
      <c r="D52" t="n">
        <v>4</v>
      </c>
      <c r="E52" t="inlineStr">
        <is>
          <t>Input</t>
        </is>
      </c>
      <c r="G52" t="n">
        <v>1.63</v>
      </c>
      <c r="H52" t="inlineStr"/>
      <c r="I52" t="inlineStr">
        <is>
          <t>_-* #,##0_-;\-* #,##0_-;_-* "-"??_-;_-@_-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V52" t="b">
        <v>0</v>
      </c>
      <c r="W52" t="inlineStr"/>
    </row>
    <row r="53">
      <c r="A53" t="inlineStr">
        <is>
          <t>FAS</t>
        </is>
      </c>
      <c r="B53" t="inlineStr">
        <is>
          <t>A13</t>
        </is>
      </c>
      <c r="C53" t="n">
        <v>13</v>
      </c>
      <c r="D53" t="n">
        <v>1</v>
      </c>
      <c r="E53" t="inlineStr">
        <is>
          <t>Input</t>
        </is>
      </c>
      <c r="G53" t="inlineStr">
        <is>
          <t>Mining Rights</t>
        </is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V53" t="b">
        <v>0</v>
      </c>
      <c r="W53" t="inlineStr"/>
    </row>
    <row r="54">
      <c r="A54" t="inlineStr">
        <is>
          <t>FAS</t>
        </is>
      </c>
      <c r="B54" t="inlineStr">
        <is>
          <t>B13</t>
        </is>
      </c>
      <c r="C54" t="n">
        <v>13</v>
      </c>
      <c r="D54" t="n">
        <v>2</v>
      </c>
      <c r="E54" t="inlineStr">
        <is>
          <t>Input</t>
        </is>
      </c>
      <c r="G54" t="n">
        <v>15.57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V54" t="b">
        <v>0</v>
      </c>
      <c r="W54" t="inlineStr"/>
    </row>
    <row r="55">
      <c r="A55" t="inlineStr">
        <is>
          <t>FAS</t>
        </is>
      </c>
      <c r="B55" t="inlineStr">
        <is>
          <t>C13</t>
        </is>
      </c>
      <c r="C55" t="n">
        <v>13</v>
      </c>
      <c r="D55" t="n">
        <v>3</v>
      </c>
      <c r="E55" t="inlineStr">
        <is>
          <t>Input</t>
        </is>
      </c>
      <c r="G55" t="n">
        <v>24.09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V55" t="b">
        <v>0</v>
      </c>
      <c r="W55" t="inlineStr"/>
    </row>
    <row r="56">
      <c r="A56" t="inlineStr">
        <is>
          <t>FAS</t>
        </is>
      </c>
      <c r="B56" t="inlineStr">
        <is>
          <t>D13</t>
        </is>
      </c>
      <c r="C56" t="n">
        <v>13</v>
      </c>
      <c r="D56" t="n">
        <v>4</v>
      </c>
      <c r="E56" t="inlineStr">
        <is>
          <t>Input</t>
        </is>
      </c>
      <c r="G56" t="n">
        <v>38.4</v>
      </c>
      <c r="H56" t="inlineStr"/>
      <c r="I56" t="inlineStr">
        <is>
          <t>_-* #,##0_-;\-* #,##0_-;_-* "-"??_-;_-@_-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V56" t="b">
        <v>0</v>
      </c>
      <c r="W56" t="inlineStr"/>
    </row>
    <row r="57">
      <c r="A57" t="inlineStr">
        <is>
          <t>FAS</t>
        </is>
      </c>
      <c r="B57" t="inlineStr">
        <is>
          <t>B14</t>
        </is>
      </c>
      <c r="C57" t="n">
        <v>14</v>
      </c>
      <c r="D57" t="n">
        <v>2</v>
      </c>
      <c r="E57" t="inlineStr">
        <is>
          <t>Input</t>
        </is>
      </c>
      <c r="H57" t="inlineStr"/>
      <c r="I57" t="inlineStr">
        <is>
          <t>_-* #,##0_-;\-* #,##0_-;_-* "-"??_-;_-@_-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0</v>
      </c>
      <c r="V57" t="b">
        <v>0</v>
      </c>
      <c r="W57" t="inlineStr"/>
    </row>
    <row r="58">
      <c r="A58" t="inlineStr">
        <is>
          <t>FAS</t>
        </is>
      </c>
      <c r="B58" t="inlineStr">
        <is>
          <t>C14</t>
        </is>
      </c>
      <c r="C58" t="n">
        <v>14</v>
      </c>
      <c r="D58" t="n">
        <v>3</v>
      </c>
      <c r="E58" t="inlineStr">
        <is>
          <t>Input</t>
        </is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0</v>
      </c>
      <c r="V58" t="b">
        <v>0</v>
      </c>
      <c r="W58" t="inlineStr"/>
    </row>
    <row r="59">
      <c r="A59" t="inlineStr">
        <is>
          <t>FAS</t>
        </is>
      </c>
      <c r="B59" t="inlineStr">
        <is>
          <t>D14</t>
        </is>
      </c>
      <c r="C59" t="n">
        <v>14</v>
      </c>
      <c r="D59" t="n">
        <v>4</v>
      </c>
      <c r="E59" t="inlineStr">
        <is>
          <t>Input</t>
        </is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0</v>
      </c>
      <c r="V59" t="b">
        <v>0</v>
      </c>
      <c r="W59" t="inlineStr"/>
    </row>
    <row r="60">
      <c r="A60" t="inlineStr">
        <is>
          <t>FAS</t>
        </is>
      </c>
      <c r="B60" t="inlineStr">
        <is>
          <t>B15</t>
        </is>
      </c>
      <c r="C60" t="n">
        <v>15</v>
      </c>
      <c r="D60" t="n">
        <v>2</v>
      </c>
      <c r="E60" t="inlineStr">
        <is>
          <t>Input</t>
        </is>
      </c>
      <c r="H60" t="inlineStr"/>
      <c r="I60" t="inlineStr">
        <is>
          <t>_-* #,##0_-;\-* #,##0_-;_-* "-"??_-;_-@_-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0</v>
      </c>
      <c r="V60" t="b">
        <v>0</v>
      </c>
      <c r="W60" t="inlineStr"/>
    </row>
    <row r="61">
      <c r="A61" t="inlineStr">
        <is>
          <t>FAS</t>
        </is>
      </c>
      <c r="B61" t="inlineStr">
        <is>
          <t>C15</t>
        </is>
      </c>
      <c r="C61" t="n">
        <v>15</v>
      </c>
      <c r="D61" t="n">
        <v>3</v>
      </c>
      <c r="E61" t="inlineStr">
        <is>
          <t>Input</t>
        </is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V61" t="b">
        <v>0</v>
      </c>
      <c r="W61" t="inlineStr"/>
    </row>
    <row r="62">
      <c r="A62" t="inlineStr">
        <is>
          <t>FAS</t>
        </is>
      </c>
      <c r="B62" t="inlineStr">
        <is>
          <t>D15</t>
        </is>
      </c>
      <c r="C62" t="n">
        <v>15</v>
      </c>
      <c r="D62" t="n">
        <v>4</v>
      </c>
      <c r="E62" t="inlineStr">
        <is>
          <t>Input</t>
        </is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V62" t="b">
        <v>0</v>
      </c>
      <c r="W62" t="inlineStr"/>
    </row>
    <row r="63">
      <c r="A63" t="inlineStr">
        <is>
          <t>FAS</t>
        </is>
      </c>
      <c r="B63" t="inlineStr">
        <is>
          <t>B16</t>
        </is>
      </c>
      <c r="C63" t="n">
        <v>16</v>
      </c>
      <c r="D63" t="n">
        <v>2</v>
      </c>
      <c r="E63" t="inlineStr">
        <is>
          <t>Input</t>
        </is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V63" t="b">
        <v>0</v>
      </c>
      <c r="W63" t="inlineStr"/>
    </row>
    <row r="64">
      <c r="A64" t="inlineStr">
        <is>
          <t>FAS</t>
        </is>
      </c>
      <c r="B64" t="inlineStr">
        <is>
          <t>C16</t>
        </is>
      </c>
      <c r="C64" t="n">
        <v>16</v>
      </c>
      <c r="D64" t="n">
        <v>3</v>
      </c>
      <c r="E64" t="inlineStr">
        <is>
          <t>Input</t>
        </is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V64" t="b">
        <v>0</v>
      </c>
      <c r="W64" t="inlineStr"/>
    </row>
    <row r="65">
      <c r="A65" t="inlineStr">
        <is>
          <t>FAS</t>
        </is>
      </c>
      <c r="B65" t="inlineStr">
        <is>
          <t>D16</t>
        </is>
      </c>
      <c r="C65" t="n">
        <v>16</v>
      </c>
      <c r="D65" t="n">
        <v>4</v>
      </c>
      <c r="E65" t="inlineStr">
        <is>
          <t>Input</t>
        </is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V65" t="b">
        <v>0</v>
      </c>
      <c r="W65" t="inlineStr"/>
    </row>
    <row r="66">
      <c r="A66" t="inlineStr">
        <is>
          <t>FAS</t>
        </is>
      </c>
      <c r="B66" t="inlineStr">
        <is>
          <t>A17</t>
        </is>
      </c>
      <c r="C66" t="n">
        <v>17</v>
      </c>
      <c r="D66" t="n">
        <v>1</v>
      </c>
      <c r="E66" t="inlineStr">
        <is>
          <t>Input</t>
        </is>
      </c>
      <c r="G66" t="inlineStr">
        <is>
          <t>Freehold Non Mining Land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V66" t="b">
        <v>0</v>
      </c>
      <c r="W66" t="inlineStr"/>
    </row>
    <row r="67">
      <c r="A67" t="inlineStr">
        <is>
          <t>FAS</t>
        </is>
      </c>
      <c r="B67" t="inlineStr">
        <is>
          <t>B17</t>
        </is>
      </c>
      <c r="C67" t="n">
        <v>17</v>
      </c>
      <c r="D67" t="n">
        <v>2</v>
      </c>
      <c r="E67" t="inlineStr">
        <is>
          <t>Input</t>
        </is>
      </c>
      <c r="G67" t="inlineStr">
        <is>
          <t>-</t>
        </is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V67" t="b">
        <v>0</v>
      </c>
      <c r="W67" t="inlineStr"/>
    </row>
    <row r="68">
      <c r="A68" t="inlineStr">
        <is>
          <t>FAS</t>
        </is>
      </c>
      <c r="B68" t="inlineStr">
        <is>
          <t>C17</t>
        </is>
      </c>
      <c r="C68" t="n">
        <v>17</v>
      </c>
      <c r="D68" t="n">
        <v>3</v>
      </c>
      <c r="E68" t="inlineStr">
        <is>
          <t>Input</t>
        </is>
      </c>
      <c r="G68" t="inlineStr">
        <is>
          <t>-</t>
        </is>
      </c>
      <c r="H68" t="inlineStr"/>
      <c r="I68" t="inlineStr">
        <is>
          <t>_-* #,##0_-;\-* #,##0_-;_-* "-"??_-;_-@_-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V68" t="b">
        <v>0</v>
      </c>
      <c r="W68" t="inlineStr"/>
    </row>
    <row r="69">
      <c r="A69" t="inlineStr">
        <is>
          <t>FAS</t>
        </is>
      </c>
      <c r="B69" t="inlineStr">
        <is>
          <t>D17</t>
        </is>
      </c>
      <c r="C69" t="n">
        <v>17</v>
      </c>
      <c r="D69" t="n">
        <v>4</v>
      </c>
      <c r="E69" t="inlineStr">
        <is>
          <t>Input</t>
        </is>
      </c>
      <c r="G69" t="inlineStr">
        <is>
          <t>-</t>
        </is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V69" t="b">
        <v>0</v>
      </c>
      <c r="W69" t="inlineStr"/>
    </row>
    <row r="70">
      <c r="A70" t="inlineStr">
        <is>
          <t>FAS</t>
        </is>
      </c>
      <c r="B70" t="inlineStr">
        <is>
          <t>A18</t>
        </is>
      </c>
      <c r="C70" t="n">
        <v>18</v>
      </c>
      <c r="D70" t="n">
        <v>1</v>
      </c>
      <c r="E70" t="inlineStr">
        <is>
          <t>Input</t>
        </is>
      </c>
      <c r="G70" t="inlineStr">
        <is>
          <t>Freehold Mining Land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V70" t="b">
        <v>0</v>
      </c>
      <c r="W70" t="inlineStr"/>
    </row>
    <row r="71">
      <c r="A71" t="inlineStr">
        <is>
          <t>FAS</t>
        </is>
      </c>
      <c r="B71" t="inlineStr">
        <is>
          <t>B18</t>
        </is>
      </c>
      <c r="C71" t="n">
        <v>18</v>
      </c>
      <c r="D71" t="n">
        <v>2</v>
      </c>
      <c r="E71" t="inlineStr">
        <is>
          <t>Input</t>
        </is>
      </c>
      <c r="G71" t="n">
        <v>0.25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V71" t="b">
        <v>0</v>
      </c>
      <c r="W71" t="inlineStr"/>
    </row>
    <row r="72">
      <c r="A72" t="inlineStr">
        <is>
          <t>FAS</t>
        </is>
      </c>
      <c r="B72" t="inlineStr">
        <is>
          <t>C18</t>
        </is>
      </c>
      <c r="C72" t="n">
        <v>18</v>
      </c>
      <c r="D72" t="n">
        <v>3</v>
      </c>
      <c r="E72" t="inlineStr">
        <is>
          <t>Input</t>
        </is>
      </c>
      <c r="G72" t="n">
        <v>0.24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V72" t="b">
        <v>0</v>
      </c>
      <c r="W72" t="inlineStr"/>
    </row>
    <row r="73">
      <c r="A73" t="inlineStr">
        <is>
          <t>FAS</t>
        </is>
      </c>
      <c r="B73" t="inlineStr">
        <is>
          <t>D18</t>
        </is>
      </c>
      <c r="C73" t="n">
        <v>18</v>
      </c>
      <c r="D73" t="n">
        <v>4</v>
      </c>
      <c r="E73" t="inlineStr">
        <is>
          <t>Input</t>
        </is>
      </c>
      <c r="G73" t="n">
        <v>0.27</v>
      </c>
      <c r="H73" t="inlineStr"/>
      <c r="I73" t="inlineStr">
        <is>
          <t>_-* #,##0_-;\-* #,##0_-;_-* "-"??_-;_-@_-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V73" t="b">
        <v>0</v>
      </c>
      <c r="W73" t="inlineStr"/>
    </row>
    <row r="74">
      <c r="A74" t="inlineStr">
        <is>
          <t>FAS</t>
        </is>
      </c>
      <c r="B74" t="inlineStr">
        <is>
          <t>A19</t>
        </is>
      </c>
      <c r="C74" t="n">
        <v>19</v>
      </c>
      <c r="D74" t="n">
        <v>1</v>
      </c>
      <c r="E74" t="inlineStr">
        <is>
          <t>Input</t>
        </is>
      </c>
      <c r="G74" t="inlineStr">
        <is>
          <t>Leasehold Land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V74" t="b">
        <v>0</v>
      </c>
      <c r="W74" t="inlineStr"/>
    </row>
    <row r="75">
      <c r="A75" t="inlineStr">
        <is>
          <t>FAS</t>
        </is>
      </c>
      <c r="B75" t="inlineStr">
        <is>
          <t>B19</t>
        </is>
      </c>
      <c r="C75" t="n">
        <v>19</v>
      </c>
      <c r="D75" t="n">
        <v>2</v>
      </c>
      <c r="E75" t="inlineStr">
        <is>
          <t>Input</t>
        </is>
      </c>
      <c r="G75" t="n">
        <v>4.72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V75" t="b">
        <v>0</v>
      </c>
      <c r="W75" t="inlineStr"/>
    </row>
    <row r="76">
      <c r="A76" t="inlineStr">
        <is>
          <t>FAS</t>
        </is>
      </c>
      <c r="B76" t="inlineStr">
        <is>
          <t>C19</t>
        </is>
      </c>
      <c r="C76" t="n">
        <v>19</v>
      </c>
      <c r="D76" t="n">
        <v>3</v>
      </c>
      <c r="E76" t="inlineStr">
        <is>
          <t>Input</t>
        </is>
      </c>
      <c r="G76" t="n">
        <v>0.29</v>
      </c>
      <c r="H76" t="inlineStr"/>
      <c r="I76" t="inlineStr">
        <is>
          <t>_-* #,##0_-;\-* #,##0_-;_-* "-"??_-;_-@_-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V76" t="b">
        <v>0</v>
      </c>
      <c r="W76" t="inlineStr"/>
    </row>
    <row r="77">
      <c r="A77" t="inlineStr">
        <is>
          <t>FAS</t>
        </is>
      </c>
      <c r="B77" t="inlineStr">
        <is>
          <t>D19</t>
        </is>
      </c>
      <c r="C77" t="n">
        <v>19</v>
      </c>
      <c r="D77" t="n">
        <v>4</v>
      </c>
      <c r="E77" t="inlineStr">
        <is>
          <t>Input</t>
        </is>
      </c>
      <c r="G77" t="n">
        <v>0.51</v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V77" t="b">
        <v>0</v>
      </c>
      <c r="W77" t="inlineStr"/>
    </row>
    <row r="78">
      <c r="A78" t="inlineStr">
        <is>
          <t>FAS</t>
        </is>
      </c>
      <c r="B78" t="inlineStr">
        <is>
          <t>A20</t>
        </is>
      </c>
      <c r="C78" t="n">
        <v>20</v>
      </c>
      <c r="D78" t="n">
        <v>1</v>
      </c>
      <c r="E78" t="inlineStr">
        <is>
          <t>Input</t>
        </is>
      </c>
      <c r="G78" t="inlineStr">
        <is>
          <t>Buildings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V78" t="b">
        <v>0</v>
      </c>
      <c r="W78" t="inlineStr"/>
    </row>
    <row r="79">
      <c r="A79" t="inlineStr">
        <is>
          <t>FAS</t>
        </is>
      </c>
      <c r="B79" t="inlineStr">
        <is>
          <t>B20</t>
        </is>
      </c>
      <c r="C79" t="n">
        <v>20</v>
      </c>
      <c r="D79" t="n">
        <v>2</v>
      </c>
      <c r="E79" t="inlineStr">
        <is>
          <t>Input</t>
        </is>
      </c>
      <c r="G79" t="n">
        <v>75.12</v>
      </c>
      <c r="H79" t="inlineStr"/>
      <c r="I79" t="inlineStr">
        <is>
          <t>_-* #,##0_-;\-* #,##0_-;_-* "-"??_-;_-@_-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V79" t="b">
        <v>0</v>
      </c>
      <c r="W79" t="inlineStr"/>
    </row>
    <row r="80">
      <c r="A80" t="inlineStr">
        <is>
          <t>FAS</t>
        </is>
      </c>
      <c r="B80" t="inlineStr">
        <is>
          <t>C20</t>
        </is>
      </c>
      <c r="C80" t="n">
        <v>20</v>
      </c>
      <c r="D80" t="n">
        <v>3</v>
      </c>
      <c r="E80" t="inlineStr">
        <is>
          <t>Input</t>
        </is>
      </c>
      <c r="G80" t="n">
        <v>65.23999999999999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V80" t="b">
        <v>0</v>
      </c>
      <c r="W80" t="inlineStr"/>
    </row>
    <row r="81">
      <c r="A81" t="inlineStr">
        <is>
          <t>FAS</t>
        </is>
      </c>
      <c r="B81" t="inlineStr">
        <is>
          <t>D20</t>
        </is>
      </c>
      <c r="C81" t="n">
        <v>20</v>
      </c>
      <c r="D81" t="n">
        <v>4</v>
      </c>
      <c r="E81" t="inlineStr">
        <is>
          <t>Input</t>
        </is>
      </c>
      <c r="G81" t="n">
        <v>77.91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V81" t="b">
        <v>0</v>
      </c>
      <c r="W81" t="inlineStr"/>
    </row>
    <row r="82">
      <c r="A82" t="inlineStr">
        <is>
          <t>FAS</t>
        </is>
      </c>
      <c r="B82" t="inlineStr">
        <is>
          <t>A21</t>
        </is>
      </c>
      <c r="C82" t="n">
        <v>21</v>
      </c>
      <c r="D82" t="n">
        <v>1</v>
      </c>
      <c r="E82" t="inlineStr">
        <is>
          <t>Input</t>
        </is>
      </c>
      <c r="G82" t="inlineStr">
        <is>
          <t>Plant and Equipment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V82" t="b">
        <v>0</v>
      </c>
      <c r="W82" t="inlineStr"/>
    </row>
    <row r="83">
      <c r="A83" t="inlineStr">
        <is>
          <t>FAS</t>
        </is>
      </c>
      <c r="B83" t="inlineStr">
        <is>
          <t>B21</t>
        </is>
      </c>
      <c r="C83" t="n">
        <v>21</v>
      </c>
      <c r="D83" t="n">
        <v>2</v>
      </c>
      <c r="E83" t="inlineStr">
        <is>
          <t>Input</t>
        </is>
      </c>
      <c r="G83" t="n">
        <v>527.11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V83" t="b">
        <v>0</v>
      </c>
      <c r="W83" t="inlineStr"/>
    </row>
    <row r="84">
      <c r="A84" t="inlineStr">
        <is>
          <t>FAS</t>
        </is>
      </c>
      <c r="B84" t="inlineStr">
        <is>
          <t>C21</t>
        </is>
      </c>
      <c r="C84" t="n">
        <v>21</v>
      </c>
      <c r="D84" t="n">
        <v>3</v>
      </c>
      <c r="E84" t="inlineStr">
        <is>
          <t>Input</t>
        </is>
      </c>
      <c r="G84" t="n">
        <v>498.55</v>
      </c>
      <c r="H84" t="inlineStr"/>
      <c r="I84" t="inlineStr">
        <is>
          <t>_-* #,##0_-;\-* #,##0_-;_-* "-"??_-;_-@_-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V84" t="b">
        <v>0</v>
      </c>
      <c r="W84" t="inlineStr"/>
    </row>
    <row r="85">
      <c r="A85" t="inlineStr">
        <is>
          <t>FAS</t>
        </is>
      </c>
      <c r="B85" t="inlineStr">
        <is>
          <t>D21</t>
        </is>
      </c>
      <c r="C85" t="n">
        <v>21</v>
      </c>
      <c r="D85" t="n">
        <v>4</v>
      </c>
      <c r="E85" t="inlineStr">
        <is>
          <t>Input</t>
        </is>
      </c>
      <c r="G85" t="n">
        <v>514.24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V85" t="b">
        <v>0</v>
      </c>
      <c r="W85" t="inlineStr"/>
    </row>
    <row r="86">
      <c r="A86" t="inlineStr">
        <is>
          <t>FAS</t>
        </is>
      </c>
      <c r="B86" t="inlineStr">
        <is>
          <t>A22</t>
        </is>
      </c>
      <c r="C86" t="n">
        <v>22</v>
      </c>
      <c r="D86" t="n">
        <v>1</v>
      </c>
      <c r="E86" t="inlineStr">
        <is>
          <t>Input</t>
        </is>
      </c>
      <c r="G86" t="inlineStr">
        <is>
          <t>Railway Sidings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V86" t="b">
        <v>0</v>
      </c>
      <c r="W86" t="inlineStr"/>
    </row>
    <row r="87">
      <c r="A87" t="inlineStr">
        <is>
          <t>FAS</t>
        </is>
      </c>
      <c r="B87" t="inlineStr">
        <is>
          <t>B22</t>
        </is>
      </c>
      <c r="C87" t="n">
        <v>22</v>
      </c>
      <c r="D87" t="n">
        <v>2</v>
      </c>
      <c r="E87" t="inlineStr">
        <is>
          <t>Input</t>
        </is>
      </c>
      <c r="G87" t="n">
        <v>13.23</v>
      </c>
      <c r="H87" t="inlineStr"/>
      <c r="I87" t="inlineStr">
        <is>
          <t>_-* #,##0_-;\-* #,##0_-;_-* "-"??_-;_-@_-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V87" t="b">
        <v>0</v>
      </c>
      <c r="W87" t="inlineStr"/>
    </row>
    <row r="88">
      <c r="A88" t="inlineStr">
        <is>
          <t>FAS</t>
        </is>
      </c>
      <c r="B88" t="inlineStr">
        <is>
          <t>C22</t>
        </is>
      </c>
      <c r="C88" t="n">
        <v>22</v>
      </c>
      <c r="D88" t="n">
        <v>3</v>
      </c>
      <c r="E88" t="inlineStr">
        <is>
          <t>Input</t>
        </is>
      </c>
      <c r="G88" t="n">
        <v>14.29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V88" t="b">
        <v>0</v>
      </c>
      <c r="W88" t="inlineStr"/>
    </row>
    <row r="89">
      <c r="A89" t="inlineStr">
        <is>
          <t>FAS</t>
        </is>
      </c>
      <c r="B89" t="inlineStr">
        <is>
          <t>D22</t>
        </is>
      </c>
      <c r="C89" t="n">
        <v>22</v>
      </c>
      <c r="D89" t="n">
        <v>4</v>
      </c>
      <c r="E89" t="inlineStr">
        <is>
          <t>Input</t>
        </is>
      </c>
      <c r="G89" t="n">
        <v>20.06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V89" t="b">
        <v>0</v>
      </c>
      <c r="W89" t="inlineStr"/>
    </row>
    <row r="90">
      <c r="A90" t="inlineStr">
        <is>
          <t>FAS</t>
        </is>
      </c>
      <c r="B90" t="inlineStr">
        <is>
          <t>A23</t>
        </is>
      </c>
      <c r="C90" t="n">
        <v>23</v>
      </c>
      <c r="D90" t="n">
        <v>1</v>
      </c>
      <c r="E90" t="inlineStr">
        <is>
          <t>Input</t>
        </is>
      </c>
      <c r="G90" t="inlineStr">
        <is>
          <t>Furniture and Fixtures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V90" t="b">
        <v>0</v>
      </c>
      <c r="W90" t="inlineStr"/>
    </row>
    <row r="91">
      <c r="A91" t="inlineStr">
        <is>
          <t>FAS</t>
        </is>
      </c>
      <c r="B91" t="inlineStr">
        <is>
          <t>B23</t>
        </is>
      </c>
      <c r="C91" t="n">
        <v>23</v>
      </c>
      <c r="D91" t="n">
        <v>2</v>
      </c>
      <c r="E91" t="inlineStr">
        <is>
          <t>Input</t>
        </is>
      </c>
      <c r="G91" t="n">
        <v>5.96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V91" t="b">
        <v>0</v>
      </c>
      <c r="W91" t="inlineStr"/>
    </row>
    <row r="92">
      <c r="A92" t="inlineStr">
        <is>
          <t>FAS</t>
        </is>
      </c>
      <c r="B92" t="inlineStr">
        <is>
          <t>C23</t>
        </is>
      </c>
      <c r="C92" t="n">
        <v>23</v>
      </c>
      <c r="D92" t="n">
        <v>3</v>
      </c>
      <c r="E92" t="inlineStr">
        <is>
          <t>Input</t>
        </is>
      </c>
      <c r="G92" t="n">
        <v>4.71</v>
      </c>
      <c r="H92" t="inlineStr"/>
      <c r="I92" t="inlineStr">
        <is>
          <t>_-* #,##0_-;\-* #,##0_-;_-* "-"??_-;_-@_-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V92" t="b">
        <v>0</v>
      </c>
      <c r="W92" t="inlineStr"/>
    </row>
    <row r="93">
      <c r="A93" t="inlineStr">
        <is>
          <t>FAS</t>
        </is>
      </c>
      <c r="B93" t="inlineStr">
        <is>
          <t>D23</t>
        </is>
      </c>
      <c r="C93" t="n">
        <v>23</v>
      </c>
      <c r="D93" t="n">
        <v>4</v>
      </c>
      <c r="E93" t="inlineStr">
        <is>
          <t>Input</t>
        </is>
      </c>
      <c r="G93" t="n">
        <v>4.52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V93" t="b">
        <v>0</v>
      </c>
      <c r="W93" t="inlineStr"/>
    </row>
    <row r="94">
      <c r="A94" t="inlineStr">
        <is>
          <t>FAS</t>
        </is>
      </c>
      <c r="B94" t="inlineStr">
        <is>
          <t>A24</t>
        </is>
      </c>
      <c r="C94" t="n">
        <v>24</v>
      </c>
      <c r="D94" t="n">
        <v>1</v>
      </c>
      <c r="E94" t="inlineStr">
        <is>
          <t>Input</t>
        </is>
      </c>
      <c r="G94" t="inlineStr">
        <is>
          <t>Vehicles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V94" t="b">
        <v>0</v>
      </c>
      <c r="W94" t="inlineStr"/>
    </row>
    <row r="95">
      <c r="A95" t="inlineStr">
        <is>
          <t>FAS</t>
        </is>
      </c>
      <c r="B95" t="inlineStr">
        <is>
          <t>B24</t>
        </is>
      </c>
      <c r="C95" t="n">
        <v>24</v>
      </c>
      <c r="D95" t="n">
        <v>2</v>
      </c>
      <c r="E95" t="inlineStr">
        <is>
          <t>Input</t>
        </is>
      </c>
      <c r="G95" t="n">
        <v>7.66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V95" t="b">
        <v>0</v>
      </c>
      <c r="W95" t="inlineStr"/>
    </row>
    <row r="96">
      <c r="A96" t="inlineStr">
        <is>
          <t>FAS</t>
        </is>
      </c>
      <c r="B96" t="inlineStr">
        <is>
          <t>C24</t>
        </is>
      </c>
      <c r="C96" t="n">
        <v>24</v>
      </c>
      <c r="D96" t="n">
        <v>3</v>
      </c>
      <c r="E96" t="inlineStr">
        <is>
          <t>Input</t>
        </is>
      </c>
      <c r="G96" t="n">
        <v>8.779999999999999</v>
      </c>
      <c r="H96" t="inlineStr"/>
      <c r="I96" t="inlineStr">
        <is>
          <t>_-* #,##0_-;\-* #,##0_-;_-* "-"??_-;_-@_-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V96" t="b">
        <v>0</v>
      </c>
      <c r="W96" t="inlineStr"/>
    </row>
    <row r="97">
      <c r="A97" t="inlineStr">
        <is>
          <t>FAS</t>
        </is>
      </c>
      <c r="B97" t="inlineStr">
        <is>
          <t>D24</t>
        </is>
      </c>
      <c r="C97" t="n">
        <v>24</v>
      </c>
      <c r="D97" t="n">
        <v>4</v>
      </c>
      <c r="E97" t="inlineStr">
        <is>
          <t>Input</t>
        </is>
      </c>
      <c r="G97" t="n">
        <v>9.289999999999999</v>
      </c>
      <c r="H97" t="inlineStr"/>
      <c r="I97" t="inlineStr">
        <is>
          <t>_-* #,##0_-;\-* #,##0_-;_-* "-"??_-;_-@_-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V97" t="b">
        <v>0</v>
      </c>
      <c r="W97" t="inlineStr"/>
    </row>
    <row r="98">
      <c r="A98" t="inlineStr">
        <is>
          <t>FAS</t>
        </is>
      </c>
      <c r="B98" t="inlineStr">
        <is>
          <t>A25</t>
        </is>
      </c>
      <c r="C98" t="n">
        <v>25</v>
      </c>
      <c r="D98" t="n">
        <v>1</v>
      </c>
      <c r="E98" t="inlineStr">
        <is>
          <t>Input</t>
        </is>
      </c>
      <c r="G98" t="inlineStr">
        <is>
          <t>Office equipment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V98" t="b">
        <v>0</v>
      </c>
      <c r="W98" t="inlineStr"/>
    </row>
    <row r="99">
      <c r="A99" t="inlineStr">
        <is>
          <t>FAS</t>
        </is>
      </c>
      <c r="B99" t="inlineStr">
        <is>
          <t>B25</t>
        </is>
      </c>
      <c r="C99" t="n">
        <v>25</v>
      </c>
      <c r="D99" t="n">
        <v>2</v>
      </c>
      <c r="E99" t="inlineStr">
        <is>
          <t>Input</t>
        </is>
      </c>
      <c r="G99" t="n">
        <v>23.32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V99" t="b">
        <v>0</v>
      </c>
      <c r="W99" t="inlineStr"/>
    </row>
    <row r="100">
      <c r="A100" t="inlineStr">
        <is>
          <t>FAS</t>
        </is>
      </c>
      <c r="B100" t="inlineStr">
        <is>
          <t>C25</t>
        </is>
      </c>
      <c r="C100" t="n">
        <v>25</v>
      </c>
      <c r="D100" t="n">
        <v>3</v>
      </c>
      <c r="E100" t="inlineStr">
        <is>
          <t>Input</t>
        </is>
      </c>
      <c r="G100" t="n">
        <v>14</v>
      </c>
      <c r="H100" t="inlineStr"/>
      <c r="I100" t="inlineStr">
        <is>
          <t>_-* #,##0_-;\-* #,##0_-;_-* "-"??_-;_-@_-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V100" t="b">
        <v>0</v>
      </c>
      <c r="W100" t="inlineStr"/>
    </row>
    <row r="101">
      <c r="A101" t="inlineStr">
        <is>
          <t>FAS</t>
        </is>
      </c>
      <c r="B101" t="inlineStr">
        <is>
          <t>D25</t>
        </is>
      </c>
      <c r="C101" t="n">
        <v>25</v>
      </c>
      <c r="D101" t="n">
        <v>4</v>
      </c>
      <c r="E101" t="inlineStr">
        <is>
          <t>Input</t>
        </is>
      </c>
      <c r="G101" t="n">
        <v>13.56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V101" t="b">
        <v>0</v>
      </c>
      <c r="W101" t="inlineStr"/>
    </row>
    <row r="102">
      <c r="A102" t="inlineStr">
        <is>
          <t>FAS</t>
        </is>
      </c>
      <c r="B102" t="inlineStr">
        <is>
          <t>B26</t>
        </is>
      </c>
      <c r="C102" t="n">
        <v>26</v>
      </c>
      <c r="D102" t="n">
        <v>2</v>
      </c>
      <c r="E102" t="inlineStr">
        <is>
          <t>Input</t>
        </is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0</v>
      </c>
      <c r="V102" t="b">
        <v>0</v>
      </c>
      <c r="W102" t="inlineStr"/>
    </row>
    <row r="103">
      <c r="A103" t="inlineStr">
        <is>
          <t>FAS</t>
        </is>
      </c>
      <c r="B103" t="inlineStr">
        <is>
          <t>C26</t>
        </is>
      </c>
      <c r="C103" t="n">
        <v>26</v>
      </c>
      <c r="D103" t="n">
        <v>3</v>
      </c>
      <c r="E103" t="inlineStr">
        <is>
          <t>Input</t>
        </is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0</v>
      </c>
      <c r="V103" t="b">
        <v>0</v>
      </c>
      <c r="W103" t="inlineStr"/>
    </row>
    <row r="104">
      <c r="A104" t="inlineStr">
        <is>
          <t>FAS</t>
        </is>
      </c>
      <c r="B104" t="inlineStr">
        <is>
          <t>D26</t>
        </is>
      </c>
      <c r="C104" t="n">
        <v>26</v>
      </c>
      <c r="D104" t="n">
        <v>4</v>
      </c>
      <c r="E104" t="inlineStr">
        <is>
          <t>Input</t>
        </is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V104" t="b">
        <v>0</v>
      </c>
      <c r="W104" t="inlineStr"/>
    </row>
    <row r="105">
      <c r="A105" t="inlineStr">
        <is>
          <t>FAS</t>
        </is>
      </c>
      <c r="B105" t="inlineStr">
        <is>
          <t>A27</t>
        </is>
      </c>
      <c r="C105" t="n">
        <v>27</v>
      </c>
      <c r="D105" t="n">
        <v>1</v>
      </c>
      <c r="E105" t="inlineStr">
        <is>
          <t>Input</t>
        </is>
      </c>
      <c r="G105" t="inlineStr">
        <is>
          <t>Computer Software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V105" t="b">
        <v>0</v>
      </c>
      <c r="W105" t="inlineStr"/>
    </row>
    <row r="106">
      <c r="A106" t="inlineStr">
        <is>
          <t>FAS</t>
        </is>
      </c>
      <c r="B106" t="inlineStr">
        <is>
          <t>B27</t>
        </is>
      </c>
      <c r="C106" t="n">
        <v>27</v>
      </c>
      <c r="D106" t="n">
        <v>2</v>
      </c>
      <c r="E106" t="inlineStr">
        <is>
          <t>Input</t>
        </is>
      </c>
      <c r="G106" t="n">
        <v>0.5600000000000001</v>
      </c>
      <c r="H106" t="inlineStr"/>
      <c r="I106" t="inlineStr">
        <is>
          <t>_-* #,##0_-;\-* #,##0_-;_-* "-"??_-;_-@_-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V106" t="b">
        <v>0</v>
      </c>
      <c r="W106" t="inlineStr"/>
    </row>
    <row r="107">
      <c r="A107" t="inlineStr">
        <is>
          <t>FAS</t>
        </is>
      </c>
      <c r="B107" t="inlineStr">
        <is>
          <t>C27</t>
        </is>
      </c>
      <c r="C107" t="n">
        <v>27</v>
      </c>
      <c r="D107" t="n">
        <v>3</v>
      </c>
      <c r="E107" t="inlineStr">
        <is>
          <t>Input</t>
        </is>
      </c>
      <c r="G107" t="n">
        <v>0.36</v>
      </c>
      <c r="H107" t="inlineStr"/>
      <c r="I107" t="inlineStr">
        <is>
          <t>_-* #,##0_-;\-* #,##0_-;_-* "-"??_-;_-@_-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V107" t="b">
        <v>0</v>
      </c>
      <c r="W107" t="inlineStr"/>
    </row>
    <row r="108">
      <c r="A108" t="inlineStr">
        <is>
          <t>FAS</t>
        </is>
      </c>
      <c r="B108" t="inlineStr">
        <is>
          <t>D27</t>
        </is>
      </c>
      <c r="C108" t="n">
        <v>27</v>
      </c>
      <c r="D108" t="n">
        <v>4</v>
      </c>
      <c r="E108" t="inlineStr">
        <is>
          <t>Input</t>
        </is>
      </c>
      <c r="G108" t="n">
        <v>0.79</v>
      </c>
      <c r="H108" t="inlineStr"/>
      <c r="I108" t="inlineStr">
        <is>
          <t>_-* #,##0_-;\-* #,##0_-;_-* "-"??_-;_-@_-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V108" t="b">
        <v>0</v>
      </c>
      <c r="W108" t="inlineStr"/>
    </row>
    <row r="109">
      <c r="A109" t="inlineStr">
        <is>
          <t>FAS</t>
        </is>
      </c>
      <c r="B109" t="inlineStr">
        <is>
          <t>A28</t>
        </is>
      </c>
      <c r="C109" t="n">
        <v>28</v>
      </c>
      <c r="D109" t="n">
        <v>1</v>
      </c>
      <c r="E109" t="inlineStr">
        <is>
          <t>Input</t>
        </is>
      </c>
      <c r="G109" t="inlineStr">
        <is>
          <t>Mining Rights</t>
        </is>
      </c>
      <c r="H109" t="inlineStr"/>
      <c r="I109" t="inlineStr">
        <is>
          <t>General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V109" t="b">
        <v>0</v>
      </c>
      <c r="W109" t="inlineStr"/>
    </row>
    <row r="110">
      <c r="A110" t="inlineStr">
        <is>
          <t>FAS</t>
        </is>
      </c>
      <c r="B110" t="inlineStr">
        <is>
          <t>B28</t>
        </is>
      </c>
      <c r="C110" t="n">
        <v>28</v>
      </c>
      <c r="D110" t="n">
        <v>2</v>
      </c>
      <c r="E110" t="inlineStr">
        <is>
          <t>Input</t>
        </is>
      </c>
      <c r="G110" t="n">
        <v>5.88</v>
      </c>
      <c r="H110" t="inlineStr"/>
      <c r="I110" t="inlineStr">
        <is>
          <t>_-* #,##0_-;\-* #,##0_-;_-* "-"??_-;_-@_-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V110" t="b">
        <v>0</v>
      </c>
      <c r="W110" t="inlineStr"/>
    </row>
    <row r="111">
      <c r="A111" t="inlineStr">
        <is>
          <t>FAS</t>
        </is>
      </c>
      <c r="B111" t="inlineStr">
        <is>
          <t>C28</t>
        </is>
      </c>
      <c r="C111" t="n">
        <v>28</v>
      </c>
      <c r="D111" t="n">
        <v>3</v>
      </c>
      <c r="E111" t="inlineStr">
        <is>
          <t>Input</t>
        </is>
      </c>
      <c r="G111" t="n">
        <v>2.89</v>
      </c>
      <c r="H111" t="inlineStr"/>
      <c r="I111" t="inlineStr">
        <is>
          <t>_-* #,##0_-;\-* #,##0_-;_-* "-"??_-;_-@_-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V111" t="b">
        <v>0</v>
      </c>
      <c r="W111" t="inlineStr"/>
    </row>
    <row r="112">
      <c r="A112" t="inlineStr">
        <is>
          <t>FAS</t>
        </is>
      </c>
      <c r="B112" t="inlineStr">
        <is>
          <t>D28</t>
        </is>
      </c>
      <c r="C112" t="n">
        <v>28</v>
      </c>
      <c r="D112" t="n">
        <v>4</v>
      </c>
      <c r="E112" t="inlineStr">
        <is>
          <t>Input</t>
        </is>
      </c>
      <c r="G112" t="n">
        <v>2.47</v>
      </c>
      <c r="H112" t="inlineStr"/>
      <c r="I112" t="inlineStr">
        <is>
          <t>_-* #,##0_-;\-* #,##0_-;_-* "-"??_-;_-@_-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V112" t="b">
        <v>0</v>
      </c>
      <c r="W1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Financial Statements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Financial Statements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Financial Statements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Financial Statements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Financial Statements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Financial Statements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F7" t="n">
        <v/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Financial Statements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F8" t="n">
        <v/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Financial Statements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F9" t="n">
        <v/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Financial Statements</t>
        </is>
      </c>
      <c r="B10" t="inlineStr">
        <is>
          <t>L1</t>
        </is>
      </c>
      <c r="C10" t="n">
        <v>1</v>
      </c>
      <c r="D10" t="n">
        <v>12</v>
      </c>
      <c r="E10" t="inlineStr">
        <is>
          <t>Input</t>
        </is>
      </c>
      <c r="F10" t="n">
        <v/>
      </c>
      <c r="G10" t="n">
        <v>2015</v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Financial Statements</t>
        </is>
      </c>
      <c r="B11" t="inlineStr">
        <is>
          <t>M1</t>
        </is>
      </c>
      <c r="C11" t="n">
        <v>1</v>
      </c>
      <c r="D11" t="n">
        <v>13</v>
      </c>
      <c r="E11" t="inlineStr">
        <is>
          <t>Input</t>
        </is>
      </c>
      <c r="F11" t="n">
        <v/>
      </c>
      <c r="G11" t="n">
        <v>2016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Values must be of type &lt;class 'str'&gt;</t>
        </is>
      </c>
      <c r="O11" t="inlineStr">
        <is>
          <t>center</t>
        </is>
      </c>
      <c r="P11" t="inlineStr">
        <is>
          <t>center</t>
        </is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Financial Statements</t>
        </is>
      </c>
      <c r="B12" t="inlineStr">
        <is>
          <t>N1</t>
        </is>
      </c>
      <c r="C12" t="n">
        <v>1</v>
      </c>
      <c r="D12" t="n">
        <v>14</v>
      </c>
      <c r="E12" t="inlineStr">
        <is>
          <t>Input</t>
        </is>
      </c>
      <c r="F12" t="n">
        <v/>
      </c>
      <c r="G12" t="n">
        <v>2017</v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Values must be of type &lt;class 'str'&gt;</t>
        </is>
      </c>
      <c r="O12" t="inlineStr">
        <is>
          <t>center</t>
        </is>
      </c>
      <c r="P12" t="inlineStr">
        <is>
          <t>center</t>
        </is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Financial Statements</t>
        </is>
      </c>
      <c r="B13" t="inlineStr">
        <is>
          <t>O1</t>
        </is>
      </c>
      <c r="C13" t="n">
        <v>1</v>
      </c>
      <c r="D13" t="n">
        <v>15</v>
      </c>
      <c r="E13" t="inlineStr">
        <is>
          <t>Input</t>
        </is>
      </c>
      <c r="F13" t="n">
        <v/>
      </c>
      <c r="G13" t="inlineStr">
        <is>
          <t>2018 F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Values must be of type &lt;class 'str'&gt;</t>
        </is>
      </c>
      <c r="N13" t="inlineStr">
        <is>
          <t>Values must be of type &lt;class 'str'&gt;</t>
        </is>
      </c>
      <c r="O13" t="inlineStr">
        <is>
          <t>center</t>
        </is>
      </c>
      <c r="P13" t="inlineStr">
        <is>
          <t>center</t>
        </is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Financial Statements</t>
        </is>
      </c>
      <c r="B14" t="inlineStr">
        <is>
          <t>P1</t>
        </is>
      </c>
      <c r="C14" t="n">
        <v>1</v>
      </c>
      <c r="D14" t="n">
        <v>16</v>
      </c>
      <c r="E14" t="inlineStr">
        <is>
          <t>Input</t>
        </is>
      </c>
      <c r="F14" t="n">
        <v/>
      </c>
      <c r="G14" t="inlineStr">
        <is>
          <t>2019 F</t>
        </is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Values must be of type &lt;class 'str'&gt;</t>
        </is>
      </c>
      <c r="O14" t="inlineStr">
        <is>
          <t>center</t>
        </is>
      </c>
      <c r="P14" t="inlineStr">
        <is>
          <t>center</t>
        </is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Financial Statements</t>
        </is>
      </c>
      <c r="B15" t="inlineStr">
        <is>
          <t>Q1</t>
        </is>
      </c>
      <c r="C15" t="n">
        <v>1</v>
      </c>
      <c r="D15" t="n">
        <v>17</v>
      </c>
      <c r="E15" t="inlineStr">
        <is>
          <t>Input</t>
        </is>
      </c>
      <c r="F15" t="n">
        <v/>
      </c>
      <c r="G15" t="inlineStr">
        <is>
          <t>2020 F</t>
        </is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Values must be of type &lt;class 'str'&gt;</t>
        </is>
      </c>
      <c r="O15" t="inlineStr">
        <is>
          <t>center</t>
        </is>
      </c>
      <c r="P15" t="inlineStr">
        <is>
          <t>center</t>
        </is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Financial Statements</t>
        </is>
      </c>
      <c r="B16" t="inlineStr">
        <is>
          <t>R1</t>
        </is>
      </c>
      <c r="C16" t="n">
        <v>1</v>
      </c>
      <c r="D16" t="n">
        <v>18</v>
      </c>
      <c r="E16" t="inlineStr">
        <is>
          <t>Input</t>
        </is>
      </c>
      <c r="F16" t="n">
        <v/>
      </c>
      <c r="G16" t="inlineStr">
        <is>
          <t>2021 F</t>
        </is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Values must be of type &lt;class 'str'&gt;</t>
        </is>
      </c>
      <c r="O16" t="inlineStr">
        <is>
          <t>center</t>
        </is>
      </c>
      <c r="P16" t="inlineStr">
        <is>
          <t>center</t>
        </is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Financial Statements</t>
        </is>
      </c>
      <c r="B17" t="inlineStr">
        <is>
          <t>S1</t>
        </is>
      </c>
      <c r="C17" t="n">
        <v>1</v>
      </c>
      <c r="D17" t="n">
        <v>19</v>
      </c>
      <c r="E17" t="inlineStr">
        <is>
          <t>Input</t>
        </is>
      </c>
      <c r="F17" t="n">
        <v/>
      </c>
      <c r="G17" t="inlineStr">
        <is>
          <t>2022 F</t>
        </is>
      </c>
      <c r="H17" t="inlineStr"/>
      <c r="I17" t="inlineStr">
        <is>
          <t>General</t>
        </is>
      </c>
      <c r="J17" t="b">
        <v>1</v>
      </c>
      <c r="K17" t="b">
        <v>0</v>
      </c>
      <c r="L17" t="n">
        <v>11</v>
      </c>
      <c r="M17" t="inlineStr">
        <is>
          <t>Values must be of type &lt;class 'str'&gt;</t>
        </is>
      </c>
      <c r="N17" t="inlineStr">
        <is>
          <t>Values must be of type &lt;class 'str'&gt;</t>
        </is>
      </c>
      <c r="O17" t="inlineStr">
        <is>
          <t>center</t>
        </is>
      </c>
      <c r="P17" t="inlineStr">
        <is>
          <t>center</t>
        </is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Financial Statements</t>
        </is>
      </c>
      <c r="B18" t="inlineStr">
        <is>
          <t>A2</t>
        </is>
      </c>
      <c r="C18" t="n">
        <v>2</v>
      </c>
      <c r="D18" t="n">
        <v>1</v>
      </c>
      <c r="E18" t="inlineStr">
        <is>
          <t>Input</t>
        </is>
      </c>
      <c r="F18" t="n">
        <v/>
      </c>
      <c r="G18" t="inlineStr">
        <is>
          <t>Revenue</t>
        </is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Financial Statements</t>
        </is>
      </c>
      <c r="B19" t="inlineStr">
        <is>
          <t>B2</t>
        </is>
      </c>
      <c r="C19" t="n">
        <v>2</v>
      </c>
      <c r="D19" t="n">
        <v>2</v>
      </c>
      <c r="E19" t="inlineStr">
        <is>
          <t>Calculation</t>
        </is>
      </c>
      <c r="F19" t="inlineStr">
        <is>
          <t>'='Revenue Model'!B2</t>
        </is>
      </c>
      <c r="G19" t="n">
        <v>11917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G000037</t>
        </is>
      </c>
      <c r="T19" t="inlineStr">
        <is>
          <t>Horizontal</t>
        </is>
      </c>
      <c r="U19" t="n">
        <v>8</v>
      </c>
      <c r="V19" t="b">
        <v>1</v>
      </c>
      <c r="W19" t="inlineStr">
        <is>
          <t>Financial Statements!B2:I2</t>
        </is>
      </c>
      <c r="X19">
        <f>'Revenue Model'!R[0]C[0]</f>
        <v/>
      </c>
    </row>
    <row r="20">
      <c r="A20" t="inlineStr">
        <is>
          <t>Financial Statements</t>
        </is>
      </c>
      <c r="B20" t="inlineStr">
        <is>
          <t>C2</t>
        </is>
      </c>
      <c r="C20" t="n">
        <v>2</v>
      </c>
      <c r="D20" t="n">
        <v>3</v>
      </c>
      <c r="E20" t="inlineStr">
        <is>
          <t>Calculation</t>
        </is>
      </c>
      <c r="F20" t="inlineStr">
        <is>
          <t>'='Revenue Model'!C2</t>
        </is>
      </c>
      <c r="G20" t="n">
        <v>11112.2</v>
      </c>
      <c r="H20" t="inlineStr"/>
      <c r="I20" t="inlineStr">
        <is>
          <t>_-* #,##0_-;\-* #,##0_-;_-* "-"??_-;_-@_-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G000037</t>
        </is>
      </c>
      <c r="T20" t="inlineStr">
        <is>
          <t>Horizontal</t>
        </is>
      </c>
      <c r="U20" t="n">
        <v>8</v>
      </c>
      <c r="V20" t="b">
        <v>1</v>
      </c>
      <c r="W20" t="inlineStr">
        <is>
          <t>Financial Statements!B2:I2</t>
        </is>
      </c>
      <c r="X20">
        <f>'Revenue Model'!R[0]C[0]</f>
        <v/>
      </c>
    </row>
    <row r="21">
      <c r="A21" t="inlineStr">
        <is>
          <t>Financial Statements</t>
        </is>
      </c>
      <c r="B21" t="inlineStr">
        <is>
          <t>D2</t>
        </is>
      </c>
      <c r="C21" t="n">
        <v>2</v>
      </c>
      <c r="D21" t="n">
        <v>4</v>
      </c>
      <c r="E21" t="inlineStr">
        <is>
          <t>Calculation</t>
        </is>
      </c>
      <c r="F21" t="inlineStr">
        <is>
          <t>'='Revenue Model'!D2</t>
        </is>
      </c>
      <c r="G21" t="n">
        <v>13413.58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G000037</t>
        </is>
      </c>
      <c r="T21" t="inlineStr">
        <is>
          <t>Horizontal</t>
        </is>
      </c>
      <c r="U21" t="n">
        <v>8</v>
      </c>
      <c r="V21" t="b">
        <v>1</v>
      </c>
      <c r="W21" t="inlineStr">
        <is>
          <t>Financial Statements!B2:I2</t>
        </is>
      </c>
      <c r="X21">
        <f>'Revenue Model'!R[0]C[0]</f>
        <v/>
      </c>
    </row>
    <row r="22">
      <c r="A22" t="inlineStr">
        <is>
          <t>Financial Statements</t>
        </is>
      </c>
      <c r="B22" t="inlineStr">
        <is>
          <t>E2</t>
        </is>
      </c>
      <c r="C22" t="n">
        <v>2</v>
      </c>
      <c r="D22" t="n">
        <v>5</v>
      </c>
      <c r="E22" t="inlineStr">
        <is>
          <t>Calculation</t>
        </is>
      </c>
      <c r="F22" t="inlineStr">
        <is>
          <t>'='Revenue Model'!E2</t>
        </is>
      </c>
      <c r="G22" t="n">
        <v>14440.82251898734</v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G000037</t>
        </is>
      </c>
      <c r="T22" t="inlineStr">
        <is>
          <t>Horizontal</t>
        </is>
      </c>
      <c r="U22" t="n">
        <v>8</v>
      </c>
      <c r="V22" t="b">
        <v>1</v>
      </c>
      <c r="W22" t="inlineStr">
        <is>
          <t>Financial Statements!B2:I2</t>
        </is>
      </c>
      <c r="X22">
        <f>'Revenue Model'!R[0]C[0]</f>
        <v/>
      </c>
    </row>
    <row r="23">
      <c r="A23" t="inlineStr">
        <is>
          <t>Financial Statements</t>
        </is>
      </c>
      <c r="B23" t="inlineStr">
        <is>
          <t>F2</t>
        </is>
      </c>
      <c r="C23" t="n">
        <v>2</v>
      </c>
      <c r="D23" t="n">
        <v>6</v>
      </c>
      <c r="E23" t="inlineStr">
        <is>
          <t>Calculation</t>
        </is>
      </c>
      <c r="F23" t="inlineStr">
        <is>
          <t>'='Revenue Model'!F2</t>
        </is>
      </c>
      <c r="G23" t="n">
        <v>15537.25533987342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G000037</t>
        </is>
      </c>
      <c r="T23" t="inlineStr">
        <is>
          <t>Horizontal</t>
        </is>
      </c>
      <c r="U23" t="n">
        <v>8</v>
      </c>
      <c r="V23" t="b">
        <v>1</v>
      </c>
      <c r="W23" t="inlineStr">
        <is>
          <t>Financial Statements!B2:I2</t>
        </is>
      </c>
      <c r="X23">
        <f>'Revenue Model'!R[0]C[0]</f>
        <v/>
      </c>
    </row>
    <row r="24">
      <c r="A24" t="inlineStr">
        <is>
          <t>Financial Statements</t>
        </is>
      </c>
      <c r="B24" t="inlineStr">
        <is>
          <t>G2</t>
        </is>
      </c>
      <c r="C24" t="n">
        <v>2</v>
      </c>
      <c r="D24" t="n">
        <v>7</v>
      </c>
      <c r="E24" t="inlineStr">
        <is>
          <t>Calculation</t>
        </is>
      </c>
      <c r="F24" t="inlineStr">
        <is>
          <t>'='Revenue Model'!G2</t>
        </is>
      </c>
      <c r="G24" t="n">
        <v>16707.22938655064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G000037</t>
        </is>
      </c>
      <c r="T24" t="inlineStr">
        <is>
          <t>Horizontal</t>
        </is>
      </c>
      <c r="U24" t="n">
        <v>8</v>
      </c>
      <c r="V24" t="b">
        <v>1</v>
      </c>
      <c r="W24" t="inlineStr">
        <is>
          <t>Financial Statements!B2:I2</t>
        </is>
      </c>
      <c r="X24">
        <f>'Revenue Model'!R[0]C[0]</f>
        <v/>
      </c>
    </row>
    <row r="25">
      <c r="A25" t="inlineStr">
        <is>
          <t>Financial Statements</t>
        </is>
      </c>
      <c r="B25" t="inlineStr">
        <is>
          <t>H2</t>
        </is>
      </c>
      <c r="C25" t="n">
        <v>2</v>
      </c>
      <c r="D25" t="n">
        <v>8</v>
      </c>
      <c r="E25" t="inlineStr">
        <is>
          <t>Calculation</t>
        </is>
      </c>
      <c r="F25" t="inlineStr">
        <is>
          <t>'='Revenue Model'!H2</t>
        </is>
      </c>
      <c r="G25" t="n">
        <v>17955.35769954589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inlineStr">
        <is>
          <t>G000037</t>
        </is>
      </c>
      <c r="T25" t="inlineStr">
        <is>
          <t>Horizontal</t>
        </is>
      </c>
      <c r="U25" t="n">
        <v>8</v>
      </c>
      <c r="V25" t="b">
        <v>1</v>
      </c>
      <c r="W25" t="inlineStr">
        <is>
          <t>Financial Statements!B2:I2</t>
        </is>
      </c>
      <c r="X25">
        <f>'Revenue Model'!R[0]C[0]</f>
        <v/>
      </c>
    </row>
    <row r="26">
      <c r="A26" t="inlineStr">
        <is>
          <t>Financial Statements</t>
        </is>
      </c>
      <c r="B26" t="inlineStr">
        <is>
          <t>I2</t>
        </is>
      </c>
      <c r="C26" t="n">
        <v>2</v>
      </c>
      <c r="D26" t="n">
        <v>9</v>
      </c>
      <c r="E26" t="inlineStr">
        <is>
          <t>Calculation</t>
        </is>
      </c>
      <c r="F26" t="inlineStr">
        <is>
          <t>'='Revenue Model'!I2</t>
        </is>
      </c>
      <c r="G26" t="n">
        <v>19286.5307703743</v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G000037</t>
        </is>
      </c>
      <c r="T26" t="inlineStr">
        <is>
          <t>Horizontal</t>
        </is>
      </c>
      <c r="U26" t="n">
        <v>8</v>
      </c>
      <c r="V26" t="b">
        <v>1</v>
      </c>
      <c r="W26" t="inlineStr">
        <is>
          <t>Financial Statements!B2:I2</t>
        </is>
      </c>
      <c r="X26">
        <f>'Revenue Model'!R[0]C[0]</f>
        <v/>
      </c>
    </row>
    <row r="27">
      <c r="A27" t="inlineStr">
        <is>
          <t>Financial Statements</t>
        </is>
      </c>
      <c r="B27" t="inlineStr">
        <is>
          <t>K2</t>
        </is>
      </c>
      <c r="C27" t="n">
        <v>2</v>
      </c>
      <c r="D27" t="n">
        <v>11</v>
      </c>
      <c r="E27" t="inlineStr">
        <is>
          <t>Input</t>
        </is>
      </c>
      <c r="F27" t="n">
        <v/>
      </c>
      <c r="G27" t="inlineStr">
        <is>
          <t>Sources of Funds</t>
        </is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Financial Statements</t>
        </is>
      </c>
      <c r="B28" t="inlineStr">
        <is>
          <t>A3</t>
        </is>
      </c>
      <c r="C28" t="n">
        <v>3</v>
      </c>
      <c r="D28" t="n">
        <v>1</v>
      </c>
      <c r="E28" t="inlineStr">
        <is>
          <t>Input</t>
        </is>
      </c>
      <c r="F28" t="n">
        <v/>
      </c>
      <c r="G28" t="inlineStr">
        <is>
          <t>Expenses</t>
        </is>
      </c>
      <c r="H28" t="inlineStr"/>
      <c r="I28" t="inlineStr">
        <is>
          <t>General</t>
        </is>
      </c>
      <c r="J28" t="b">
        <v>1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Financial Statements</t>
        </is>
      </c>
      <c r="B29" t="inlineStr">
        <is>
          <t>C3</t>
        </is>
      </c>
      <c r="C29" t="n">
        <v>3</v>
      </c>
      <c r="D29" t="n">
        <v>3</v>
      </c>
      <c r="E29" t="inlineStr">
        <is>
          <t>Input</t>
        </is>
      </c>
      <c r="F29" t="n">
        <v/>
      </c>
      <c r="H29" t="inlineStr"/>
      <c r="I29" t="inlineStr">
        <is>
          <t>0%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0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Financial Statements</t>
        </is>
      </c>
      <c r="B30" t="inlineStr">
        <is>
          <t>D3</t>
        </is>
      </c>
      <c r="C30" t="n">
        <v>3</v>
      </c>
      <c r="D30" t="n">
        <v>4</v>
      </c>
      <c r="E30" t="inlineStr">
        <is>
          <t>Input</t>
        </is>
      </c>
      <c r="F30" t="n">
        <v/>
      </c>
      <c r="H30" t="inlineStr"/>
      <c r="I30" t="inlineStr">
        <is>
          <t>0%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0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Financial Statements</t>
        </is>
      </c>
      <c r="B31" t="inlineStr">
        <is>
          <t>E3</t>
        </is>
      </c>
      <c r="C31" t="n">
        <v>3</v>
      </c>
      <c r="D31" t="n">
        <v>5</v>
      </c>
      <c r="E31" t="inlineStr">
        <is>
          <t>Input</t>
        </is>
      </c>
      <c r="F31" t="n">
        <v/>
      </c>
      <c r="H31" t="inlineStr"/>
      <c r="I31" t="inlineStr">
        <is>
          <t>0%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0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Financial Statements</t>
        </is>
      </c>
      <c r="B32" t="inlineStr">
        <is>
          <t>F3</t>
        </is>
      </c>
      <c r="C32" t="n">
        <v>3</v>
      </c>
      <c r="D32" t="n">
        <v>6</v>
      </c>
      <c r="E32" t="inlineStr">
        <is>
          <t>Input</t>
        </is>
      </c>
      <c r="F32" t="n">
        <v/>
      </c>
      <c r="H32" t="inlineStr"/>
      <c r="I32" t="inlineStr">
        <is>
          <t>0%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0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Financial Statements</t>
        </is>
      </c>
      <c r="B33" t="inlineStr">
        <is>
          <t>G3</t>
        </is>
      </c>
      <c r="C33" t="n">
        <v>3</v>
      </c>
      <c r="D33" t="n">
        <v>7</v>
      </c>
      <c r="E33" t="inlineStr">
        <is>
          <t>Input</t>
        </is>
      </c>
      <c r="F33" t="n">
        <v/>
      </c>
      <c r="H33" t="inlineStr"/>
      <c r="I33" t="inlineStr">
        <is>
          <t>0%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0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Financial Statements</t>
        </is>
      </c>
      <c r="B34" t="inlineStr">
        <is>
          <t>H3</t>
        </is>
      </c>
      <c r="C34" t="n">
        <v>3</v>
      </c>
      <c r="D34" t="n">
        <v>8</v>
      </c>
      <c r="E34" t="inlineStr">
        <is>
          <t>Input</t>
        </is>
      </c>
      <c r="F34" t="n">
        <v/>
      </c>
      <c r="H34" t="inlineStr"/>
      <c r="I34" t="inlineStr">
        <is>
          <t>0%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0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Financial Statements</t>
        </is>
      </c>
      <c r="B35" t="inlineStr">
        <is>
          <t>I3</t>
        </is>
      </c>
      <c r="C35" t="n">
        <v>3</v>
      </c>
      <c r="D35" t="n">
        <v>9</v>
      </c>
      <c r="E35" t="inlineStr">
        <is>
          <t>Input</t>
        </is>
      </c>
      <c r="F35" t="n">
        <v/>
      </c>
      <c r="H35" t="inlineStr"/>
      <c r="I35" t="inlineStr">
        <is>
          <t>0%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0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Financial Statements</t>
        </is>
      </c>
      <c r="B36" t="inlineStr">
        <is>
          <t>K3</t>
        </is>
      </c>
      <c r="C36" t="n">
        <v>3</v>
      </c>
      <c r="D36" t="n">
        <v>11</v>
      </c>
      <c r="E36" t="inlineStr">
        <is>
          <t>Input</t>
        </is>
      </c>
      <c r="F36" t="n">
        <v/>
      </c>
      <c r="G36" t="inlineStr">
        <is>
          <t>Equity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Financial Statements</t>
        </is>
      </c>
      <c r="B37" t="inlineStr">
        <is>
          <t>L3</t>
        </is>
      </c>
      <c r="C37" t="n">
        <v>3</v>
      </c>
      <c r="D37" t="n">
        <v>12</v>
      </c>
      <c r="E37" t="inlineStr">
        <is>
          <t>Input</t>
        </is>
      </c>
      <c r="F37" t="n">
        <v/>
      </c>
      <c r="H37" t="inlineStr"/>
      <c r="I37" t="inlineStr">
        <is>
          <t>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0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Financial Statements</t>
        </is>
      </c>
      <c r="B38" t="inlineStr">
        <is>
          <t>M3</t>
        </is>
      </c>
      <c r="C38" t="n">
        <v>3</v>
      </c>
      <c r="D38" t="n">
        <v>13</v>
      </c>
      <c r="E38" t="inlineStr">
        <is>
          <t>Input</t>
        </is>
      </c>
      <c r="F38" t="n">
        <v/>
      </c>
      <c r="H38" t="inlineStr"/>
      <c r="I38" t="inlineStr">
        <is>
          <t>0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0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Financial Statements</t>
        </is>
      </c>
      <c r="B39" t="inlineStr">
        <is>
          <t>N3</t>
        </is>
      </c>
      <c r="C39" t="n">
        <v>3</v>
      </c>
      <c r="D39" t="n">
        <v>14</v>
      </c>
      <c r="E39" t="inlineStr">
        <is>
          <t>Input</t>
        </is>
      </c>
      <c r="F39" t="n">
        <v/>
      </c>
      <c r="G39" t="n">
        <v>188</v>
      </c>
      <c r="H39" t="inlineStr"/>
      <c r="I39" t="inlineStr">
        <is>
          <t>0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Financial Statements</t>
        </is>
      </c>
      <c r="B40" t="inlineStr">
        <is>
          <t>O3</t>
        </is>
      </c>
      <c r="C40" t="n">
        <v>3</v>
      </c>
      <c r="D40" t="n">
        <v>15</v>
      </c>
      <c r="E40" t="inlineStr">
        <is>
          <t>Input</t>
        </is>
      </c>
      <c r="F40" t="n">
        <v/>
      </c>
      <c r="G40" t="n">
        <v>187.99</v>
      </c>
      <c r="H40" t="inlineStr"/>
      <c r="I40" t="inlineStr">
        <is>
          <t>0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Financial Statements</t>
        </is>
      </c>
      <c r="B41" t="inlineStr">
        <is>
          <t>P3</t>
        </is>
      </c>
      <c r="C41" t="n">
        <v>3</v>
      </c>
      <c r="D41" t="n">
        <v>16</v>
      </c>
      <c r="E41" t="inlineStr">
        <is>
          <t>Input</t>
        </is>
      </c>
      <c r="F41" t="n">
        <v/>
      </c>
      <c r="G41" t="n">
        <v>187.99</v>
      </c>
      <c r="H41" t="inlineStr"/>
      <c r="I41" t="inlineStr">
        <is>
          <t>0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Financial Statements</t>
        </is>
      </c>
      <c r="B42" t="inlineStr">
        <is>
          <t>Q3</t>
        </is>
      </c>
      <c r="C42" t="n">
        <v>3</v>
      </c>
      <c r="D42" t="n">
        <v>17</v>
      </c>
      <c r="E42" t="inlineStr">
        <is>
          <t>Input</t>
        </is>
      </c>
      <c r="F42" t="n">
        <v/>
      </c>
      <c r="G42" t="n">
        <v>187.99</v>
      </c>
      <c r="H42" t="inlineStr"/>
      <c r="I42" t="inlineStr">
        <is>
          <t>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Financial Statements</t>
        </is>
      </c>
      <c r="B43" t="inlineStr">
        <is>
          <t>R3</t>
        </is>
      </c>
      <c r="C43" t="n">
        <v>3</v>
      </c>
      <c r="D43" t="n">
        <v>18</v>
      </c>
      <c r="E43" t="inlineStr">
        <is>
          <t>Input</t>
        </is>
      </c>
      <c r="F43" t="n">
        <v/>
      </c>
      <c r="G43" t="n">
        <v>187.99</v>
      </c>
      <c r="H43" t="inlineStr"/>
      <c r="I43" t="inlineStr">
        <is>
          <t>0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Financial Statements</t>
        </is>
      </c>
      <c r="B44" t="inlineStr">
        <is>
          <t>S3</t>
        </is>
      </c>
      <c r="C44" t="n">
        <v>3</v>
      </c>
      <c r="D44" t="n">
        <v>19</v>
      </c>
      <c r="E44" t="inlineStr">
        <is>
          <t>Input</t>
        </is>
      </c>
      <c r="F44" t="n">
        <v/>
      </c>
      <c r="G44" t="n">
        <v>187.99</v>
      </c>
      <c r="H44" t="inlineStr"/>
      <c r="I44" t="inlineStr">
        <is>
          <t>0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Financial Statements</t>
        </is>
      </c>
      <c r="B45" t="inlineStr">
        <is>
          <t>A4</t>
        </is>
      </c>
      <c r="C45" t="n">
        <v>4</v>
      </c>
      <c r="D45" t="n">
        <v>1</v>
      </c>
      <c r="E45" t="inlineStr">
        <is>
          <t>Output</t>
        </is>
      </c>
      <c r="F45" t="inlineStr">
        <is>
          <t>'='Revenue Model'!A19</t>
        </is>
      </c>
      <c r="G45" t="inlineStr">
        <is>
          <t>Raw Materials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G000038</t>
        </is>
      </c>
      <c r="T45" t="inlineStr">
        <is>
          <t>Horizontal</t>
        </is>
      </c>
      <c r="U45" t="n">
        <v>9</v>
      </c>
      <c r="V45" t="b">
        <v>1</v>
      </c>
      <c r="W45" t="inlineStr">
        <is>
          <t>Financial Statements!A4:I4</t>
        </is>
      </c>
      <c r="X45">
        <f>'Revenue Model'!R[15]C[0]</f>
        <v/>
      </c>
    </row>
    <row r="46">
      <c r="A46" t="inlineStr">
        <is>
          <t>Financial Statements</t>
        </is>
      </c>
      <c r="B46" t="inlineStr">
        <is>
          <t>B4</t>
        </is>
      </c>
      <c r="C46" t="n">
        <v>4</v>
      </c>
      <c r="D46" t="n">
        <v>2</v>
      </c>
      <c r="E46" t="inlineStr">
        <is>
          <t>Calculation</t>
        </is>
      </c>
      <c r="F46" t="inlineStr">
        <is>
          <t>'='Revenue Model'!B19</t>
        </is>
      </c>
      <c r="G46" t="n">
        <v>1848.12</v>
      </c>
      <c r="H46" t="inlineStr"/>
      <c r="I46" t="inlineStr">
        <is>
          <t>#,##0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G000038</t>
        </is>
      </c>
      <c r="T46" t="inlineStr">
        <is>
          <t>Horizontal</t>
        </is>
      </c>
      <c r="U46" t="n">
        <v>9</v>
      </c>
      <c r="V46" t="b">
        <v>1</v>
      </c>
      <c r="W46" t="inlineStr">
        <is>
          <t>Financial Statements!A4:I4</t>
        </is>
      </c>
      <c r="X46">
        <f>'Revenue Model'!R[15]C[0]</f>
        <v/>
      </c>
    </row>
    <row r="47">
      <c r="A47" t="inlineStr">
        <is>
          <t>Financial Statements</t>
        </is>
      </c>
      <c r="B47" t="inlineStr">
        <is>
          <t>C4</t>
        </is>
      </c>
      <c r="C47" t="n">
        <v>4</v>
      </c>
      <c r="D47" t="n">
        <v>3</v>
      </c>
      <c r="E47" t="inlineStr">
        <is>
          <t>Calculation</t>
        </is>
      </c>
      <c r="F47" t="inlineStr">
        <is>
          <t>'='Revenue Model'!C19</t>
        </is>
      </c>
      <c r="G47" t="n">
        <v>1606.77</v>
      </c>
      <c r="H47" t="inlineStr"/>
      <c r="I47" t="inlineStr">
        <is>
          <t>#,##0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inlineStr">
        <is>
          <t>G000038</t>
        </is>
      </c>
      <c r="T47" t="inlineStr">
        <is>
          <t>Horizontal</t>
        </is>
      </c>
      <c r="U47" t="n">
        <v>9</v>
      </c>
      <c r="V47" t="b">
        <v>1</v>
      </c>
      <c r="W47" t="inlineStr">
        <is>
          <t>Financial Statements!A4:I4</t>
        </is>
      </c>
      <c r="X47">
        <f>'Revenue Model'!R[15]C[0]</f>
        <v/>
      </c>
    </row>
    <row r="48">
      <c r="A48" t="inlineStr">
        <is>
          <t>Financial Statements</t>
        </is>
      </c>
      <c r="B48" t="inlineStr">
        <is>
          <t>D4</t>
        </is>
      </c>
      <c r="C48" t="n">
        <v>4</v>
      </c>
      <c r="D48" t="n">
        <v>4</v>
      </c>
      <c r="E48" t="inlineStr">
        <is>
          <t>Calculation</t>
        </is>
      </c>
      <c r="F48" t="inlineStr">
        <is>
          <t>'='Revenue Model'!D19</t>
        </is>
      </c>
      <c r="G48" t="n">
        <v>1965.98</v>
      </c>
      <c r="H48" t="inlineStr"/>
      <c r="I48" t="inlineStr">
        <is>
          <t>#,##0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G000038</t>
        </is>
      </c>
      <c r="T48" t="inlineStr">
        <is>
          <t>Horizontal</t>
        </is>
      </c>
      <c r="U48" t="n">
        <v>9</v>
      </c>
      <c r="V48" t="b">
        <v>1</v>
      </c>
      <c r="W48" t="inlineStr">
        <is>
          <t>Financial Statements!A4:I4</t>
        </is>
      </c>
      <c r="X48">
        <f>'Revenue Model'!R[15]C[0]</f>
        <v/>
      </c>
    </row>
    <row r="49">
      <c r="A49" t="inlineStr">
        <is>
          <t>Financial Statements</t>
        </is>
      </c>
      <c r="B49" t="inlineStr">
        <is>
          <t>E4</t>
        </is>
      </c>
      <c r="C49" t="n">
        <v>4</v>
      </c>
      <c r="D49" t="n">
        <v>5</v>
      </c>
      <c r="E49" t="inlineStr">
        <is>
          <t>Calculation</t>
        </is>
      </c>
      <c r="F49" t="inlineStr">
        <is>
          <t>'='Revenue Model'!E19</t>
        </is>
      </c>
      <c r="G49" t="n">
        <v>2116.539227848101</v>
      </c>
      <c r="H49" t="inlineStr"/>
      <c r="I49" t="inlineStr">
        <is>
          <t>#,##0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inlineStr">
        <is>
          <t>G000038</t>
        </is>
      </c>
      <c r="T49" t="inlineStr">
        <is>
          <t>Horizontal</t>
        </is>
      </c>
      <c r="U49" t="n">
        <v>9</v>
      </c>
      <c r="V49" t="b">
        <v>1</v>
      </c>
      <c r="W49" t="inlineStr">
        <is>
          <t>Financial Statements!A4:I4</t>
        </is>
      </c>
      <c r="X49">
        <f>'Revenue Model'!R[15]C[0]</f>
        <v/>
      </c>
    </row>
    <row r="50">
      <c r="A50" t="inlineStr">
        <is>
          <t>Financial Statements</t>
        </is>
      </c>
      <c r="B50" t="inlineStr">
        <is>
          <t>F4</t>
        </is>
      </c>
      <c r="C50" t="n">
        <v>4</v>
      </c>
      <c r="D50" t="n">
        <v>6</v>
      </c>
      <c r="E50" t="inlineStr">
        <is>
          <t>Calculation</t>
        </is>
      </c>
      <c r="F50" t="inlineStr">
        <is>
          <t>'='Revenue Model'!F19</t>
        </is>
      </c>
      <c r="G50" t="n">
        <v>2277.239428481013</v>
      </c>
      <c r="H50" t="inlineStr"/>
      <c r="I50" t="inlineStr">
        <is>
          <t>#,##0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inlineStr">
        <is>
          <t>G000038</t>
        </is>
      </c>
      <c r="T50" t="inlineStr">
        <is>
          <t>Horizontal</t>
        </is>
      </c>
      <c r="U50" t="n">
        <v>9</v>
      </c>
      <c r="V50" t="b">
        <v>1</v>
      </c>
      <c r="W50" t="inlineStr">
        <is>
          <t>Financial Statements!A4:I4</t>
        </is>
      </c>
      <c r="X50">
        <f>'Revenue Model'!R[15]C[0]</f>
        <v/>
      </c>
    </row>
    <row r="51">
      <c r="A51" t="inlineStr">
        <is>
          <t>Financial Statements</t>
        </is>
      </c>
      <c r="B51" t="inlineStr">
        <is>
          <t>G4</t>
        </is>
      </c>
      <c r="C51" t="n">
        <v>4</v>
      </c>
      <c r="D51" t="n">
        <v>7</v>
      </c>
      <c r="E51" t="inlineStr">
        <is>
          <t>Calculation</t>
        </is>
      </c>
      <c r="F51" t="inlineStr">
        <is>
          <t>'='Revenue Model'!G19</t>
        </is>
      </c>
      <c r="G51" t="n">
        <v>2448.718301107595</v>
      </c>
      <c r="H51" t="inlineStr"/>
      <c r="I51" t="inlineStr">
        <is>
          <t>#,##0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inlineStr">
        <is>
          <t>G000038</t>
        </is>
      </c>
      <c r="T51" t="inlineStr">
        <is>
          <t>Horizontal</t>
        </is>
      </c>
      <c r="U51" t="n">
        <v>9</v>
      </c>
      <c r="V51" t="b">
        <v>1</v>
      </c>
      <c r="W51" t="inlineStr">
        <is>
          <t>Financial Statements!A4:I4</t>
        </is>
      </c>
      <c r="X51">
        <f>'Revenue Model'!R[15]C[0]</f>
        <v/>
      </c>
    </row>
    <row r="52">
      <c r="A52" t="inlineStr">
        <is>
          <t>Financial Statements</t>
        </is>
      </c>
      <c r="B52" t="inlineStr">
        <is>
          <t>H4</t>
        </is>
      </c>
      <c r="C52" t="n">
        <v>4</v>
      </c>
      <c r="D52" t="n">
        <v>8</v>
      </c>
      <c r="E52" t="inlineStr">
        <is>
          <t>Calculation</t>
        </is>
      </c>
      <c r="F52" t="inlineStr">
        <is>
          <t>'='Revenue Model'!H19</t>
        </is>
      </c>
      <c r="G52" t="n">
        <v>2631.651962425633</v>
      </c>
      <c r="H52" t="inlineStr"/>
      <c r="I52" t="inlineStr">
        <is>
          <t>#,##0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inlineStr">
        <is>
          <t>G000038</t>
        </is>
      </c>
      <c r="T52" t="inlineStr">
        <is>
          <t>Horizontal</t>
        </is>
      </c>
      <c r="U52" t="n">
        <v>9</v>
      </c>
      <c r="V52" t="b">
        <v>1</v>
      </c>
      <c r="W52" t="inlineStr">
        <is>
          <t>Financial Statements!A4:I4</t>
        </is>
      </c>
      <c r="X52">
        <f>'Revenue Model'!R[15]C[0]</f>
        <v/>
      </c>
    </row>
    <row r="53">
      <c r="A53" t="inlineStr">
        <is>
          <t>Financial Statements</t>
        </is>
      </c>
      <c r="B53" t="inlineStr">
        <is>
          <t>I4</t>
        </is>
      </c>
      <c r="C53" t="n">
        <v>4</v>
      </c>
      <c r="D53" t="n">
        <v>9</v>
      </c>
      <c r="E53" t="inlineStr">
        <is>
          <t>Calculation</t>
        </is>
      </c>
      <c r="F53" t="inlineStr">
        <is>
          <t>'='Revenue Model'!I19</t>
        </is>
      </c>
      <c r="G53" t="n">
        <v>2826.757194122707</v>
      </c>
      <c r="H53" t="inlineStr"/>
      <c r="I53" t="inlineStr">
        <is>
          <t>#,##0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inlineStr">
        <is>
          <t>G000038</t>
        </is>
      </c>
      <c r="T53" t="inlineStr">
        <is>
          <t>Horizontal</t>
        </is>
      </c>
      <c r="U53" t="n">
        <v>9</v>
      </c>
      <c r="V53" t="b">
        <v>1</v>
      </c>
      <c r="W53" t="inlineStr">
        <is>
          <t>Financial Statements!A4:I4</t>
        </is>
      </c>
      <c r="X53">
        <f>'Revenue Model'!R[15]C[0]</f>
        <v/>
      </c>
    </row>
    <row r="54">
      <c r="A54" t="inlineStr">
        <is>
          <t>Financial Statements</t>
        </is>
      </c>
      <c r="B54" t="inlineStr">
        <is>
          <t>K4</t>
        </is>
      </c>
      <c r="C54" t="n">
        <v>4</v>
      </c>
      <c r="D54" t="n">
        <v>11</v>
      </c>
      <c r="E54" t="inlineStr">
        <is>
          <t>Input</t>
        </is>
      </c>
      <c r="F54" t="n">
        <v/>
      </c>
      <c r="G54" t="inlineStr">
        <is>
          <t>Reserves &amp; Surplus</t>
        </is>
      </c>
      <c r="H54" t="inlineStr"/>
      <c r="I54" t="inlineStr">
        <is>
          <t>General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Financial Statements</t>
        </is>
      </c>
      <c r="B55" t="inlineStr">
        <is>
          <t>L4</t>
        </is>
      </c>
      <c r="C55" t="n">
        <v>4</v>
      </c>
      <c r="D55" t="n">
        <v>12</v>
      </c>
      <c r="E55" t="inlineStr">
        <is>
          <t>Input</t>
        </is>
      </c>
      <c r="F55" t="n">
        <v/>
      </c>
      <c r="H55" t="inlineStr"/>
      <c r="I55" t="inlineStr">
        <is>
          <t>#,##0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0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Financial Statements</t>
        </is>
      </c>
      <c r="B56" t="inlineStr">
        <is>
          <t>M4</t>
        </is>
      </c>
      <c r="C56" t="n">
        <v>4</v>
      </c>
      <c r="D56" t="n">
        <v>13</v>
      </c>
      <c r="E56" t="inlineStr">
        <is>
          <t>Input</t>
        </is>
      </c>
      <c r="F56" t="n">
        <v/>
      </c>
      <c r="H56" t="inlineStr"/>
      <c r="I56" t="inlineStr">
        <is>
          <t>#,##0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0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Financial Statements</t>
        </is>
      </c>
      <c r="B57" t="inlineStr">
        <is>
          <t>N4</t>
        </is>
      </c>
      <c r="C57" t="n">
        <v>4</v>
      </c>
      <c r="D57" t="n">
        <v>14</v>
      </c>
      <c r="E57" t="inlineStr">
        <is>
          <t>Input</t>
        </is>
      </c>
      <c r="F57" t="n">
        <v/>
      </c>
      <c r="G57" t="n">
        <v>9167.860000000001</v>
      </c>
      <c r="H57" t="inlineStr"/>
      <c r="I57" t="inlineStr">
        <is>
          <t>#,##0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Financial Statements</t>
        </is>
      </c>
      <c r="B58" t="inlineStr">
        <is>
          <t>O4</t>
        </is>
      </c>
      <c r="C58" t="n">
        <v>4</v>
      </c>
      <c r="D58" t="n">
        <v>15</v>
      </c>
      <c r="E58" t="inlineStr">
        <is>
          <t>Calculation</t>
        </is>
      </c>
      <c r="F58" t="inlineStr">
        <is>
          <t>'=N4+E20</t>
        </is>
      </c>
      <c r="G58" t="n">
        <v>9775.935080537865</v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inlineStr">
        <is>
          <t>G000043</t>
        </is>
      </c>
      <c r="T58" t="inlineStr">
        <is>
          <t>Horizontal</t>
        </is>
      </c>
      <c r="U58" t="n">
        <v>5</v>
      </c>
      <c r="V58" t="b">
        <v>1</v>
      </c>
      <c r="W58" t="inlineStr">
        <is>
          <t>Financial Statements!O4:S4</t>
        </is>
      </c>
      <c r="X58">
        <f>R[0]C[-1]+R[16]C[-10]</f>
        <v/>
      </c>
    </row>
    <row r="59">
      <c r="A59" t="inlineStr">
        <is>
          <t>Financial Statements</t>
        </is>
      </c>
      <c r="B59" t="inlineStr">
        <is>
          <t>P4</t>
        </is>
      </c>
      <c r="C59" t="n">
        <v>4</v>
      </c>
      <c r="D59" t="n">
        <v>16</v>
      </c>
      <c r="E59" t="inlineStr">
        <is>
          <t>Calculation</t>
        </is>
      </c>
      <c r="F59" t="inlineStr">
        <is>
          <t>'=O4+F20</t>
        </is>
      </c>
      <c r="G59" t="n">
        <v>10425.74684436236</v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inlineStr">
        <is>
          <t>G000043</t>
        </is>
      </c>
      <c r="T59" t="inlineStr">
        <is>
          <t>Horizontal</t>
        </is>
      </c>
      <c r="U59" t="n">
        <v>5</v>
      </c>
      <c r="V59" t="b">
        <v>1</v>
      </c>
      <c r="W59" t="inlineStr">
        <is>
          <t>Financial Statements!O4:S4</t>
        </is>
      </c>
      <c r="X59">
        <f>R[0]C[-1]+R[16]C[-10]</f>
        <v/>
      </c>
    </row>
    <row r="60">
      <c r="A60" t="inlineStr">
        <is>
          <t>Financial Statements</t>
        </is>
      </c>
      <c r="B60" t="inlineStr">
        <is>
          <t>Q4</t>
        </is>
      </c>
      <c r="C60" t="n">
        <v>4</v>
      </c>
      <c r="D60" t="n">
        <v>17</v>
      </c>
      <c r="E60" t="inlineStr">
        <is>
          <t>Calculation</t>
        </is>
      </c>
      <c r="F60" t="inlineStr">
        <is>
          <t>'=P4+G20</t>
        </is>
      </c>
      <c r="G60" t="n">
        <v>11114.37960676032</v>
      </c>
      <c r="H60" t="inlineStr"/>
      <c r="I60" t="inlineStr">
        <is>
          <t>_-* #,##0_-;\-* #,##0_-;_-* "-"??_-;_-@_-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inlineStr">
        <is>
          <t>G000043</t>
        </is>
      </c>
      <c r="T60" t="inlineStr">
        <is>
          <t>Horizontal</t>
        </is>
      </c>
      <c r="U60" t="n">
        <v>5</v>
      </c>
      <c r="V60" t="b">
        <v>1</v>
      </c>
      <c r="W60" t="inlineStr">
        <is>
          <t>Financial Statements!O4:S4</t>
        </is>
      </c>
      <c r="X60">
        <f>R[0]C[-1]+R[16]C[-10]</f>
        <v/>
      </c>
    </row>
    <row r="61">
      <c r="A61" t="inlineStr">
        <is>
          <t>Financial Statements</t>
        </is>
      </c>
      <c r="B61" t="inlineStr">
        <is>
          <t>R4</t>
        </is>
      </c>
      <c r="C61" t="n">
        <v>4</v>
      </c>
      <c r="D61" t="n">
        <v>18</v>
      </c>
      <c r="E61" t="inlineStr">
        <is>
          <t>Calculation</t>
        </is>
      </c>
      <c r="F61" t="inlineStr">
        <is>
          <t>'=Q4+H20</t>
        </is>
      </c>
      <c r="G61" t="n">
        <v>11838.81970358575</v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G000043</t>
        </is>
      </c>
      <c r="T61" t="inlineStr">
        <is>
          <t>Horizontal</t>
        </is>
      </c>
      <c r="U61" t="n">
        <v>5</v>
      </c>
      <c r="V61" t="b">
        <v>1</v>
      </c>
      <c r="W61" t="inlineStr">
        <is>
          <t>Financial Statements!O4:S4</t>
        </is>
      </c>
      <c r="X61">
        <f>R[0]C[-1]+R[16]C[-10]</f>
        <v/>
      </c>
    </row>
    <row r="62">
      <c r="A62" t="inlineStr">
        <is>
          <t>Financial Statements</t>
        </is>
      </c>
      <c r="B62" t="inlineStr">
        <is>
          <t>S4</t>
        </is>
      </c>
      <c r="C62" t="n">
        <v>4</v>
      </c>
      <c r="D62" t="n">
        <v>19</v>
      </c>
      <c r="E62" t="inlineStr">
        <is>
          <t>Calculation</t>
        </is>
      </c>
      <c r="F62" t="inlineStr">
        <is>
          <t>'=R4+I20</t>
        </is>
      </c>
      <c r="G62" t="n">
        <v>12595.89211658078</v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inlineStr">
        <is>
          <t>G000043</t>
        </is>
      </c>
      <c r="T62" t="inlineStr">
        <is>
          <t>Horizontal</t>
        </is>
      </c>
      <c r="U62" t="n">
        <v>5</v>
      </c>
      <c r="V62" t="b">
        <v>1</v>
      </c>
      <c r="W62" t="inlineStr">
        <is>
          <t>Financial Statements!O4:S4</t>
        </is>
      </c>
      <c r="X62">
        <f>R[0]C[-1]+R[16]C[-10]</f>
        <v/>
      </c>
    </row>
    <row r="63">
      <c r="A63" t="inlineStr">
        <is>
          <t>Financial Statements</t>
        </is>
      </c>
      <c r="B63" t="inlineStr">
        <is>
          <t>A5</t>
        </is>
      </c>
      <c r="C63" t="n">
        <v>5</v>
      </c>
      <c r="D63" t="n">
        <v>1</v>
      </c>
      <c r="E63" t="inlineStr">
        <is>
          <t>Output</t>
        </is>
      </c>
      <c r="F63" t="inlineStr">
        <is>
          <t>'='Revenue Model'!A20</t>
        </is>
      </c>
      <c r="G63" t="inlineStr">
        <is>
          <t>Power</t>
        </is>
      </c>
      <c r="H63" t="inlineStr"/>
      <c r="I63" t="inlineStr">
        <is>
          <t>General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inlineStr">
        <is>
          <t>G000039</t>
        </is>
      </c>
      <c r="T63" t="inlineStr">
        <is>
          <t>Horizontal</t>
        </is>
      </c>
      <c r="U63" t="n">
        <v>9</v>
      </c>
      <c r="V63" t="b">
        <v>1</v>
      </c>
      <c r="W63" t="inlineStr">
        <is>
          <t>Financial Statements!A5:I5</t>
        </is>
      </c>
      <c r="X63">
        <f>'Revenue Model'!R[15]C[0]</f>
        <v/>
      </c>
    </row>
    <row r="64">
      <c r="A64" t="inlineStr">
        <is>
          <t>Financial Statements</t>
        </is>
      </c>
      <c r="B64" t="inlineStr">
        <is>
          <t>B5</t>
        </is>
      </c>
      <c r="C64" t="n">
        <v>5</v>
      </c>
      <c r="D64" t="n">
        <v>2</v>
      </c>
      <c r="E64" t="inlineStr">
        <is>
          <t>Calculation</t>
        </is>
      </c>
      <c r="F64" t="inlineStr">
        <is>
          <t>'='Revenue Model'!B20</t>
        </is>
      </c>
      <c r="G64" t="n">
        <v>2396.67</v>
      </c>
      <c r="H64" t="inlineStr"/>
      <c r="I64" t="inlineStr">
        <is>
          <t>#,##0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inlineStr">
        <is>
          <t>G000039</t>
        </is>
      </c>
      <c r="T64" t="inlineStr">
        <is>
          <t>Horizontal</t>
        </is>
      </c>
      <c r="U64" t="n">
        <v>9</v>
      </c>
      <c r="V64" t="b">
        <v>1</v>
      </c>
      <c r="W64" t="inlineStr">
        <is>
          <t>Financial Statements!A5:I5</t>
        </is>
      </c>
      <c r="X64">
        <f>'Revenue Model'!R[15]C[0]</f>
        <v/>
      </c>
    </row>
    <row r="65">
      <c r="A65" t="inlineStr">
        <is>
          <t>Financial Statements</t>
        </is>
      </c>
      <c r="B65" t="inlineStr">
        <is>
          <t>C5</t>
        </is>
      </c>
      <c r="C65" t="n">
        <v>5</v>
      </c>
      <c r="D65" t="n">
        <v>3</v>
      </c>
      <c r="E65" t="inlineStr">
        <is>
          <t>Calculation</t>
        </is>
      </c>
      <c r="F65" t="inlineStr">
        <is>
          <t>'='Revenue Model'!C20</t>
        </is>
      </c>
      <c r="G65" t="n">
        <v>2159.91</v>
      </c>
      <c r="H65" t="inlineStr"/>
      <c r="I65" t="inlineStr">
        <is>
          <t>#,##0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inlineStr">
        <is>
          <t>G000039</t>
        </is>
      </c>
      <c r="T65" t="inlineStr">
        <is>
          <t>Horizontal</t>
        </is>
      </c>
      <c r="U65" t="n">
        <v>9</v>
      </c>
      <c r="V65" t="b">
        <v>1</v>
      </c>
      <c r="W65" t="inlineStr">
        <is>
          <t>Financial Statements!A5:I5</t>
        </is>
      </c>
      <c r="X65">
        <f>'Revenue Model'!R[15]C[0]</f>
        <v/>
      </c>
    </row>
    <row r="66">
      <c r="A66" t="inlineStr">
        <is>
          <t>Financial Statements</t>
        </is>
      </c>
      <c r="B66" t="inlineStr">
        <is>
          <t>D5</t>
        </is>
      </c>
      <c r="C66" t="n">
        <v>5</v>
      </c>
      <c r="D66" t="n">
        <v>4</v>
      </c>
      <c r="E66" t="inlineStr">
        <is>
          <t>Calculation</t>
        </is>
      </c>
      <c r="F66" t="inlineStr">
        <is>
          <t>'='Revenue Model'!D20</t>
        </is>
      </c>
      <c r="G66" t="n">
        <v>2716.94</v>
      </c>
      <c r="H66" t="inlineStr"/>
      <c r="I66" t="inlineStr">
        <is>
          <t>#,##0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inlineStr">
        <is>
          <t>G000039</t>
        </is>
      </c>
      <c r="T66" t="inlineStr">
        <is>
          <t>Horizontal</t>
        </is>
      </c>
      <c r="U66" t="n">
        <v>9</v>
      </c>
      <c r="V66" t="b">
        <v>1</v>
      </c>
      <c r="W66" t="inlineStr">
        <is>
          <t>Financial Statements!A5:I5</t>
        </is>
      </c>
      <c r="X66">
        <f>'Revenue Model'!R[15]C[0]</f>
        <v/>
      </c>
    </row>
    <row r="67">
      <c r="A67" t="inlineStr">
        <is>
          <t>Financial Statements</t>
        </is>
      </c>
      <c r="B67" t="inlineStr">
        <is>
          <t>E5</t>
        </is>
      </c>
      <c r="C67" t="n">
        <v>5</v>
      </c>
      <c r="D67" t="n">
        <v>5</v>
      </c>
      <c r="E67" t="inlineStr">
        <is>
          <t>Calculation</t>
        </is>
      </c>
      <c r="F67" t="inlineStr">
        <is>
          <t>'='Revenue Model'!E20</t>
        </is>
      </c>
      <c r="G67" t="n">
        <v>2925.009455696203</v>
      </c>
      <c r="H67" t="inlineStr"/>
      <c r="I67" t="inlineStr">
        <is>
          <t>#,##0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inlineStr">
        <is>
          <t>G000039</t>
        </is>
      </c>
      <c r="T67" t="inlineStr">
        <is>
          <t>Horizontal</t>
        </is>
      </c>
      <c r="U67" t="n">
        <v>9</v>
      </c>
      <c r="V67" t="b">
        <v>1</v>
      </c>
      <c r="W67" t="inlineStr">
        <is>
          <t>Financial Statements!A5:I5</t>
        </is>
      </c>
      <c r="X67">
        <f>'Revenue Model'!R[15]C[0]</f>
        <v/>
      </c>
    </row>
    <row r="68">
      <c r="A68" t="inlineStr">
        <is>
          <t>Financial Statements</t>
        </is>
      </c>
      <c r="B68" t="inlineStr">
        <is>
          <t>F5</t>
        </is>
      </c>
      <c r="C68" t="n">
        <v>5</v>
      </c>
      <c r="D68" t="n">
        <v>6</v>
      </c>
      <c r="E68" t="inlineStr">
        <is>
          <t>Calculation</t>
        </is>
      </c>
      <c r="F68" t="inlineStr">
        <is>
          <t>'='Revenue Model'!F20</t>
        </is>
      </c>
      <c r="G68" t="n">
        <v>3147.093506962026</v>
      </c>
      <c r="H68" t="inlineStr"/>
      <c r="I68" t="inlineStr">
        <is>
          <t>#,##0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inlineStr">
        <is>
          <t>G000039</t>
        </is>
      </c>
      <c r="T68" t="inlineStr">
        <is>
          <t>Horizontal</t>
        </is>
      </c>
      <c r="U68" t="n">
        <v>9</v>
      </c>
      <c r="V68" t="b">
        <v>1</v>
      </c>
      <c r="W68" t="inlineStr">
        <is>
          <t>Financial Statements!A5:I5</t>
        </is>
      </c>
      <c r="X68">
        <f>'Revenue Model'!R[15]C[0]</f>
        <v/>
      </c>
    </row>
    <row r="69">
      <c r="A69" t="inlineStr">
        <is>
          <t>Financial Statements</t>
        </is>
      </c>
      <c r="B69" t="inlineStr">
        <is>
          <t>G5</t>
        </is>
      </c>
      <c r="C69" t="n">
        <v>5</v>
      </c>
      <c r="D69" t="n">
        <v>7</v>
      </c>
      <c r="E69" t="inlineStr">
        <is>
          <t>Calculation</t>
        </is>
      </c>
      <c r="F69" t="inlineStr">
        <is>
          <t>'='Revenue Model'!G20</t>
        </is>
      </c>
      <c r="G69" t="n">
        <v>3384.07343971519</v>
      </c>
      <c r="H69" t="inlineStr"/>
      <c r="I69" t="inlineStr">
        <is>
          <t>#,##0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inlineStr">
        <is>
          <t>G000039</t>
        </is>
      </c>
      <c r="T69" t="inlineStr">
        <is>
          <t>Horizontal</t>
        </is>
      </c>
      <c r="U69" t="n">
        <v>9</v>
      </c>
      <c r="V69" t="b">
        <v>1</v>
      </c>
      <c r="W69" t="inlineStr">
        <is>
          <t>Financial Statements!A5:I5</t>
        </is>
      </c>
      <c r="X69">
        <f>'Revenue Model'!R[15]C[0]</f>
        <v/>
      </c>
    </row>
    <row r="70">
      <c r="A70" t="inlineStr">
        <is>
          <t>Financial Statements</t>
        </is>
      </c>
      <c r="B70" t="inlineStr">
        <is>
          <t>H5</t>
        </is>
      </c>
      <c r="C70" t="n">
        <v>5</v>
      </c>
      <c r="D70" t="n">
        <v>8</v>
      </c>
      <c r="E70" t="inlineStr">
        <is>
          <t>Calculation</t>
        </is>
      </c>
      <c r="F70" t="inlineStr">
        <is>
          <t>'='Revenue Model'!H20</t>
        </is>
      </c>
      <c r="G70" t="n">
        <v>3636.883631976267</v>
      </c>
      <c r="H70" t="inlineStr"/>
      <c r="I70" t="inlineStr">
        <is>
          <t>#,##0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G000039</t>
        </is>
      </c>
      <c r="T70" t="inlineStr">
        <is>
          <t>Horizontal</t>
        </is>
      </c>
      <c r="U70" t="n">
        <v>9</v>
      </c>
      <c r="V70" t="b">
        <v>1</v>
      </c>
      <c r="W70" t="inlineStr">
        <is>
          <t>Financial Statements!A5:I5</t>
        </is>
      </c>
      <c r="X70">
        <f>'Revenue Model'!R[15]C[0]</f>
        <v/>
      </c>
    </row>
    <row r="71">
      <c r="A71" t="inlineStr">
        <is>
          <t>Financial Statements</t>
        </is>
      </c>
      <c r="B71" t="inlineStr">
        <is>
          <t>I5</t>
        </is>
      </c>
      <c r="C71" t="n">
        <v>5</v>
      </c>
      <c r="D71" t="n">
        <v>9</v>
      </c>
      <c r="E71" t="inlineStr">
        <is>
          <t>Calculation</t>
        </is>
      </c>
      <c r="F71" t="inlineStr">
        <is>
          <t>'='Revenue Model'!I20</t>
        </is>
      </c>
      <c r="G71" t="n">
        <v>3906.514659864164</v>
      </c>
      <c r="H71" t="inlineStr"/>
      <c r="I71" t="inlineStr">
        <is>
          <t>#,##0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G000039</t>
        </is>
      </c>
      <c r="T71" t="inlineStr">
        <is>
          <t>Horizontal</t>
        </is>
      </c>
      <c r="U71" t="n">
        <v>9</v>
      </c>
      <c r="V71" t="b">
        <v>1</v>
      </c>
      <c r="W71" t="inlineStr">
        <is>
          <t>Financial Statements!A5:I5</t>
        </is>
      </c>
      <c r="X71">
        <f>'Revenue Model'!R[15]C[0]</f>
        <v/>
      </c>
    </row>
    <row r="72">
      <c r="A72" t="inlineStr">
        <is>
          <t>Financial Statements</t>
        </is>
      </c>
      <c r="B72" t="inlineStr">
        <is>
          <t>K5</t>
        </is>
      </c>
      <c r="C72" t="n">
        <v>5</v>
      </c>
      <c r="D72" t="n">
        <v>11</v>
      </c>
      <c r="E72" t="inlineStr">
        <is>
          <t>Input</t>
        </is>
      </c>
      <c r="F72" t="n">
        <v/>
      </c>
      <c r="G72" t="inlineStr">
        <is>
          <t>Debt</t>
        </is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Financial Statements</t>
        </is>
      </c>
      <c r="B73" t="inlineStr">
        <is>
          <t>N5</t>
        </is>
      </c>
      <c r="C73" t="n">
        <v>5</v>
      </c>
      <c r="D73" t="n">
        <v>14</v>
      </c>
      <c r="E73" t="inlineStr">
        <is>
          <t>Input</t>
        </is>
      </c>
      <c r="F73" t="n">
        <v/>
      </c>
      <c r="G73" t="n">
        <v>0</v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Financial Statements</t>
        </is>
      </c>
      <c r="B74" t="inlineStr">
        <is>
          <t>O5</t>
        </is>
      </c>
      <c r="C74" t="n">
        <v>5</v>
      </c>
      <c r="D74" t="n">
        <v>15</v>
      </c>
      <c r="E74" t="inlineStr">
        <is>
          <t>Input</t>
        </is>
      </c>
      <c r="F74" t="n">
        <v/>
      </c>
      <c r="G74" t="n">
        <v>0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Financial Statements</t>
        </is>
      </c>
      <c r="B75" t="inlineStr">
        <is>
          <t>P5</t>
        </is>
      </c>
      <c r="C75" t="n">
        <v>5</v>
      </c>
      <c r="D75" t="n">
        <v>16</v>
      </c>
      <c r="E75" t="inlineStr">
        <is>
          <t>Input</t>
        </is>
      </c>
      <c r="F75" t="n">
        <v/>
      </c>
      <c r="G75" t="n">
        <v>0</v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Financial Statements</t>
        </is>
      </c>
      <c r="B76" t="inlineStr">
        <is>
          <t>Q5</t>
        </is>
      </c>
      <c r="C76" t="n">
        <v>5</v>
      </c>
      <c r="D76" t="n">
        <v>17</v>
      </c>
      <c r="E76" t="inlineStr">
        <is>
          <t>Input</t>
        </is>
      </c>
      <c r="F76" t="n">
        <v/>
      </c>
      <c r="G76" t="n">
        <v>0</v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Financial Statements</t>
        </is>
      </c>
      <c r="B77" t="inlineStr">
        <is>
          <t>R5</t>
        </is>
      </c>
      <c r="C77" t="n">
        <v>5</v>
      </c>
      <c r="D77" t="n">
        <v>18</v>
      </c>
      <c r="E77" t="inlineStr">
        <is>
          <t>Input</t>
        </is>
      </c>
      <c r="F77" t="n">
        <v/>
      </c>
      <c r="G77" t="n">
        <v>0</v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Financial Statements</t>
        </is>
      </c>
      <c r="B78" t="inlineStr">
        <is>
          <t>S5</t>
        </is>
      </c>
      <c r="C78" t="n">
        <v>5</v>
      </c>
      <c r="D78" t="n">
        <v>19</v>
      </c>
      <c r="E78" t="inlineStr">
        <is>
          <t>Input</t>
        </is>
      </c>
      <c r="F78" t="n">
        <v/>
      </c>
      <c r="G78" t="n">
        <v>0</v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Financial Statements</t>
        </is>
      </c>
      <c r="B79" t="inlineStr">
        <is>
          <t>A6</t>
        </is>
      </c>
      <c r="C79" t="n">
        <v>6</v>
      </c>
      <c r="D79" t="n">
        <v>1</v>
      </c>
      <c r="E79" t="inlineStr">
        <is>
          <t>Output</t>
        </is>
      </c>
      <c r="F79" t="inlineStr">
        <is>
          <t>'='Revenue Model'!A21</t>
        </is>
      </c>
      <c r="G79" t="inlineStr">
        <is>
          <t>Transport</t>
        </is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G000040</t>
        </is>
      </c>
      <c r="T79" t="inlineStr">
        <is>
          <t>Horizontal</t>
        </is>
      </c>
      <c r="U79" t="n">
        <v>9</v>
      </c>
      <c r="V79" t="b">
        <v>1</v>
      </c>
      <c r="W79" t="inlineStr">
        <is>
          <t>Financial Statements!A6:I6</t>
        </is>
      </c>
      <c r="X79">
        <f>'Revenue Model'!R[15]C[0]</f>
        <v/>
      </c>
    </row>
    <row r="80">
      <c r="A80" t="inlineStr">
        <is>
          <t>Financial Statements</t>
        </is>
      </c>
      <c r="B80" t="inlineStr">
        <is>
          <t>B6</t>
        </is>
      </c>
      <c r="C80" t="n">
        <v>6</v>
      </c>
      <c r="D80" t="n">
        <v>2</v>
      </c>
      <c r="E80" t="inlineStr">
        <is>
          <t>Calculation</t>
        </is>
      </c>
      <c r="F80" t="inlineStr">
        <is>
          <t>'='Revenue Model'!B21</t>
        </is>
      </c>
      <c r="G80" t="n">
        <v>2704.21</v>
      </c>
      <c r="H80" t="inlineStr"/>
      <c r="I80" t="inlineStr">
        <is>
          <t>#,##0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inlineStr">
        <is>
          <t>G000040</t>
        </is>
      </c>
      <c r="T80" t="inlineStr">
        <is>
          <t>Horizontal</t>
        </is>
      </c>
      <c r="U80" t="n">
        <v>9</v>
      </c>
      <c r="V80" t="b">
        <v>1</v>
      </c>
      <c r="W80" t="inlineStr">
        <is>
          <t>Financial Statements!A6:I6</t>
        </is>
      </c>
      <c r="X80">
        <f>'Revenue Model'!R[15]C[0]</f>
        <v/>
      </c>
    </row>
    <row r="81">
      <c r="A81" t="inlineStr">
        <is>
          <t>Financial Statements</t>
        </is>
      </c>
      <c r="B81" t="inlineStr">
        <is>
          <t>C6</t>
        </is>
      </c>
      <c r="C81" t="n">
        <v>6</v>
      </c>
      <c r="D81" t="n">
        <v>3</v>
      </c>
      <c r="E81" t="inlineStr">
        <is>
          <t>Calculation</t>
        </is>
      </c>
      <c r="F81" t="inlineStr">
        <is>
          <t>'='Revenue Model'!C21</t>
        </is>
      </c>
      <c r="G81" t="n">
        <v>2636.11</v>
      </c>
      <c r="H81" t="inlineStr"/>
      <c r="I81" t="inlineStr">
        <is>
          <t>#,##0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G000040</t>
        </is>
      </c>
      <c r="T81" t="inlineStr">
        <is>
          <t>Horizontal</t>
        </is>
      </c>
      <c r="U81" t="n">
        <v>9</v>
      </c>
      <c r="V81" t="b">
        <v>1</v>
      </c>
      <c r="W81" t="inlineStr">
        <is>
          <t>Financial Statements!A6:I6</t>
        </is>
      </c>
      <c r="X81">
        <f>'Revenue Model'!R[15]C[0]</f>
        <v/>
      </c>
    </row>
    <row r="82">
      <c r="A82" t="inlineStr">
        <is>
          <t>Financial Statements</t>
        </is>
      </c>
      <c r="B82" t="inlineStr">
        <is>
          <t>D6</t>
        </is>
      </c>
      <c r="C82" t="n">
        <v>6</v>
      </c>
      <c r="D82" t="n">
        <v>4</v>
      </c>
      <c r="E82" t="inlineStr">
        <is>
          <t>Calculation</t>
        </is>
      </c>
      <c r="F82" t="inlineStr">
        <is>
          <t>'='Revenue Model'!D21</t>
        </is>
      </c>
      <c r="G82" t="n">
        <v>3433.75</v>
      </c>
      <c r="H82" t="inlineStr"/>
      <c r="I82" t="inlineStr">
        <is>
          <t>#,##0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inlineStr">
        <is>
          <t>G000040</t>
        </is>
      </c>
      <c r="T82" t="inlineStr">
        <is>
          <t>Horizontal</t>
        </is>
      </c>
      <c r="U82" t="n">
        <v>9</v>
      </c>
      <c r="V82" t="b">
        <v>1</v>
      </c>
      <c r="W82" t="inlineStr">
        <is>
          <t>Financial Statements!A6:I6</t>
        </is>
      </c>
      <c r="X82">
        <f>'Revenue Model'!R[15]C[0]</f>
        <v/>
      </c>
    </row>
    <row r="83">
      <c r="A83" t="inlineStr">
        <is>
          <t>Financial Statements</t>
        </is>
      </c>
      <c r="B83" t="inlineStr">
        <is>
          <t>E6</t>
        </is>
      </c>
      <c r="C83" t="n">
        <v>6</v>
      </c>
      <c r="D83" t="n">
        <v>5</v>
      </c>
      <c r="E83" t="inlineStr">
        <is>
          <t>Calculation</t>
        </is>
      </c>
      <c r="F83" t="inlineStr">
        <is>
          <t>'='Revenue Model'!E21</t>
        </is>
      </c>
      <c r="G83" t="n">
        <v>3913.326736518988</v>
      </c>
      <c r="H83" t="inlineStr"/>
      <c r="I83" t="inlineStr">
        <is>
          <t>#,##0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G000040</t>
        </is>
      </c>
      <c r="T83" t="inlineStr">
        <is>
          <t>Horizontal</t>
        </is>
      </c>
      <c r="U83" t="n">
        <v>9</v>
      </c>
      <c r="V83" t="b">
        <v>1</v>
      </c>
      <c r="W83" t="inlineStr">
        <is>
          <t>Financial Statements!A6:I6</t>
        </is>
      </c>
      <c r="X83">
        <f>'Revenue Model'!R[15]C[0]</f>
        <v/>
      </c>
    </row>
    <row r="84">
      <c r="A84" t="inlineStr">
        <is>
          <t>Financial Statements</t>
        </is>
      </c>
      <c r="B84" t="inlineStr">
        <is>
          <t>F6</t>
        </is>
      </c>
      <c r="C84" t="n">
        <v>6</v>
      </c>
      <c r="D84" t="n">
        <v>6</v>
      </c>
      <c r="E84" t="inlineStr">
        <is>
          <t>Calculation</t>
        </is>
      </c>
      <c r="F84" t="inlineStr">
        <is>
          <t>'='Revenue Model'!F21</t>
        </is>
      </c>
      <c r="G84" t="n">
        <v>4288.135969139242</v>
      </c>
      <c r="H84" t="inlineStr"/>
      <c r="I84" t="inlineStr">
        <is>
          <t>#,##0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G000040</t>
        </is>
      </c>
      <c r="T84" t="inlineStr">
        <is>
          <t>Horizontal</t>
        </is>
      </c>
      <c r="U84" t="n">
        <v>9</v>
      </c>
      <c r="V84" t="b">
        <v>1</v>
      </c>
      <c r="W84" t="inlineStr">
        <is>
          <t>Financial Statements!A6:I6</t>
        </is>
      </c>
      <c r="X84">
        <f>'Revenue Model'!R[15]C[0]</f>
        <v/>
      </c>
    </row>
    <row r="85">
      <c r="A85" t="inlineStr">
        <is>
          <t>Financial Statements</t>
        </is>
      </c>
      <c r="B85" t="inlineStr">
        <is>
          <t>G6</t>
        </is>
      </c>
      <c r="C85" t="n">
        <v>6</v>
      </c>
      <c r="D85" t="n">
        <v>7</v>
      </c>
      <c r="E85" t="inlineStr">
        <is>
          <t>Calculation</t>
        </is>
      </c>
      <c r="F85" t="inlineStr">
        <is>
          <t>'='Revenue Model'!G21</t>
        </is>
      </c>
      <c r="G85" t="n">
        <v>4694.573920977058</v>
      </c>
      <c r="H85" t="inlineStr"/>
      <c r="I85" t="inlineStr">
        <is>
          <t>#,##0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inlineStr">
        <is>
          <t>G000040</t>
        </is>
      </c>
      <c r="T85" t="inlineStr">
        <is>
          <t>Horizontal</t>
        </is>
      </c>
      <c r="U85" t="n">
        <v>9</v>
      </c>
      <c r="V85" t="b">
        <v>1</v>
      </c>
      <c r="W85" t="inlineStr">
        <is>
          <t>Financial Statements!A6:I6</t>
        </is>
      </c>
      <c r="X85">
        <f>'Revenue Model'!R[15]C[0]</f>
        <v/>
      </c>
    </row>
    <row r="86">
      <c r="A86" t="inlineStr">
        <is>
          <t>Financial Statements</t>
        </is>
      </c>
      <c r="B86" t="inlineStr">
        <is>
          <t>H6</t>
        </is>
      </c>
      <c r="C86" t="n">
        <v>6</v>
      </c>
      <c r="D86" t="n">
        <v>8</v>
      </c>
      <c r="E86" t="inlineStr">
        <is>
          <t>Calculation</t>
        </is>
      </c>
      <c r="F86" t="inlineStr">
        <is>
          <t>'='Revenue Model'!H21</t>
        </is>
      </c>
      <c r="G86" t="n">
        <v>5135.062996512485</v>
      </c>
      <c r="H86" t="inlineStr"/>
      <c r="I86" t="inlineStr">
        <is>
          <t>#,##0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inlineStr">
        <is>
          <t>G000040</t>
        </is>
      </c>
      <c r="T86" t="inlineStr">
        <is>
          <t>Horizontal</t>
        </is>
      </c>
      <c r="U86" t="n">
        <v>9</v>
      </c>
      <c r="V86" t="b">
        <v>1</v>
      </c>
      <c r="W86" t="inlineStr">
        <is>
          <t>Financial Statements!A6:I6</t>
        </is>
      </c>
      <c r="X86">
        <f>'Revenue Model'!R[15]C[0]</f>
        <v/>
      </c>
    </row>
    <row r="87">
      <c r="A87" t="inlineStr">
        <is>
          <t>Financial Statements</t>
        </is>
      </c>
      <c r="B87" t="inlineStr">
        <is>
          <t>I6</t>
        </is>
      </c>
      <c r="C87" t="n">
        <v>6</v>
      </c>
      <c r="D87" t="n">
        <v>9</v>
      </c>
      <c r="E87" t="inlineStr">
        <is>
          <t>Calculation</t>
        </is>
      </c>
      <c r="F87" t="inlineStr">
        <is>
          <t>'='Revenue Model'!I21</t>
        </is>
      </c>
      <c r="G87" t="n">
        <v>5612.198596657526</v>
      </c>
      <c r="H87" t="inlineStr"/>
      <c r="I87" t="inlineStr">
        <is>
          <t>#,##0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inlineStr">
        <is>
          <t>G000040</t>
        </is>
      </c>
      <c r="T87" t="inlineStr">
        <is>
          <t>Horizontal</t>
        </is>
      </c>
      <c r="U87" t="n">
        <v>9</v>
      </c>
      <c r="V87" t="b">
        <v>1</v>
      </c>
      <c r="W87" t="inlineStr">
        <is>
          <t>Financial Statements!A6:I6</t>
        </is>
      </c>
      <c r="X87">
        <f>'Revenue Model'!R[15]C[0]</f>
        <v/>
      </c>
    </row>
    <row r="88">
      <c r="A88" t="inlineStr">
        <is>
          <t>Financial Statements</t>
        </is>
      </c>
      <c r="B88" t="inlineStr">
        <is>
          <t>N6</t>
        </is>
      </c>
      <c r="C88" t="n">
        <v>6</v>
      </c>
      <c r="D88" t="n">
        <v>14</v>
      </c>
      <c r="E88" t="inlineStr">
        <is>
          <t>Calculation</t>
        </is>
      </c>
      <c r="F88" t="inlineStr">
        <is>
          <t>'=SUM(N3:N5)</t>
        </is>
      </c>
      <c r="G88" t="n">
        <v>9355.860000000001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inlineStr">
        <is>
          <t>G000044</t>
        </is>
      </c>
      <c r="T88" t="inlineStr">
        <is>
          <t>Horizontal</t>
        </is>
      </c>
      <c r="U88" t="n">
        <v>6</v>
      </c>
      <c r="V88" t="b">
        <v>1</v>
      </c>
      <c r="W88" t="inlineStr">
        <is>
          <t>Financial Statements!N6:S6</t>
        </is>
      </c>
      <c r="X88">
        <f>SUM(R[-3]C[0]:R[-1]C[0])</f>
        <v/>
      </c>
    </row>
    <row r="89">
      <c r="A89" t="inlineStr">
        <is>
          <t>Financial Statements</t>
        </is>
      </c>
      <c r="B89" t="inlineStr">
        <is>
          <t>O6</t>
        </is>
      </c>
      <c r="C89" t="n">
        <v>6</v>
      </c>
      <c r="D89" t="n">
        <v>15</v>
      </c>
      <c r="E89" t="inlineStr">
        <is>
          <t>Calculation</t>
        </is>
      </c>
      <c r="F89" t="inlineStr">
        <is>
          <t>'=SUM(O3:O5)</t>
        </is>
      </c>
      <c r="G89" t="n">
        <v>9963.925080537865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inlineStr">
        <is>
          <t>G000044</t>
        </is>
      </c>
      <c r="T89" t="inlineStr">
        <is>
          <t>Horizontal</t>
        </is>
      </c>
      <c r="U89" t="n">
        <v>6</v>
      </c>
      <c r="V89" t="b">
        <v>1</v>
      </c>
      <c r="W89" t="inlineStr">
        <is>
          <t>Financial Statements!N6:S6</t>
        </is>
      </c>
      <c r="X89">
        <f>SUM(R[-3]C[0]:R[-1]C[0])</f>
        <v/>
      </c>
    </row>
    <row r="90">
      <c r="A90" t="inlineStr">
        <is>
          <t>Financial Statements</t>
        </is>
      </c>
      <c r="B90" t="inlineStr">
        <is>
          <t>P6</t>
        </is>
      </c>
      <c r="C90" t="n">
        <v>6</v>
      </c>
      <c r="D90" t="n">
        <v>16</v>
      </c>
      <c r="E90" t="inlineStr">
        <is>
          <t>Calculation</t>
        </is>
      </c>
      <c r="F90" t="inlineStr">
        <is>
          <t>'=SUM(P3:P5)</t>
        </is>
      </c>
      <c r="G90" t="n">
        <v>10613.73684436236</v>
      </c>
      <c r="H90" t="inlineStr"/>
      <c r="I90" t="inlineStr">
        <is>
          <t>_-* #,##0_-;\-* #,##0_-;_-*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inlineStr">
        <is>
          <t>G000044</t>
        </is>
      </c>
      <c r="T90" t="inlineStr">
        <is>
          <t>Horizontal</t>
        </is>
      </c>
      <c r="U90" t="n">
        <v>6</v>
      </c>
      <c r="V90" t="b">
        <v>1</v>
      </c>
      <c r="W90" t="inlineStr">
        <is>
          <t>Financial Statements!N6:S6</t>
        </is>
      </c>
      <c r="X90">
        <f>SUM(R[-3]C[0]:R[-1]C[0])</f>
        <v/>
      </c>
    </row>
    <row r="91">
      <c r="A91" t="inlineStr">
        <is>
          <t>Financial Statements</t>
        </is>
      </c>
      <c r="B91" t="inlineStr">
        <is>
          <t>Q6</t>
        </is>
      </c>
      <c r="C91" t="n">
        <v>6</v>
      </c>
      <c r="D91" t="n">
        <v>17</v>
      </c>
      <c r="E91" t="inlineStr">
        <is>
          <t>Calculation</t>
        </is>
      </c>
      <c r="F91" t="inlineStr">
        <is>
          <t>'=SUM(Q3:Q5)</t>
        </is>
      </c>
      <c r="G91" t="n">
        <v>11302.36960676032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inlineStr">
        <is>
          <t>G000044</t>
        </is>
      </c>
      <c r="T91" t="inlineStr">
        <is>
          <t>Horizontal</t>
        </is>
      </c>
      <c r="U91" t="n">
        <v>6</v>
      </c>
      <c r="V91" t="b">
        <v>1</v>
      </c>
      <c r="W91" t="inlineStr">
        <is>
          <t>Financial Statements!N6:S6</t>
        </is>
      </c>
      <c r="X91">
        <f>SUM(R[-3]C[0]:R[-1]C[0])</f>
        <v/>
      </c>
    </row>
    <row r="92">
      <c r="A92" t="inlineStr">
        <is>
          <t>Financial Statements</t>
        </is>
      </c>
      <c r="B92" t="inlineStr">
        <is>
          <t>R6</t>
        </is>
      </c>
      <c r="C92" t="n">
        <v>6</v>
      </c>
      <c r="D92" t="n">
        <v>18</v>
      </c>
      <c r="E92" t="inlineStr">
        <is>
          <t>Calculation</t>
        </is>
      </c>
      <c r="F92" t="inlineStr">
        <is>
          <t>'=SUM(R3:R5)</t>
        </is>
      </c>
      <c r="G92" t="n">
        <v>12026.80970358575</v>
      </c>
      <c r="H92" t="inlineStr"/>
      <c r="I92" t="inlineStr">
        <is>
          <t>_-* #,##0_-;\-* #,##0_-;_-* "-"??_-;_-@_-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inlineStr">
        <is>
          <t>G000044</t>
        </is>
      </c>
      <c r="T92" t="inlineStr">
        <is>
          <t>Horizontal</t>
        </is>
      </c>
      <c r="U92" t="n">
        <v>6</v>
      </c>
      <c r="V92" t="b">
        <v>1</v>
      </c>
      <c r="W92" t="inlineStr">
        <is>
          <t>Financial Statements!N6:S6</t>
        </is>
      </c>
      <c r="X92">
        <f>SUM(R[-3]C[0]:R[-1]C[0])</f>
        <v/>
      </c>
    </row>
    <row r="93">
      <c r="A93" t="inlineStr">
        <is>
          <t>Financial Statements</t>
        </is>
      </c>
      <c r="B93" t="inlineStr">
        <is>
          <t>S6</t>
        </is>
      </c>
      <c r="C93" t="n">
        <v>6</v>
      </c>
      <c r="D93" t="n">
        <v>19</v>
      </c>
      <c r="E93" t="inlineStr">
        <is>
          <t>Calculation</t>
        </is>
      </c>
      <c r="F93" t="inlineStr">
        <is>
          <t>'=SUM(S3:S5)</t>
        </is>
      </c>
      <c r="G93" t="n">
        <v>12783.88211658078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inlineStr">
        <is>
          <t>G000044</t>
        </is>
      </c>
      <c r="T93" t="inlineStr">
        <is>
          <t>Horizontal</t>
        </is>
      </c>
      <c r="U93" t="n">
        <v>6</v>
      </c>
      <c r="V93" t="b">
        <v>1</v>
      </c>
      <c r="W93" t="inlineStr">
        <is>
          <t>Financial Statements!N6:S6</t>
        </is>
      </c>
      <c r="X93">
        <f>SUM(R[-3]C[0]:R[-1]C[0])</f>
        <v/>
      </c>
    </row>
    <row r="94">
      <c r="A94" t="inlineStr">
        <is>
          <t>Financial Statements</t>
        </is>
      </c>
      <c r="B94" t="inlineStr">
        <is>
          <t>A7</t>
        </is>
      </c>
      <c r="C94" t="n">
        <v>7</v>
      </c>
      <c r="D94" t="n">
        <v>1</v>
      </c>
      <c r="E94" t="inlineStr">
        <is>
          <t>Output</t>
        </is>
      </c>
      <c r="F94" t="inlineStr">
        <is>
          <t>'='Revenue Model'!A22</t>
        </is>
      </c>
      <c r="G94" t="inlineStr">
        <is>
          <t>Salaries</t>
        </is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inlineStr">
        <is>
          <t>G000041</t>
        </is>
      </c>
      <c r="T94" t="inlineStr">
        <is>
          <t>Horizontal</t>
        </is>
      </c>
      <c r="U94" t="n">
        <v>9</v>
      </c>
      <c r="V94" t="b">
        <v>1</v>
      </c>
      <c r="W94" t="inlineStr">
        <is>
          <t>Financial Statements!A7:I7</t>
        </is>
      </c>
      <c r="X94">
        <f>'Revenue Model'!R[15]C[0]</f>
        <v/>
      </c>
    </row>
    <row r="95">
      <c r="A95" t="inlineStr">
        <is>
          <t>Financial Statements</t>
        </is>
      </c>
      <c r="B95" t="inlineStr">
        <is>
          <t>B7</t>
        </is>
      </c>
      <c r="C95" t="n">
        <v>7</v>
      </c>
      <c r="D95" t="n">
        <v>2</v>
      </c>
      <c r="E95" t="inlineStr">
        <is>
          <t>Calculation</t>
        </is>
      </c>
      <c r="F95" t="inlineStr">
        <is>
          <t>'='Revenue Model'!B22</t>
        </is>
      </c>
      <c r="G95" t="n">
        <v>772.16</v>
      </c>
      <c r="H95" t="inlineStr"/>
      <c r="I95" t="inlineStr">
        <is>
          <t>#,##0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inlineStr">
        <is>
          <t>G000041</t>
        </is>
      </c>
      <c r="T95" t="inlineStr">
        <is>
          <t>Horizontal</t>
        </is>
      </c>
      <c r="U95" t="n">
        <v>9</v>
      </c>
      <c r="V95" t="b">
        <v>1</v>
      </c>
      <c r="W95" t="inlineStr">
        <is>
          <t>Financial Statements!A7:I7</t>
        </is>
      </c>
      <c r="X95">
        <f>'Revenue Model'!R[15]C[0]</f>
        <v/>
      </c>
    </row>
    <row r="96">
      <c r="A96" t="inlineStr">
        <is>
          <t>Financial Statements</t>
        </is>
      </c>
      <c r="B96" t="inlineStr">
        <is>
          <t>C7</t>
        </is>
      </c>
      <c r="C96" t="n">
        <v>7</v>
      </c>
      <c r="D96" t="n">
        <v>3</v>
      </c>
      <c r="E96" t="inlineStr">
        <is>
          <t>Calculation</t>
        </is>
      </c>
      <c r="F96" t="inlineStr">
        <is>
          <t>'='Revenue Model'!C22</t>
        </is>
      </c>
      <c r="G96" t="n">
        <v>756.72</v>
      </c>
      <c r="H96" t="inlineStr"/>
      <c r="I96" t="inlineStr">
        <is>
          <t>#,##0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G000041</t>
        </is>
      </c>
      <c r="T96" t="inlineStr">
        <is>
          <t>Horizontal</t>
        </is>
      </c>
      <c r="U96" t="n">
        <v>9</v>
      </c>
      <c r="V96" t="b">
        <v>1</v>
      </c>
      <c r="W96" t="inlineStr">
        <is>
          <t>Financial Statements!A7:I7</t>
        </is>
      </c>
      <c r="X96">
        <f>'Revenue Model'!R[15]C[0]</f>
        <v/>
      </c>
    </row>
    <row r="97">
      <c r="A97" t="inlineStr">
        <is>
          <t>Financial Statements</t>
        </is>
      </c>
      <c r="B97" t="inlineStr">
        <is>
          <t>D7</t>
        </is>
      </c>
      <c r="C97" t="n">
        <v>7</v>
      </c>
      <c r="D97" t="n">
        <v>4</v>
      </c>
      <c r="E97" t="inlineStr">
        <is>
          <t>Calculation</t>
        </is>
      </c>
      <c r="F97" t="inlineStr">
        <is>
          <t>'='Revenue Model'!D22</t>
        </is>
      </c>
      <c r="G97" t="n">
        <v>821.36</v>
      </c>
      <c r="H97" t="inlineStr"/>
      <c r="I97" t="inlineStr">
        <is>
          <t>#,##0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G000041</t>
        </is>
      </c>
      <c r="T97" t="inlineStr">
        <is>
          <t>Horizontal</t>
        </is>
      </c>
      <c r="U97" t="n">
        <v>9</v>
      </c>
      <c r="V97" t="b">
        <v>1</v>
      </c>
      <c r="W97" t="inlineStr">
        <is>
          <t>Financial Statements!A7:I7</t>
        </is>
      </c>
      <c r="X97">
        <f>'Revenue Model'!R[15]C[0]</f>
        <v/>
      </c>
    </row>
    <row r="98">
      <c r="A98" t="inlineStr">
        <is>
          <t>Financial Statements</t>
        </is>
      </c>
      <c r="B98" t="inlineStr">
        <is>
          <t>E7</t>
        </is>
      </c>
      <c r="C98" t="n">
        <v>7</v>
      </c>
      <c r="D98" t="n">
        <v>5</v>
      </c>
      <c r="E98" t="inlineStr">
        <is>
          <t>Calculation</t>
        </is>
      </c>
      <c r="F98" t="inlineStr">
        <is>
          <t>'='Revenue Model'!E22</t>
        </is>
      </c>
      <c r="G98" t="n">
        <v>884.2616202531647</v>
      </c>
      <c r="H98" t="inlineStr"/>
      <c r="I98" t="inlineStr">
        <is>
          <t>#,##0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inlineStr">
        <is>
          <t>G000041</t>
        </is>
      </c>
      <c r="T98" t="inlineStr">
        <is>
          <t>Horizontal</t>
        </is>
      </c>
      <c r="U98" t="n">
        <v>9</v>
      </c>
      <c r="V98" t="b">
        <v>1</v>
      </c>
      <c r="W98" t="inlineStr">
        <is>
          <t>Financial Statements!A7:I7</t>
        </is>
      </c>
      <c r="X98">
        <f>'Revenue Model'!R[15]C[0]</f>
        <v/>
      </c>
    </row>
    <row r="99">
      <c r="A99" t="inlineStr">
        <is>
          <t>Financial Statements</t>
        </is>
      </c>
      <c r="B99" t="inlineStr">
        <is>
          <t>F7</t>
        </is>
      </c>
      <c r="C99" t="n">
        <v>7</v>
      </c>
      <c r="D99" t="n">
        <v>6</v>
      </c>
      <c r="E99" t="inlineStr">
        <is>
          <t>Calculation</t>
        </is>
      </c>
      <c r="F99" t="inlineStr">
        <is>
          <t>'='Revenue Model'!F22</t>
        </is>
      </c>
      <c r="G99" t="n">
        <v>951.4000025316458</v>
      </c>
      <c r="H99" t="inlineStr"/>
      <c r="I99" t="inlineStr">
        <is>
          <t>#,##0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G000041</t>
        </is>
      </c>
      <c r="T99" t="inlineStr">
        <is>
          <t>Horizontal</t>
        </is>
      </c>
      <c r="U99" t="n">
        <v>9</v>
      </c>
      <c r="V99" t="b">
        <v>1</v>
      </c>
      <c r="W99" t="inlineStr">
        <is>
          <t>Financial Statements!A7:I7</t>
        </is>
      </c>
      <c r="X99">
        <f>'Revenue Model'!R[15]C[0]</f>
        <v/>
      </c>
    </row>
    <row r="100">
      <c r="A100" t="inlineStr">
        <is>
          <t>Financial Statements</t>
        </is>
      </c>
      <c r="B100" t="inlineStr">
        <is>
          <t>G7</t>
        </is>
      </c>
      <c r="C100" t="n">
        <v>7</v>
      </c>
      <c r="D100" t="n">
        <v>7</v>
      </c>
      <c r="E100" t="inlineStr">
        <is>
          <t>Calculation</t>
        </is>
      </c>
      <c r="F100" t="inlineStr">
        <is>
          <t>'='Revenue Model'!G22</t>
        </is>
      </c>
      <c r="G100" t="n">
        <v>1023.041568987342</v>
      </c>
      <c r="H100" t="inlineStr"/>
      <c r="I100" t="inlineStr">
        <is>
          <t>#,##0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inlineStr">
        <is>
          <t>G000041</t>
        </is>
      </c>
      <c r="T100" t="inlineStr">
        <is>
          <t>Horizontal</t>
        </is>
      </c>
      <c r="U100" t="n">
        <v>9</v>
      </c>
      <c r="V100" t="b">
        <v>1</v>
      </c>
      <c r="W100" t="inlineStr">
        <is>
          <t>Financial Statements!A7:I7</t>
        </is>
      </c>
      <c r="X100">
        <f>'Revenue Model'!R[15]C[0]</f>
        <v/>
      </c>
    </row>
    <row r="101">
      <c r="A101" t="inlineStr">
        <is>
          <t>Financial Statements</t>
        </is>
      </c>
      <c r="B101" t="inlineStr">
        <is>
          <t>H7</t>
        </is>
      </c>
      <c r="C101" t="n">
        <v>7</v>
      </c>
      <c r="D101" t="n">
        <v>8</v>
      </c>
      <c r="E101" t="inlineStr">
        <is>
          <t>Calculation</t>
        </is>
      </c>
      <c r="F101" t="inlineStr">
        <is>
          <t>'='Revenue Model'!H22</t>
        </is>
      </c>
      <c r="G101" t="n">
        <v>1099.468792082279</v>
      </c>
      <c r="H101" t="inlineStr"/>
      <c r="I101" t="inlineStr">
        <is>
          <t>#,##0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G000041</t>
        </is>
      </c>
      <c r="T101" t="inlineStr">
        <is>
          <t>Horizontal</t>
        </is>
      </c>
      <c r="U101" t="n">
        <v>9</v>
      </c>
      <c r="V101" t="b">
        <v>1</v>
      </c>
      <c r="W101" t="inlineStr">
        <is>
          <t>Financial Statements!A7:I7</t>
        </is>
      </c>
      <c r="X101">
        <f>'Revenue Model'!R[15]C[0]</f>
        <v/>
      </c>
    </row>
    <row r="102">
      <c r="A102" t="inlineStr">
        <is>
          <t>Financial Statements</t>
        </is>
      </c>
      <c r="B102" t="inlineStr">
        <is>
          <t>I7</t>
        </is>
      </c>
      <c r="C102" t="n">
        <v>7</v>
      </c>
      <c r="D102" t="n">
        <v>9</v>
      </c>
      <c r="E102" t="inlineStr">
        <is>
          <t>Calculation</t>
        </is>
      </c>
      <c r="F102" t="inlineStr">
        <is>
          <t>'='Revenue Model'!I22</t>
        </is>
      </c>
      <c r="G102" t="n">
        <v>1180.981133564241</v>
      </c>
      <c r="H102" t="inlineStr"/>
      <c r="I102" t="inlineStr">
        <is>
          <t>#,##0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G000041</t>
        </is>
      </c>
      <c r="T102" t="inlineStr">
        <is>
          <t>Horizontal</t>
        </is>
      </c>
      <c r="U102" t="n">
        <v>9</v>
      </c>
      <c r="V102" t="b">
        <v>1</v>
      </c>
      <c r="W102" t="inlineStr">
        <is>
          <t>Financial Statements!A7:I7</t>
        </is>
      </c>
      <c r="X102">
        <f>'Revenue Model'!R[15]C[0]</f>
        <v/>
      </c>
    </row>
    <row r="103">
      <c r="A103" t="inlineStr">
        <is>
          <t>Financial Statements</t>
        </is>
      </c>
      <c r="B103" t="inlineStr">
        <is>
          <t>K7</t>
        </is>
      </c>
      <c r="C103" t="n">
        <v>7</v>
      </c>
      <c r="D103" t="n">
        <v>11</v>
      </c>
      <c r="E103" t="inlineStr">
        <is>
          <t>Input</t>
        </is>
      </c>
      <c r="F103" t="n">
        <v/>
      </c>
      <c r="G103" t="inlineStr">
        <is>
          <t>Uses of Funds</t>
        </is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Financial Statements</t>
        </is>
      </c>
      <c r="B104" t="inlineStr">
        <is>
          <t>N7</t>
        </is>
      </c>
      <c r="C104" t="n">
        <v>7</v>
      </c>
      <c r="D104" t="n">
        <v>14</v>
      </c>
      <c r="E104" t="inlineStr">
        <is>
          <t>Input</t>
        </is>
      </c>
      <c r="F104" t="n">
        <v/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0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Financial Statements</t>
        </is>
      </c>
      <c r="B105" t="inlineStr">
        <is>
          <t>A8</t>
        </is>
      </c>
      <c r="C105" t="n">
        <v>8</v>
      </c>
      <c r="D105" t="n">
        <v>1</v>
      </c>
      <c r="E105" t="inlineStr">
        <is>
          <t>Output</t>
        </is>
      </c>
      <c r="F105" t="inlineStr">
        <is>
          <t>'='Revenue Model'!A23</t>
        </is>
      </c>
      <c r="G105" t="inlineStr">
        <is>
          <t>Other exps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inlineStr">
        <is>
          <t>G000042</t>
        </is>
      </c>
      <c r="T105" t="inlineStr">
        <is>
          <t>Horizontal</t>
        </is>
      </c>
      <c r="U105" t="n">
        <v>9</v>
      </c>
      <c r="V105" t="b">
        <v>1</v>
      </c>
      <c r="W105" t="inlineStr">
        <is>
          <t>Financial Statements!A8:I8</t>
        </is>
      </c>
      <c r="X105">
        <f>'Revenue Model'!R[15]C[0]</f>
        <v/>
      </c>
    </row>
    <row r="106">
      <c r="A106" t="inlineStr">
        <is>
          <t>Financial Statements</t>
        </is>
      </c>
      <c r="B106" t="inlineStr">
        <is>
          <t>B8</t>
        </is>
      </c>
      <c r="C106" t="n">
        <v>8</v>
      </c>
      <c r="D106" t="n">
        <v>2</v>
      </c>
      <c r="E106" t="inlineStr">
        <is>
          <t>Calculation</t>
        </is>
      </c>
      <c r="F106" t="inlineStr">
        <is>
          <t>'='Revenue Model'!B23</t>
        </is>
      </c>
      <c r="G106" t="n">
        <v>2547.89</v>
      </c>
      <c r="H106" t="inlineStr"/>
      <c r="I106" t="inlineStr">
        <is>
          <t>#,##0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inlineStr">
        <is>
          <t>G000042</t>
        </is>
      </c>
      <c r="T106" t="inlineStr">
        <is>
          <t>Horizontal</t>
        </is>
      </c>
      <c r="U106" t="n">
        <v>9</v>
      </c>
      <c r="V106" t="b">
        <v>1</v>
      </c>
      <c r="W106" t="inlineStr">
        <is>
          <t>Financial Statements!A8:I8</t>
        </is>
      </c>
      <c r="X106">
        <f>'Revenue Model'!R[15]C[0]</f>
        <v/>
      </c>
    </row>
    <row r="107">
      <c r="A107" t="inlineStr">
        <is>
          <t>Financial Statements</t>
        </is>
      </c>
      <c r="B107" t="inlineStr">
        <is>
          <t>C8</t>
        </is>
      </c>
      <c r="C107" t="n">
        <v>8</v>
      </c>
      <c r="D107" t="n">
        <v>3</v>
      </c>
      <c r="E107" t="inlineStr">
        <is>
          <t>Calculation</t>
        </is>
      </c>
      <c r="F107" t="inlineStr">
        <is>
          <t>'='Revenue Model'!C23</t>
        </is>
      </c>
      <c r="G107" t="n">
        <v>2357.68</v>
      </c>
      <c r="H107" t="inlineStr"/>
      <c r="I107" t="inlineStr">
        <is>
          <t>#,##0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inlineStr">
        <is>
          <t>G000042</t>
        </is>
      </c>
      <c r="T107" t="inlineStr">
        <is>
          <t>Horizontal</t>
        </is>
      </c>
      <c r="U107" t="n">
        <v>9</v>
      </c>
      <c r="V107" t="b">
        <v>1</v>
      </c>
      <c r="W107" t="inlineStr">
        <is>
          <t>Financial Statements!A8:I8</t>
        </is>
      </c>
      <c r="X107">
        <f>'Revenue Model'!R[15]C[0]</f>
        <v/>
      </c>
    </row>
    <row r="108">
      <c r="A108" t="inlineStr">
        <is>
          <t>Financial Statements</t>
        </is>
      </c>
      <c r="B108" t="inlineStr">
        <is>
          <t>D8</t>
        </is>
      </c>
      <c r="C108" t="n">
        <v>8</v>
      </c>
      <c r="D108" t="n">
        <v>4</v>
      </c>
      <c r="E108" t="inlineStr">
        <is>
          <t>Calculation</t>
        </is>
      </c>
      <c r="F108" t="inlineStr">
        <is>
          <t>'='Revenue Model'!D23</t>
        </is>
      </c>
      <c r="G108" t="n">
        <v>2440.8</v>
      </c>
      <c r="H108" t="inlineStr"/>
      <c r="I108" t="inlineStr">
        <is>
          <t>#,##0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G000042</t>
        </is>
      </c>
      <c r="T108" t="inlineStr">
        <is>
          <t>Horizontal</t>
        </is>
      </c>
      <c r="U108" t="n">
        <v>9</v>
      </c>
      <c r="V108" t="b">
        <v>1</v>
      </c>
      <c r="W108" t="inlineStr">
        <is>
          <t>Financial Statements!A8:I8</t>
        </is>
      </c>
      <c r="X108">
        <f>'Revenue Model'!R[15]C[0]</f>
        <v/>
      </c>
    </row>
    <row r="109">
      <c r="A109" t="inlineStr">
        <is>
          <t>Financial Statements</t>
        </is>
      </c>
      <c r="B109" t="inlineStr">
        <is>
          <t>E8</t>
        </is>
      </c>
      <c r="C109" t="n">
        <v>8</v>
      </c>
      <c r="D109" t="n">
        <v>5</v>
      </c>
      <c r="E109" t="inlineStr">
        <is>
          <t>Calculation</t>
        </is>
      </c>
      <c r="F109" t="inlineStr">
        <is>
          <t>'='Revenue Model'!E23</t>
        </is>
      </c>
      <c r="G109" t="n">
        <v>2627.722025316456</v>
      </c>
      <c r="H109" t="inlineStr"/>
      <c r="I109" t="inlineStr">
        <is>
          <t>#,##0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G000042</t>
        </is>
      </c>
      <c r="T109" t="inlineStr">
        <is>
          <t>Horizontal</t>
        </is>
      </c>
      <c r="U109" t="n">
        <v>9</v>
      </c>
      <c r="V109" t="b">
        <v>1</v>
      </c>
      <c r="W109" t="inlineStr">
        <is>
          <t>Financial Statements!A8:I8</t>
        </is>
      </c>
      <c r="X109">
        <f>'Revenue Model'!R[15]C[0]</f>
        <v/>
      </c>
    </row>
    <row r="110">
      <c r="A110" t="inlineStr">
        <is>
          <t>Financial Statements</t>
        </is>
      </c>
      <c r="B110" t="inlineStr">
        <is>
          <t>F8</t>
        </is>
      </c>
      <c r="C110" t="n">
        <v>8</v>
      </c>
      <c r="D110" t="n">
        <v>6</v>
      </c>
      <c r="E110" t="inlineStr">
        <is>
          <t>Calculation</t>
        </is>
      </c>
      <c r="F110" t="inlineStr">
        <is>
          <t>'='Revenue Model'!F23</t>
        </is>
      </c>
      <c r="G110" t="n">
        <v>2827.234253164558</v>
      </c>
      <c r="H110" t="inlineStr"/>
      <c r="I110" t="inlineStr">
        <is>
          <t>#,##0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G000042</t>
        </is>
      </c>
      <c r="T110" t="inlineStr">
        <is>
          <t>Horizontal</t>
        </is>
      </c>
      <c r="U110" t="n">
        <v>9</v>
      </c>
      <c r="V110" t="b">
        <v>1</v>
      </c>
      <c r="W110" t="inlineStr">
        <is>
          <t>Financial Statements!A8:I8</t>
        </is>
      </c>
      <c r="X110">
        <f>'Revenue Model'!R[15]C[0]</f>
        <v/>
      </c>
    </row>
    <row r="111">
      <c r="A111" t="inlineStr">
        <is>
          <t>Financial Statements</t>
        </is>
      </c>
      <c r="B111" t="inlineStr">
        <is>
          <t>G8</t>
        </is>
      </c>
      <c r="C111" t="n">
        <v>8</v>
      </c>
      <c r="D111" t="n">
        <v>7</v>
      </c>
      <c r="E111" t="inlineStr">
        <is>
          <t>Calculation</t>
        </is>
      </c>
      <c r="F111" t="inlineStr">
        <is>
          <t>'='Revenue Model'!G23</t>
        </is>
      </c>
      <c r="G111" t="n">
        <v>3040.128398734178</v>
      </c>
      <c r="H111" t="inlineStr"/>
      <c r="I111" t="inlineStr">
        <is>
          <t>#,##0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G000042</t>
        </is>
      </c>
      <c r="T111" t="inlineStr">
        <is>
          <t>Horizontal</t>
        </is>
      </c>
      <c r="U111" t="n">
        <v>9</v>
      </c>
      <c r="V111" t="b">
        <v>1</v>
      </c>
      <c r="W111" t="inlineStr">
        <is>
          <t>Financial Statements!A8:I8</t>
        </is>
      </c>
      <c r="X111">
        <f>'Revenue Model'!R[15]C[0]</f>
        <v/>
      </c>
    </row>
    <row r="112">
      <c r="A112" t="inlineStr">
        <is>
          <t>Financial Statements</t>
        </is>
      </c>
      <c r="B112" t="inlineStr">
        <is>
          <t>H8</t>
        </is>
      </c>
      <c r="C112" t="n">
        <v>8</v>
      </c>
      <c r="D112" t="n">
        <v>8</v>
      </c>
      <c r="E112" t="inlineStr">
        <is>
          <t>Calculation</t>
        </is>
      </c>
      <c r="F112" t="inlineStr">
        <is>
          <t>'='Revenue Model'!H23</t>
        </is>
      </c>
      <c r="G112" t="n">
        <v>3267.243873227849</v>
      </c>
      <c r="H112" t="inlineStr"/>
      <c r="I112" t="inlineStr">
        <is>
          <t>#,##0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G000042</t>
        </is>
      </c>
      <c r="T112" t="inlineStr">
        <is>
          <t>Horizontal</t>
        </is>
      </c>
      <c r="U112" t="n">
        <v>9</v>
      </c>
      <c r="V112" t="b">
        <v>1</v>
      </c>
      <c r="W112" t="inlineStr">
        <is>
          <t>Financial Statements!A8:I8</t>
        </is>
      </c>
      <c r="X112">
        <f>'Revenue Model'!R[15]C[0]</f>
        <v/>
      </c>
    </row>
    <row r="113">
      <c r="A113" t="inlineStr">
        <is>
          <t>Financial Statements</t>
        </is>
      </c>
      <c r="B113" t="inlineStr">
        <is>
          <t>I8</t>
        </is>
      </c>
      <c r="C113" t="n">
        <v>8</v>
      </c>
      <c r="D113" t="n">
        <v>9</v>
      </c>
      <c r="E113" t="inlineStr">
        <is>
          <t>Calculation</t>
        </is>
      </c>
      <c r="F113" t="inlineStr">
        <is>
          <t>'='Revenue Model'!I23</t>
        </is>
      </c>
      <c r="G113" t="n">
        <v>3509.470574174053</v>
      </c>
      <c r="H113" t="inlineStr"/>
      <c r="I113" t="inlineStr">
        <is>
          <t>#,##0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G000042</t>
        </is>
      </c>
      <c r="T113" t="inlineStr">
        <is>
          <t>Horizontal</t>
        </is>
      </c>
      <c r="U113" t="n">
        <v>9</v>
      </c>
      <c r="V113" t="b">
        <v>1</v>
      </c>
      <c r="W113" t="inlineStr">
        <is>
          <t>Financial Statements!A8:I8</t>
        </is>
      </c>
      <c r="X113">
        <f>'Revenue Model'!R[15]C[0]</f>
        <v/>
      </c>
    </row>
    <row r="114">
      <c r="A114" t="inlineStr">
        <is>
          <t>Financial Statements</t>
        </is>
      </c>
      <c r="B114" t="inlineStr">
        <is>
          <t>K8</t>
        </is>
      </c>
      <c r="C114" t="n">
        <v>8</v>
      </c>
      <c r="D114" t="n">
        <v>11</v>
      </c>
      <c r="E114" t="inlineStr">
        <is>
          <t>Input</t>
        </is>
      </c>
      <c r="F114" t="n">
        <v/>
      </c>
      <c r="G114" t="inlineStr">
        <is>
          <t>Fixed Assets</t>
        </is>
      </c>
      <c r="H114" t="inlineStr"/>
      <c r="I114" t="inlineStr">
        <is>
          <t>General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Financial Statements</t>
        </is>
      </c>
      <c r="B115" t="inlineStr">
        <is>
          <t>L8</t>
        </is>
      </c>
      <c r="C115" t="n">
        <v>8</v>
      </c>
      <c r="D115" t="n">
        <v>12</v>
      </c>
      <c r="E115" t="inlineStr">
        <is>
          <t>Input</t>
        </is>
      </c>
      <c r="F115" t="n">
        <v/>
      </c>
      <c r="H115" t="inlineStr"/>
      <c r="I115" t="inlineStr">
        <is>
          <t>_-* #,##0_-;\-* #,##0_-;_-* "-"??_-;_-@_-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0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Financial Statements</t>
        </is>
      </c>
      <c r="B116" t="inlineStr">
        <is>
          <t>M8</t>
        </is>
      </c>
      <c r="C116" t="n">
        <v>8</v>
      </c>
      <c r="D116" t="n">
        <v>13</v>
      </c>
      <c r="E116" t="inlineStr">
        <is>
          <t>Input</t>
        </is>
      </c>
      <c r="F116" t="n">
        <v/>
      </c>
      <c r="H116" t="inlineStr"/>
      <c r="I116" t="inlineStr">
        <is>
          <t>_-* #,##0_-;\-* #,##0_-;_-* "-"??_-;_-@_-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0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Financial Statements</t>
        </is>
      </c>
      <c r="B117" t="inlineStr">
        <is>
          <t>N8</t>
        </is>
      </c>
      <c r="C117" t="n">
        <v>8</v>
      </c>
      <c r="D117" t="n">
        <v>14</v>
      </c>
      <c r="E117" t="inlineStr">
        <is>
          <t>Calculation</t>
        </is>
      </c>
      <c r="F117" t="inlineStr">
        <is>
          <t>'='Asset schedule'!D6+'Asset schedule'!D14+'Asset schedule'!D22+'Asset schedule'!D30+'Asset schedule'!D38+'Asset schedule'!D46+'Asset schedule'!D54+'Asset schedule'!D62+'Asset schedule'!D70+'Asset schedule'!D78+'Asset schedule'!D86</t>
        </is>
      </c>
      <c r="G117" t="n">
        <v>7264.49</v>
      </c>
      <c r="H117" t="inlineStr"/>
      <c r="I117" t="inlineStr">
        <is>
          <t>_-* #,##0_-;\-* #,##0_-;_-* "-"??_-;_-@_-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inlineStr">
        <is>
          <t>G000045</t>
        </is>
      </c>
      <c r="T117" t="inlineStr">
        <is>
          <t>Horizontal</t>
        </is>
      </c>
      <c r="U117" t="n">
        <v>6</v>
      </c>
      <c r="V117" t="b">
        <v>1</v>
      </c>
      <c r="W117" t="inlineStr">
        <is>
          <t>Financial Statements!N8:S8</t>
        </is>
      </c>
      <c r="X117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18">
      <c r="A118" t="inlineStr">
        <is>
          <t>Financial Statements</t>
        </is>
      </c>
      <c r="B118" t="inlineStr">
        <is>
          <t>O8</t>
        </is>
      </c>
      <c r="C118" t="n">
        <v>8</v>
      </c>
      <c r="D118" t="n">
        <v>15</v>
      </c>
      <c r="E118" t="inlineStr">
        <is>
          <t>Calculation</t>
        </is>
      </c>
      <c r="F118" t="inlineStr">
        <is>
          <t>'='Asset schedule'!E6+'Asset schedule'!E14+'Asset schedule'!E22+'Asset schedule'!E30+'Asset schedule'!E38+'Asset schedule'!E46+'Asset schedule'!E54+'Asset schedule'!E62+'Asset schedule'!E70+'Asset schedule'!E78+'Asset schedule'!E86</t>
        </is>
      </c>
      <c r="G118" t="n">
        <v>7088.693052020696</v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G000045</t>
        </is>
      </c>
      <c r="T118" t="inlineStr">
        <is>
          <t>Horizontal</t>
        </is>
      </c>
      <c r="U118" t="n">
        <v>6</v>
      </c>
      <c r="V118" t="b">
        <v>1</v>
      </c>
      <c r="W118" t="inlineStr">
        <is>
          <t>Financial Statements!N8:S8</t>
        </is>
      </c>
      <c r="X118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19">
      <c r="A119" t="inlineStr">
        <is>
          <t>Financial Statements</t>
        </is>
      </c>
      <c r="B119" t="inlineStr">
        <is>
          <t>P8</t>
        </is>
      </c>
      <c r="C119" t="n">
        <v>8</v>
      </c>
      <c r="D119" t="n">
        <v>16</v>
      </c>
      <c r="E119" t="inlineStr">
        <is>
          <t>Calculation</t>
        </is>
      </c>
      <c r="F119" t="inlineStr">
        <is>
          <t>'='Asset schedule'!F6+'Asset schedule'!F14+'Asset schedule'!F22+'Asset schedule'!F30+'Asset schedule'!F38+'Asset schedule'!F46+'Asset schedule'!F54+'Asset schedule'!F62+'Asset schedule'!F70+'Asset schedule'!F78+'Asset schedule'!F86</t>
        </is>
      </c>
      <c r="G119" t="n">
        <v>6960.331255933688</v>
      </c>
      <c r="H119" t="inlineStr"/>
      <c r="I119" t="inlineStr">
        <is>
          <t>_-* #,##0_-;\-* #,##0_-;_-* "-"??_-;_-@_-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G000045</t>
        </is>
      </c>
      <c r="T119" t="inlineStr">
        <is>
          <t>Horizontal</t>
        </is>
      </c>
      <c r="U119" t="n">
        <v>6</v>
      </c>
      <c r="V119" t="b">
        <v>1</v>
      </c>
      <c r="W119" t="inlineStr">
        <is>
          <t>Financial Statements!N8:S8</t>
        </is>
      </c>
      <c r="X119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0">
      <c r="A120" t="inlineStr">
        <is>
          <t>Financial Statements</t>
        </is>
      </c>
      <c r="B120" t="inlineStr">
        <is>
          <t>Q8</t>
        </is>
      </c>
      <c r="C120" t="n">
        <v>8</v>
      </c>
      <c r="D120" t="n">
        <v>17</v>
      </c>
      <c r="E120" t="inlineStr">
        <is>
          <t>Calculation</t>
        </is>
      </c>
      <c r="F120" t="inlineStr">
        <is>
          <t>'='Asset schedule'!G6+'Asset schedule'!G14+'Asset schedule'!G22+'Asset schedule'!G30+'Asset schedule'!G38+'Asset schedule'!G46+'Asset schedule'!G54+'Asset schedule'!G62+'Asset schedule'!G70+'Asset schedule'!G78+'Asset schedule'!G86</t>
        </is>
      </c>
      <c r="G120" t="n">
        <v>6876.924751098072</v>
      </c>
      <c r="H120" t="inlineStr"/>
      <c r="I120" t="inlineStr">
        <is>
          <t>_-* #,##0_-;\-* #,##0_-;_-* "-"??_-;_-@_-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inlineStr">
        <is>
          <t>G000045</t>
        </is>
      </c>
      <c r="T120" t="inlineStr">
        <is>
          <t>Horizontal</t>
        </is>
      </c>
      <c r="U120" t="n">
        <v>6</v>
      </c>
      <c r="V120" t="b">
        <v>1</v>
      </c>
      <c r="W120" t="inlineStr">
        <is>
          <t>Financial Statements!N8:S8</t>
        </is>
      </c>
      <c r="X120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1">
      <c r="A121" t="inlineStr">
        <is>
          <t>Financial Statements</t>
        </is>
      </c>
      <c r="B121" t="inlineStr">
        <is>
          <t>R8</t>
        </is>
      </c>
      <c r="C121" t="n">
        <v>8</v>
      </c>
      <c r="D121" t="n">
        <v>18</v>
      </c>
      <c r="E121" t="inlineStr">
        <is>
          <t>Calculation</t>
        </is>
      </c>
      <c r="F121" t="inlineStr">
        <is>
          <t>'='Asset schedule'!H6+'Asset schedule'!H14+'Asset schedule'!H22+'Asset schedule'!H30+'Asset schedule'!H38+'Asset schedule'!H46+'Asset schedule'!H54+'Asset schedule'!H62+'Asset schedule'!H70+'Asset schedule'!H78+'Asset schedule'!H86</t>
        </is>
      </c>
      <c r="G121" t="n">
        <v>6836.457073271327</v>
      </c>
      <c r="H121" t="inlineStr"/>
      <c r="I121" t="inlineStr">
        <is>
          <t>_-* #,##0_-;\-* #,##0_-;_-* "-"??_-;_-@_-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G000045</t>
        </is>
      </c>
      <c r="T121" t="inlineStr">
        <is>
          <t>Horizontal</t>
        </is>
      </c>
      <c r="U121" t="n">
        <v>6</v>
      </c>
      <c r="V121" t="b">
        <v>1</v>
      </c>
      <c r="W121" t="inlineStr">
        <is>
          <t>Financial Statements!N8:S8</t>
        </is>
      </c>
      <c r="X121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2">
      <c r="A122" t="inlineStr">
        <is>
          <t>Financial Statements</t>
        </is>
      </c>
      <c r="B122" t="inlineStr">
        <is>
          <t>S8</t>
        </is>
      </c>
      <c r="C122" t="n">
        <v>8</v>
      </c>
      <c r="D122" t="n">
        <v>19</v>
      </c>
      <c r="E122" t="inlineStr">
        <is>
          <t>Calculation</t>
        </is>
      </c>
      <c r="F122" t="inlineStr">
        <is>
          <t>'='Asset schedule'!I6+'Asset schedule'!I14+'Asset schedule'!I22+'Asset schedule'!I30+'Asset schedule'!I38+'Asset schedule'!I46+'Asset schedule'!I54+'Asset schedule'!I62+'Asset schedule'!I70+'Asset schedule'!I78+'Asset schedule'!I86</t>
        </is>
      </c>
      <c r="G122" t="n">
        <v>6837.308117831549</v>
      </c>
      <c r="H122" t="inlineStr"/>
      <c r="I122" t="inlineStr">
        <is>
          <t>_-* #,##0_-;\-* #,##0_-;_-* "-"??_-;_-@_-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G000045</t>
        </is>
      </c>
      <c r="T122" t="inlineStr">
        <is>
          <t>Horizontal</t>
        </is>
      </c>
      <c r="U122" t="n">
        <v>6</v>
      </c>
      <c r="V122" t="b">
        <v>1</v>
      </c>
      <c r="W122" t="inlineStr">
        <is>
          <t>Financial Statements!N8:S8</t>
        </is>
      </c>
      <c r="X122">
        <f>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f>
        <v/>
      </c>
    </row>
    <row r="123">
      <c r="A123" t="inlineStr">
        <is>
          <t>Financial Statements</t>
        </is>
      </c>
      <c r="B123" t="inlineStr">
        <is>
          <t>A9</t>
        </is>
      </c>
      <c r="C123" t="n">
        <v>9</v>
      </c>
      <c r="D123" t="n">
        <v>1</v>
      </c>
      <c r="E123" t="inlineStr">
        <is>
          <t>Output</t>
        </is>
      </c>
      <c r="F123" t="inlineStr">
        <is>
          <t>'='Revenue Model'!A24</t>
        </is>
      </c>
      <c r="G123" t="inlineStr">
        <is>
          <t>Total expenses</t>
        </is>
      </c>
      <c r="H123" t="inlineStr"/>
      <c r="I123" t="inlineStr">
        <is>
          <t>General</t>
        </is>
      </c>
      <c r="J123" t="b">
        <v>1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>
        <f>'Revenue Model'!R[15]C[0]</f>
        <v/>
      </c>
    </row>
    <row r="124">
      <c r="A124" t="inlineStr">
        <is>
          <t>Financial Statements</t>
        </is>
      </c>
      <c r="B124" t="inlineStr">
        <is>
          <t>B9</t>
        </is>
      </c>
      <c r="C124" t="n">
        <v>9</v>
      </c>
      <c r="D124" t="n">
        <v>2</v>
      </c>
      <c r="E124" t="inlineStr">
        <is>
          <t>Calculation</t>
        </is>
      </c>
      <c r="F124" t="inlineStr">
        <is>
          <t>'=SUM(B4:B8)</t>
        </is>
      </c>
      <c r="G124" t="n">
        <v>10269.05</v>
      </c>
      <c r="H124" t="inlineStr"/>
      <c r="I124" t="inlineStr">
        <is>
          <t>#,##0</t>
        </is>
      </c>
      <c r="J124" t="b">
        <v>1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inlineStr">
        <is>
          <t>G000046</t>
        </is>
      </c>
      <c r="T124" t="inlineStr">
        <is>
          <t>Horizontal</t>
        </is>
      </c>
      <c r="U124" t="n">
        <v>8</v>
      </c>
      <c r="V124" t="b">
        <v>1</v>
      </c>
      <c r="W124" t="inlineStr">
        <is>
          <t>Financial Statements!B9:I9</t>
        </is>
      </c>
      <c r="X124">
        <f>SUM(R[-5]C[0]:R[-1]C[0])</f>
        <v/>
      </c>
    </row>
    <row r="125">
      <c r="A125" t="inlineStr">
        <is>
          <t>Financial Statements</t>
        </is>
      </c>
      <c r="B125" t="inlineStr">
        <is>
          <t>C9</t>
        </is>
      </c>
      <c r="C125" t="n">
        <v>9</v>
      </c>
      <c r="D125" t="n">
        <v>3</v>
      </c>
      <c r="E125" t="inlineStr">
        <is>
          <t>Calculation</t>
        </is>
      </c>
      <c r="F125" t="inlineStr">
        <is>
          <t>'=SUM(C4:C8)</t>
        </is>
      </c>
      <c r="G125" t="n">
        <v>9517.190000000001</v>
      </c>
      <c r="H125" t="inlineStr"/>
      <c r="I125" t="inlineStr">
        <is>
          <t>#,##0</t>
        </is>
      </c>
      <c r="J125" t="b">
        <v>1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G000046</t>
        </is>
      </c>
      <c r="T125" t="inlineStr">
        <is>
          <t>Horizontal</t>
        </is>
      </c>
      <c r="U125" t="n">
        <v>8</v>
      </c>
      <c r="V125" t="b">
        <v>1</v>
      </c>
      <c r="W125" t="inlineStr">
        <is>
          <t>Financial Statements!B9:I9</t>
        </is>
      </c>
      <c r="X125">
        <f>SUM(R[-5]C[0]:R[-1]C[0])</f>
        <v/>
      </c>
    </row>
    <row r="126">
      <c r="A126" t="inlineStr">
        <is>
          <t>Financial Statements</t>
        </is>
      </c>
      <c r="B126" t="inlineStr">
        <is>
          <t>D9</t>
        </is>
      </c>
      <c r="C126" t="n">
        <v>9</v>
      </c>
      <c r="D126" t="n">
        <v>4</v>
      </c>
      <c r="E126" t="inlineStr">
        <is>
          <t>Calculation</t>
        </is>
      </c>
      <c r="F126" t="inlineStr">
        <is>
          <t>'=SUM(D4:D8)</t>
        </is>
      </c>
      <c r="G126" t="n">
        <v>11378.83</v>
      </c>
      <c r="H126" t="inlineStr"/>
      <c r="I126" t="inlineStr">
        <is>
          <t>#,##0</t>
        </is>
      </c>
      <c r="J126" t="b">
        <v>1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G000046</t>
        </is>
      </c>
      <c r="T126" t="inlineStr">
        <is>
          <t>Horizontal</t>
        </is>
      </c>
      <c r="U126" t="n">
        <v>8</v>
      </c>
      <c r="V126" t="b">
        <v>1</v>
      </c>
      <c r="W126" t="inlineStr">
        <is>
          <t>Financial Statements!B9:I9</t>
        </is>
      </c>
      <c r="X126">
        <f>SUM(R[-5]C[0]:R[-1]C[0])</f>
        <v/>
      </c>
    </row>
    <row r="127">
      <c r="A127" t="inlineStr">
        <is>
          <t>Financial Statements</t>
        </is>
      </c>
      <c r="B127" t="inlineStr">
        <is>
          <t>E9</t>
        </is>
      </c>
      <c r="C127" t="n">
        <v>9</v>
      </c>
      <c r="D127" t="n">
        <v>5</v>
      </c>
      <c r="E127" t="inlineStr">
        <is>
          <t>Calculation</t>
        </is>
      </c>
      <c r="F127" t="inlineStr">
        <is>
          <t>'=SUM(E4:E8)</t>
        </is>
      </c>
      <c r="G127" t="n">
        <v>12466.85906563291</v>
      </c>
      <c r="H127" t="inlineStr"/>
      <c r="I127" t="inlineStr">
        <is>
          <t>#,##0</t>
        </is>
      </c>
      <c r="J127" t="b">
        <v>1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G000046</t>
        </is>
      </c>
      <c r="T127" t="inlineStr">
        <is>
          <t>Horizontal</t>
        </is>
      </c>
      <c r="U127" t="n">
        <v>8</v>
      </c>
      <c r="V127" t="b">
        <v>1</v>
      </c>
      <c r="W127" t="inlineStr">
        <is>
          <t>Financial Statements!B9:I9</t>
        </is>
      </c>
      <c r="X127">
        <f>SUM(R[-5]C[0]:R[-1]C[0])</f>
        <v/>
      </c>
    </row>
    <row r="128">
      <c r="A128" t="inlineStr">
        <is>
          <t>Financial Statements</t>
        </is>
      </c>
      <c r="B128" t="inlineStr">
        <is>
          <t>F9</t>
        </is>
      </c>
      <c r="C128" t="n">
        <v>9</v>
      </c>
      <c r="D128" t="n">
        <v>6</v>
      </c>
      <c r="E128" t="inlineStr">
        <is>
          <t>Calculation</t>
        </is>
      </c>
      <c r="F128" t="inlineStr">
        <is>
          <t>'=SUM(F4:F8)</t>
        </is>
      </c>
      <c r="G128" t="n">
        <v>13491.10316027848</v>
      </c>
      <c r="H128" t="inlineStr"/>
      <c r="I128" t="inlineStr">
        <is>
          <t>#,##0</t>
        </is>
      </c>
      <c r="J128" t="b">
        <v>1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G000046</t>
        </is>
      </c>
      <c r="T128" t="inlineStr">
        <is>
          <t>Horizontal</t>
        </is>
      </c>
      <c r="U128" t="n">
        <v>8</v>
      </c>
      <c r="V128" t="b">
        <v>1</v>
      </c>
      <c r="W128" t="inlineStr">
        <is>
          <t>Financial Statements!B9:I9</t>
        </is>
      </c>
      <c r="X128">
        <f>SUM(R[-5]C[0]:R[-1]C[0])</f>
        <v/>
      </c>
    </row>
    <row r="129">
      <c r="A129" t="inlineStr">
        <is>
          <t>Financial Statements</t>
        </is>
      </c>
      <c r="B129" t="inlineStr">
        <is>
          <t>G9</t>
        </is>
      </c>
      <c r="C129" t="n">
        <v>9</v>
      </c>
      <c r="D129" t="n">
        <v>7</v>
      </c>
      <c r="E129" t="inlineStr">
        <is>
          <t>Calculation</t>
        </is>
      </c>
      <c r="F129" t="inlineStr">
        <is>
          <t>'=SUM(G4:G8)</t>
        </is>
      </c>
      <c r="G129" t="n">
        <v>14590.53562952136</v>
      </c>
      <c r="H129" t="inlineStr"/>
      <c r="I129" t="inlineStr">
        <is>
          <t>#,##0</t>
        </is>
      </c>
      <c r="J129" t="b">
        <v>1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G000046</t>
        </is>
      </c>
      <c r="T129" t="inlineStr">
        <is>
          <t>Horizontal</t>
        </is>
      </c>
      <c r="U129" t="n">
        <v>8</v>
      </c>
      <c r="V129" t="b">
        <v>1</v>
      </c>
      <c r="W129" t="inlineStr">
        <is>
          <t>Financial Statements!B9:I9</t>
        </is>
      </c>
      <c r="X129">
        <f>SUM(R[-5]C[0]:R[-1]C[0])</f>
        <v/>
      </c>
    </row>
    <row r="130">
      <c r="A130" t="inlineStr">
        <is>
          <t>Financial Statements</t>
        </is>
      </c>
      <c r="B130" t="inlineStr">
        <is>
          <t>H9</t>
        </is>
      </c>
      <c r="C130" t="n">
        <v>9</v>
      </c>
      <c r="D130" t="n">
        <v>8</v>
      </c>
      <c r="E130" t="inlineStr">
        <is>
          <t>Calculation</t>
        </is>
      </c>
      <c r="F130" t="inlineStr">
        <is>
          <t>'=SUM(H4:H8)</t>
        </is>
      </c>
      <c r="G130" t="n">
        <v>15770.31125622451</v>
      </c>
      <c r="H130" t="inlineStr"/>
      <c r="I130" t="inlineStr">
        <is>
          <t>#,##0</t>
        </is>
      </c>
      <c r="J130" t="b">
        <v>1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inlineStr">
        <is>
          <t>G000046</t>
        </is>
      </c>
      <c r="T130" t="inlineStr">
        <is>
          <t>Horizontal</t>
        </is>
      </c>
      <c r="U130" t="n">
        <v>8</v>
      </c>
      <c r="V130" t="b">
        <v>1</v>
      </c>
      <c r="W130" t="inlineStr">
        <is>
          <t>Financial Statements!B9:I9</t>
        </is>
      </c>
      <c r="X130">
        <f>SUM(R[-5]C[0]:R[-1]C[0])</f>
        <v/>
      </c>
    </row>
    <row r="131">
      <c r="A131" t="inlineStr">
        <is>
          <t>Financial Statements</t>
        </is>
      </c>
      <c r="B131" t="inlineStr">
        <is>
          <t>I9</t>
        </is>
      </c>
      <c r="C131" t="n">
        <v>9</v>
      </c>
      <c r="D131" t="n">
        <v>9</v>
      </c>
      <c r="E131" t="inlineStr">
        <is>
          <t>Calculation</t>
        </is>
      </c>
      <c r="F131" t="inlineStr">
        <is>
          <t>'=SUM(I4:I8)</t>
        </is>
      </c>
      <c r="G131" t="n">
        <v>17035.92215838269</v>
      </c>
      <c r="H131" t="inlineStr"/>
      <c r="I131" t="inlineStr">
        <is>
          <t>#,##0</t>
        </is>
      </c>
      <c r="J131" t="b">
        <v>1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G000046</t>
        </is>
      </c>
      <c r="T131" t="inlineStr">
        <is>
          <t>Horizontal</t>
        </is>
      </c>
      <c r="U131" t="n">
        <v>8</v>
      </c>
      <c r="V131" t="b">
        <v>1</v>
      </c>
      <c r="W131" t="inlineStr">
        <is>
          <t>Financial Statements!B9:I9</t>
        </is>
      </c>
      <c r="X131">
        <f>SUM(R[-5]C[0]:R[-1]C[0])</f>
        <v/>
      </c>
    </row>
    <row r="132">
      <c r="A132" t="inlineStr">
        <is>
          <t>Financial Statements</t>
        </is>
      </c>
      <c r="B132" t="inlineStr">
        <is>
          <t>K9</t>
        </is>
      </c>
      <c r="C132" t="n">
        <v>9</v>
      </c>
      <c r="D132" t="n">
        <v>11</v>
      </c>
      <c r="E132" t="inlineStr">
        <is>
          <t>Input</t>
        </is>
      </c>
      <c r="F132" t="n">
        <v/>
      </c>
      <c r="G132" t="inlineStr">
        <is>
          <t>Cash</t>
        </is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Financial Statements</t>
        </is>
      </c>
      <c r="B133" t="inlineStr">
        <is>
          <t>N9</t>
        </is>
      </c>
      <c r="C133" t="n">
        <v>9</v>
      </c>
      <c r="D133" t="n">
        <v>14</v>
      </c>
      <c r="E133" t="inlineStr">
        <is>
          <t>Calculation</t>
        </is>
      </c>
      <c r="F133" t="inlineStr">
        <is>
          <t>'=N34</t>
        </is>
      </c>
      <c r="G133" t="n">
        <v>2559.11</v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G000047</t>
        </is>
      </c>
      <c r="T133" t="inlineStr">
        <is>
          <t>Horizontal</t>
        </is>
      </c>
      <c r="U133" t="n">
        <v>6</v>
      </c>
      <c r="V133" t="b">
        <v>1</v>
      </c>
      <c r="W133" t="inlineStr">
        <is>
          <t>Financial Statements!N9:S9</t>
        </is>
      </c>
      <c r="X133">
        <f>R[25]C[0]</f>
        <v/>
      </c>
    </row>
    <row r="134">
      <c r="A134" t="inlineStr">
        <is>
          <t>Financial Statements</t>
        </is>
      </c>
      <c r="B134" t="inlineStr">
        <is>
          <t>O9</t>
        </is>
      </c>
      <c r="C134" t="n">
        <v>9</v>
      </c>
      <c r="D134" t="n">
        <v>15</v>
      </c>
      <c r="E134" t="inlineStr">
        <is>
          <t>Calculation</t>
        </is>
      </c>
      <c r="F134" t="inlineStr">
        <is>
          <t>'=O34</t>
        </is>
      </c>
      <c r="G134" t="n">
        <v>3143.421708963787</v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G000047</t>
        </is>
      </c>
      <c r="T134" t="inlineStr">
        <is>
          <t>Horizontal</t>
        </is>
      </c>
      <c r="U134" t="n">
        <v>6</v>
      </c>
      <c r="V134" t="b">
        <v>1</v>
      </c>
      <c r="W134" t="inlineStr">
        <is>
          <t>Financial Statements!N9:S9</t>
        </is>
      </c>
      <c r="X134">
        <f>R[25]C[0]</f>
        <v/>
      </c>
    </row>
    <row r="135">
      <c r="A135" t="inlineStr">
        <is>
          <t>Financial Statements</t>
        </is>
      </c>
      <c r="B135" t="inlineStr">
        <is>
          <t>P9</t>
        </is>
      </c>
      <c r="C135" t="n">
        <v>9</v>
      </c>
      <c r="D135" t="n">
        <v>16</v>
      </c>
      <c r="E135" t="inlineStr">
        <is>
          <t>Calculation</t>
        </is>
      </c>
      <c r="F135" t="inlineStr">
        <is>
          <t>'=P34</t>
        </is>
      </c>
      <c r="G135" t="n">
        <v>3888.890718034904</v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G000047</t>
        </is>
      </c>
      <c r="T135" t="inlineStr">
        <is>
          <t>Horizontal</t>
        </is>
      </c>
      <c r="U135" t="n">
        <v>6</v>
      </c>
      <c r="V135" t="b">
        <v>1</v>
      </c>
      <c r="W135" t="inlineStr">
        <is>
          <t>Financial Statements!N9:S9</t>
        </is>
      </c>
      <c r="X135">
        <f>R[25]C[0]</f>
        <v/>
      </c>
    </row>
    <row r="136">
      <c r="A136" t="inlineStr">
        <is>
          <t>Financial Statements</t>
        </is>
      </c>
      <c r="B136" t="inlineStr">
        <is>
          <t>Q9</t>
        </is>
      </c>
      <c r="C136" t="n">
        <v>9</v>
      </c>
      <c r="D136" t="n">
        <v>17</v>
      </c>
      <c r="E136" t="inlineStr">
        <is>
          <t>Calculation</t>
        </is>
      </c>
      <c r="F136" t="inlineStr">
        <is>
          <t>'=Q34</t>
        </is>
      </c>
      <c r="G136" t="n">
        <v>4626.195635123337</v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G000047</t>
        </is>
      </c>
      <c r="T136" t="inlineStr">
        <is>
          <t>Horizontal</t>
        </is>
      </c>
      <c r="U136" t="n">
        <v>6</v>
      </c>
      <c r="V136" t="b">
        <v>1</v>
      </c>
      <c r="W136" t="inlineStr">
        <is>
          <t>Financial Statements!N9:S9</t>
        </is>
      </c>
      <c r="X136">
        <f>R[25]C[0]</f>
        <v/>
      </c>
    </row>
    <row r="137">
      <c r="A137" t="inlineStr">
        <is>
          <t>Financial Statements</t>
        </is>
      </c>
      <c r="B137" t="inlineStr">
        <is>
          <t>R9</t>
        </is>
      </c>
      <c r="C137" t="n">
        <v>9</v>
      </c>
      <c r="D137" t="n">
        <v>18</v>
      </c>
      <c r="E137" t="inlineStr">
        <is>
          <t>Calculation</t>
        </is>
      </c>
      <c r="F137" t="inlineStr">
        <is>
          <t>'=R34</t>
        </is>
      </c>
      <c r="G137" t="n">
        <v>5354.223003271239</v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G000047</t>
        </is>
      </c>
      <c r="T137" t="inlineStr">
        <is>
          <t>Horizontal</t>
        </is>
      </c>
      <c r="U137" t="n">
        <v>6</v>
      </c>
      <c r="V137" t="b">
        <v>1</v>
      </c>
      <c r="W137" t="inlineStr">
        <is>
          <t>Financial Statements!N9:S9</t>
        </is>
      </c>
      <c r="X137">
        <f>R[25]C[0]</f>
        <v/>
      </c>
    </row>
    <row r="138">
      <c r="A138" t="inlineStr">
        <is>
          <t>Financial Statements</t>
        </is>
      </c>
      <c r="B138" t="inlineStr">
        <is>
          <t>S9</t>
        </is>
      </c>
      <c r="C138" t="n">
        <v>9</v>
      </c>
      <c r="D138" t="n">
        <v>19</v>
      </c>
      <c r="E138" t="inlineStr">
        <is>
          <t>Calculation</t>
        </is>
      </c>
      <c r="F138" t="inlineStr">
        <is>
          <t>'=S34</t>
        </is>
      </c>
      <c r="G138" t="n">
        <v>6071.295348656084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G000047</t>
        </is>
      </c>
      <c r="T138" t="inlineStr">
        <is>
          <t>Horizontal</t>
        </is>
      </c>
      <c r="U138" t="n">
        <v>6</v>
      </c>
      <c r="V138" t="b">
        <v>1</v>
      </c>
      <c r="W138" t="inlineStr">
        <is>
          <t>Financial Statements!N9:S9</t>
        </is>
      </c>
      <c r="X138">
        <f>R[25]C[0]</f>
        <v/>
      </c>
    </row>
    <row r="139">
      <c r="A139" t="inlineStr">
        <is>
          <t>Financial Statements</t>
        </is>
      </c>
      <c r="B139" t="inlineStr">
        <is>
          <t>A10</t>
        </is>
      </c>
      <c r="C139" t="n">
        <v>10</v>
      </c>
      <c r="D139" t="n">
        <v>1</v>
      </c>
      <c r="E139" t="inlineStr">
        <is>
          <t>Input</t>
        </is>
      </c>
      <c r="F139" t="n">
        <v/>
      </c>
      <c r="G139" t="inlineStr">
        <is>
          <t>EBITDA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Financial Statements</t>
        </is>
      </c>
      <c r="B140" t="inlineStr">
        <is>
          <t>B10</t>
        </is>
      </c>
      <c r="C140" t="n">
        <v>10</v>
      </c>
      <c r="D140" t="n">
        <v>2</v>
      </c>
      <c r="E140" t="inlineStr">
        <is>
          <t>Calculation</t>
        </is>
      </c>
      <c r="F140" t="inlineStr">
        <is>
          <t>'=B2-B9</t>
        </is>
      </c>
      <c r="G140" t="n">
        <v>1647.950000000001</v>
      </c>
      <c r="H140" t="inlineStr"/>
      <c r="I140" t="inlineStr">
        <is>
          <t>#,##0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G000048</t>
        </is>
      </c>
      <c r="T140" t="inlineStr">
        <is>
          <t>Horizontal</t>
        </is>
      </c>
      <c r="U140" t="n">
        <v>8</v>
      </c>
      <c r="V140" t="b">
        <v>1</v>
      </c>
      <c r="W140" t="inlineStr">
        <is>
          <t>Financial Statements!B10:I10</t>
        </is>
      </c>
      <c r="X140">
        <f>R[-8]C[0]-R[-1]C[0]</f>
        <v/>
      </c>
    </row>
    <row r="141">
      <c r="A141" t="inlineStr">
        <is>
          <t>Financial Statements</t>
        </is>
      </c>
      <c r="B141" t="inlineStr">
        <is>
          <t>C10</t>
        </is>
      </c>
      <c r="C141" t="n">
        <v>10</v>
      </c>
      <c r="D141" t="n">
        <v>3</v>
      </c>
      <c r="E141" t="inlineStr">
        <is>
          <t>Calculation</t>
        </is>
      </c>
      <c r="F141" t="inlineStr">
        <is>
          <t>'=C2-C9</t>
        </is>
      </c>
      <c r="G141" t="n">
        <v>1595.01</v>
      </c>
      <c r="H141" t="inlineStr"/>
      <c r="I141" t="inlineStr">
        <is>
          <t>#,##0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G000048</t>
        </is>
      </c>
      <c r="T141" t="inlineStr">
        <is>
          <t>Horizontal</t>
        </is>
      </c>
      <c r="U141" t="n">
        <v>8</v>
      </c>
      <c r="V141" t="b">
        <v>1</v>
      </c>
      <c r="W141" t="inlineStr">
        <is>
          <t>Financial Statements!B10:I10</t>
        </is>
      </c>
      <c r="X141">
        <f>R[-8]C[0]-R[-1]C[0]</f>
        <v/>
      </c>
    </row>
    <row r="142">
      <c r="A142" t="inlineStr">
        <is>
          <t>Financial Statements</t>
        </is>
      </c>
      <c r="B142" t="inlineStr">
        <is>
          <t>D10</t>
        </is>
      </c>
      <c r="C142" t="n">
        <v>10</v>
      </c>
      <c r="D142" t="n">
        <v>4</v>
      </c>
      <c r="E142" t="inlineStr">
        <is>
          <t>Calculation</t>
        </is>
      </c>
      <c r="F142" t="inlineStr">
        <is>
          <t>'=D2-D9</t>
        </is>
      </c>
      <c r="G142" t="n">
        <v>2034.749999999998</v>
      </c>
      <c r="H142" t="inlineStr"/>
      <c r="I142" t="inlineStr">
        <is>
          <t>#,##0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G000048</t>
        </is>
      </c>
      <c r="T142" t="inlineStr">
        <is>
          <t>Horizontal</t>
        </is>
      </c>
      <c r="U142" t="n">
        <v>8</v>
      </c>
      <c r="V142" t="b">
        <v>1</v>
      </c>
      <c r="W142" t="inlineStr">
        <is>
          <t>Financial Statements!B10:I10</t>
        </is>
      </c>
      <c r="X142">
        <f>R[-8]C[0]-R[-1]C[0]</f>
        <v/>
      </c>
    </row>
    <row r="143">
      <c r="A143" t="inlineStr">
        <is>
          <t>Financial Statements</t>
        </is>
      </c>
      <c r="B143" t="inlineStr">
        <is>
          <t>E10</t>
        </is>
      </c>
      <c r="C143" t="n">
        <v>10</v>
      </c>
      <c r="D143" t="n">
        <v>5</v>
      </c>
      <c r="E143" t="inlineStr">
        <is>
          <t>Calculation</t>
        </is>
      </c>
      <c r="F143" t="inlineStr">
        <is>
          <t>'=E2-E9</t>
        </is>
      </c>
      <c r="G143" t="n">
        <v>1973.96345335443</v>
      </c>
      <c r="H143" t="inlineStr"/>
      <c r="I143" t="inlineStr">
        <is>
          <t>#,##0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G000048</t>
        </is>
      </c>
      <c r="T143" t="inlineStr">
        <is>
          <t>Horizontal</t>
        </is>
      </c>
      <c r="U143" t="n">
        <v>8</v>
      </c>
      <c r="V143" t="b">
        <v>1</v>
      </c>
      <c r="W143" t="inlineStr">
        <is>
          <t>Financial Statements!B10:I10</t>
        </is>
      </c>
      <c r="X143">
        <f>R[-8]C[0]-R[-1]C[0]</f>
        <v/>
      </c>
    </row>
    <row r="144">
      <c r="A144" t="inlineStr">
        <is>
          <t>Financial Statements</t>
        </is>
      </c>
      <c r="B144" t="inlineStr">
        <is>
          <t>F10</t>
        </is>
      </c>
      <c r="C144" t="n">
        <v>10</v>
      </c>
      <c r="D144" t="n">
        <v>6</v>
      </c>
      <c r="E144" t="inlineStr">
        <is>
          <t>Calculation</t>
        </is>
      </c>
      <c r="F144" t="inlineStr">
        <is>
          <t>'=F2-F9</t>
        </is>
      </c>
      <c r="G144" t="n">
        <v>2046.152179594937</v>
      </c>
      <c r="H144" t="inlineStr"/>
      <c r="I144" t="inlineStr">
        <is>
          <t>#,##0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G000048</t>
        </is>
      </c>
      <c r="T144" t="inlineStr">
        <is>
          <t>Horizontal</t>
        </is>
      </c>
      <c r="U144" t="n">
        <v>8</v>
      </c>
      <c r="V144" t="b">
        <v>1</v>
      </c>
      <c r="W144" t="inlineStr">
        <is>
          <t>Financial Statements!B10:I10</t>
        </is>
      </c>
      <c r="X144">
        <f>R[-8]C[0]-R[-1]C[0]</f>
        <v/>
      </c>
    </row>
    <row r="145">
      <c r="A145" t="inlineStr">
        <is>
          <t>Financial Statements</t>
        </is>
      </c>
      <c r="B145" t="inlineStr">
        <is>
          <t>G10</t>
        </is>
      </c>
      <c r="C145" t="n">
        <v>10</v>
      </c>
      <c r="D145" t="n">
        <v>7</v>
      </c>
      <c r="E145" t="inlineStr">
        <is>
          <t>Calculation</t>
        </is>
      </c>
      <c r="F145" t="inlineStr">
        <is>
          <t>'=G2-G9</t>
        </is>
      </c>
      <c r="G145" t="n">
        <v>2116.693757029272</v>
      </c>
      <c r="H145" t="inlineStr"/>
      <c r="I145" t="inlineStr">
        <is>
          <t>#,##0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G000048</t>
        </is>
      </c>
      <c r="T145" t="inlineStr">
        <is>
          <t>Horizontal</t>
        </is>
      </c>
      <c r="U145" t="n">
        <v>8</v>
      </c>
      <c r="V145" t="b">
        <v>1</v>
      </c>
      <c r="W145" t="inlineStr">
        <is>
          <t>Financial Statements!B10:I10</t>
        </is>
      </c>
      <c r="X145">
        <f>R[-8]C[0]-R[-1]C[0]</f>
        <v/>
      </c>
    </row>
    <row r="146">
      <c r="A146" t="inlineStr">
        <is>
          <t>Financial Statements</t>
        </is>
      </c>
      <c r="B146" t="inlineStr">
        <is>
          <t>H10</t>
        </is>
      </c>
      <c r="C146" t="n">
        <v>10</v>
      </c>
      <c r="D146" t="n">
        <v>8</v>
      </c>
      <c r="E146" t="inlineStr">
        <is>
          <t>Calculation</t>
        </is>
      </c>
      <c r="F146" t="inlineStr">
        <is>
          <t>'=H2-H9</t>
        </is>
      </c>
      <c r="G146" t="n">
        <v>2185.046443321378</v>
      </c>
      <c r="H146" t="inlineStr"/>
      <c r="I146" t="inlineStr">
        <is>
          <t>#,##0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G000048</t>
        </is>
      </c>
      <c r="T146" t="inlineStr">
        <is>
          <t>Horizontal</t>
        </is>
      </c>
      <c r="U146" t="n">
        <v>8</v>
      </c>
      <c r="V146" t="b">
        <v>1</v>
      </c>
      <c r="W146" t="inlineStr">
        <is>
          <t>Financial Statements!B10:I10</t>
        </is>
      </c>
      <c r="X146">
        <f>R[-8]C[0]-R[-1]C[0]</f>
        <v/>
      </c>
    </row>
    <row r="147">
      <c r="A147" t="inlineStr">
        <is>
          <t>Financial Statements</t>
        </is>
      </c>
      <c r="B147" t="inlineStr">
        <is>
          <t>I10</t>
        </is>
      </c>
      <c r="C147" t="n">
        <v>10</v>
      </c>
      <c r="D147" t="n">
        <v>9</v>
      </c>
      <c r="E147" t="inlineStr">
        <is>
          <t>Calculation</t>
        </is>
      </c>
      <c r="F147" t="inlineStr">
        <is>
          <t>'=I2-I9</t>
        </is>
      </c>
      <c r="G147" t="n">
        <v>2250.608611991611</v>
      </c>
      <c r="H147" t="inlineStr"/>
      <c r="I147" t="inlineStr">
        <is>
          <t>#,##0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inlineStr">
        <is>
          <t>G000048</t>
        </is>
      </c>
      <c r="T147" t="inlineStr">
        <is>
          <t>Horizontal</t>
        </is>
      </c>
      <c r="U147" t="n">
        <v>8</v>
      </c>
      <c r="V147" t="b">
        <v>1</v>
      </c>
      <c r="W147" t="inlineStr">
        <is>
          <t>Financial Statements!B10:I10</t>
        </is>
      </c>
      <c r="X147">
        <f>R[-8]C[0]-R[-1]C[0]</f>
        <v/>
      </c>
    </row>
    <row r="148">
      <c r="A148" t="inlineStr">
        <is>
          <t>Financial Statements</t>
        </is>
      </c>
      <c r="B148" t="inlineStr">
        <is>
          <t>N10</t>
        </is>
      </c>
      <c r="C148" t="n">
        <v>10</v>
      </c>
      <c r="D148" t="n">
        <v>14</v>
      </c>
      <c r="E148" t="inlineStr">
        <is>
          <t>Calculation</t>
        </is>
      </c>
      <c r="F148" t="inlineStr">
        <is>
          <t>'=SUM(N8:N9)</t>
        </is>
      </c>
      <c r="G148" t="n">
        <v>9823.6</v>
      </c>
      <c r="H148" t="inlineStr"/>
      <c r="I148" t="inlineStr">
        <is>
          <t>_-* #,##0_-;\-* #,##0_-;_-* "-"??_-;_-@_-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G000049</t>
        </is>
      </c>
      <c r="T148" t="inlineStr">
        <is>
          <t>Horizontal</t>
        </is>
      </c>
      <c r="U148" t="n">
        <v>6</v>
      </c>
      <c r="V148" t="b">
        <v>1</v>
      </c>
      <c r="W148" t="inlineStr">
        <is>
          <t>Financial Statements!N10:S10</t>
        </is>
      </c>
      <c r="X148">
        <f>SUM(R[-2]C[0]:R[-1]C[0])</f>
        <v/>
      </c>
    </row>
    <row r="149">
      <c r="A149" t="inlineStr">
        <is>
          <t>Financial Statements</t>
        </is>
      </c>
      <c r="B149" t="inlineStr">
        <is>
          <t>O10</t>
        </is>
      </c>
      <c r="C149" t="n">
        <v>10</v>
      </c>
      <c r="D149" t="n">
        <v>15</v>
      </c>
      <c r="E149" t="inlineStr">
        <is>
          <t>Calculation</t>
        </is>
      </c>
      <c r="F149" t="inlineStr">
        <is>
          <t>'=SUM(O8:O9)</t>
        </is>
      </c>
      <c r="G149" t="n">
        <v>10232.11476098448</v>
      </c>
      <c r="H149" t="inlineStr"/>
      <c r="I149" t="inlineStr">
        <is>
          <t>_-* #,##0_-;\-* #,##0_-;_-* "-"??_-;_-@_-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G000049</t>
        </is>
      </c>
      <c r="T149" t="inlineStr">
        <is>
          <t>Horizontal</t>
        </is>
      </c>
      <c r="U149" t="n">
        <v>6</v>
      </c>
      <c r="V149" t="b">
        <v>1</v>
      </c>
      <c r="W149" t="inlineStr">
        <is>
          <t>Financial Statements!N10:S10</t>
        </is>
      </c>
      <c r="X149">
        <f>SUM(R[-2]C[0]:R[-1]C[0])</f>
        <v/>
      </c>
    </row>
    <row r="150">
      <c r="A150" t="inlineStr">
        <is>
          <t>Financial Statements</t>
        </is>
      </c>
      <c r="B150" t="inlineStr">
        <is>
          <t>P10</t>
        </is>
      </c>
      <c r="C150" t="n">
        <v>10</v>
      </c>
      <c r="D150" t="n">
        <v>16</v>
      </c>
      <c r="E150" t="inlineStr">
        <is>
          <t>Calculation</t>
        </is>
      </c>
      <c r="F150" t="inlineStr">
        <is>
          <t>'=SUM(P8:P9)</t>
        </is>
      </c>
      <c r="G150" t="n">
        <v>10849.22197396859</v>
      </c>
      <c r="H150" t="inlineStr"/>
      <c r="I150" t="inlineStr">
        <is>
          <t>_-* #,##0_-;\-* #,##0_-;_-* "-"??_-;_-@_-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G000049</t>
        </is>
      </c>
      <c r="T150" t="inlineStr">
        <is>
          <t>Horizontal</t>
        </is>
      </c>
      <c r="U150" t="n">
        <v>6</v>
      </c>
      <c r="V150" t="b">
        <v>1</v>
      </c>
      <c r="W150" t="inlineStr">
        <is>
          <t>Financial Statements!N10:S10</t>
        </is>
      </c>
      <c r="X150">
        <f>SUM(R[-2]C[0]:R[-1]C[0])</f>
        <v/>
      </c>
    </row>
    <row r="151">
      <c r="A151" t="inlineStr">
        <is>
          <t>Financial Statements</t>
        </is>
      </c>
      <c r="B151" t="inlineStr">
        <is>
          <t>Q10</t>
        </is>
      </c>
      <c r="C151" t="n">
        <v>10</v>
      </c>
      <c r="D151" t="n">
        <v>17</v>
      </c>
      <c r="E151" t="inlineStr">
        <is>
          <t>Calculation</t>
        </is>
      </c>
      <c r="F151" t="inlineStr">
        <is>
          <t>'=SUM(Q8:Q9)</t>
        </is>
      </c>
      <c r="G151" t="n">
        <v>11503.12038622141</v>
      </c>
      <c r="H151" t="inlineStr"/>
      <c r="I151" t="inlineStr">
        <is>
          <t>_-* #,##0_-;\-* #,##0_-;_-* "-"??_-;_-@_-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inlineStr">
        <is>
          <t>G000049</t>
        </is>
      </c>
      <c r="T151" t="inlineStr">
        <is>
          <t>Horizontal</t>
        </is>
      </c>
      <c r="U151" t="n">
        <v>6</v>
      </c>
      <c r="V151" t="b">
        <v>1</v>
      </c>
      <c r="W151" t="inlineStr">
        <is>
          <t>Financial Statements!N10:S10</t>
        </is>
      </c>
      <c r="X151">
        <f>SUM(R[-2]C[0]:R[-1]C[0])</f>
        <v/>
      </c>
    </row>
    <row r="152">
      <c r="A152" t="inlineStr">
        <is>
          <t>Financial Statements</t>
        </is>
      </c>
      <c r="B152" t="inlineStr">
        <is>
          <t>R10</t>
        </is>
      </c>
      <c r="C152" t="n">
        <v>10</v>
      </c>
      <c r="D152" t="n">
        <v>18</v>
      </c>
      <c r="E152" t="inlineStr">
        <is>
          <t>Calculation</t>
        </is>
      </c>
      <c r="F152" t="inlineStr">
        <is>
          <t>'=SUM(R8:R9)</t>
        </is>
      </c>
      <c r="G152" t="n">
        <v>12190.68007654257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inlineStr">
        <is>
          <t>G000049</t>
        </is>
      </c>
      <c r="T152" t="inlineStr">
        <is>
          <t>Horizontal</t>
        </is>
      </c>
      <c r="U152" t="n">
        <v>6</v>
      </c>
      <c r="V152" t="b">
        <v>1</v>
      </c>
      <c r="W152" t="inlineStr">
        <is>
          <t>Financial Statements!N10:S10</t>
        </is>
      </c>
      <c r="X152">
        <f>SUM(R[-2]C[0]:R[-1]C[0])</f>
        <v/>
      </c>
    </row>
    <row r="153">
      <c r="A153" t="inlineStr">
        <is>
          <t>Financial Statements</t>
        </is>
      </c>
      <c r="B153" t="inlineStr">
        <is>
          <t>S10</t>
        </is>
      </c>
      <c r="C153" t="n">
        <v>10</v>
      </c>
      <c r="D153" t="n">
        <v>19</v>
      </c>
      <c r="E153" t="inlineStr">
        <is>
          <t>Calculation</t>
        </is>
      </c>
      <c r="F153" t="inlineStr">
        <is>
          <t>'=SUM(S8:S9)</t>
        </is>
      </c>
      <c r="G153" t="n">
        <v>12908.60346648763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inlineStr">
        <is>
          <t>G000049</t>
        </is>
      </c>
      <c r="T153" t="inlineStr">
        <is>
          <t>Horizontal</t>
        </is>
      </c>
      <c r="U153" t="n">
        <v>6</v>
      </c>
      <c r="V153" t="b">
        <v>1</v>
      </c>
      <c r="W153" t="inlineStr">
        <is>
          <t>Financial Statements!N10:S10</t>
        </is>
      </c>
      <c r="X153">
        <f>SUM(R[-2]C[0]:R[-1]C[0])</f>
        <v/>
      </c>
    </row>
    <row r="154">
      <c r="A154" t="inlineStr">
        <is>
          <t>Financial Statements</t>
        </is>
      </c>
      <c r="B154" t="inlineStr">
        <is>
          <t>A11</t>
        </is>
      </c>
      <c r="C154" t="n">
        <v>11</v>
      </c>
      <c r="D154" t="n">
        <v>1</v>
      </c>
      <c r="E154" t="inlineStr">
        <is>
          <t>Input</t>
        </is>
      </c>
      <c r="F154" t="n">
        <v/>
      </c>
      <c r="G154" t="inlineStr">
        <is>
          <t>D&amp;A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Financial Statements</t>
        </is>
      </c>
      <c r="B155" t="inlineStr">
        <is>
          <t>B11</t>
        </is>
      </c>
      <c r="C155" t="n">
        <v>11</v>
      </c>
      <c r="D155" t="n">
        <v>2</v>
      </c>
      <c r="E155" t="inlineStr">
        <is>
          <t>Input</t>
        </is>
      </c>
      <c r="F155" t="n">
        <v/>
      </c>
      <c r="G155" t="n">
        <v>663</v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Financial Statements</t>
        </is>
      </c>
      <c r="B156" t="inlineStr">
        <is>
          <t>C11</t>
        </is>
      </c>
      <c r="C156" t="n">
        <v>11</v>
      </c>
      <c r="D156" t="n">
        <v>3</v>
      </c>
      <c r="E156" t="inlineStr">
        <is>
          <t>Input</t>
        </is>
      </c>
      <c r="F156" t="n">
        <v/>
      </c>
      <c r="G156" t="n">
        <v>609.1799999999999</v>
      </c>
      <c r="H156" t="inlineStr"/>
      <c r="I156" t="inlineStr">
        <is>
          <t>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Financial Statements</t>
        </is>
      </c>
      <c r="B157" t="inlineStr">
        <is>
          <t>D11</t>
        </is>
      </c>
      <c r="C157" t="n">
        <v>11</v>
      </c>
      <c r="D157" t="n">
        <v>4</v>
      </c>
      <c r="E157" t="inlineStr">
        <is>
          <t>Calculation</t>
        </is>
      </c>
      <c r="F157" t="inlineStr">
        <is>
          <t>'='Asset schedule'!D5+'Asset schedule'!D13+'Asset schedule'!D21+'Asset schedule'!D29+'Asset schedule'!D37+'Asset schedule'!D45+'Asset schedule'!D53+'Asset schedule'!D61+'Asset schedule'!D69+'Asset schedule'!D77+'Asset schedule'!D85</t>
        </is>
      </c>
      <c r="G157" t="n">
        <v>643.6199999999999</v>
      </c>
      <c r="H157" t="inlineStr"/>
      <c r="I157" t="inlineStr">
        <is>
          <t>0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inlineStr">
        <is>
          <t>G000050</t>
        </is>
      </c>
      <c r="T157" t="inlineStr">
        <is>
          <t>Horizontal</t>
        </is>
      </c>
      <c r="U157" t="n">
        <v>6</v>
      </c>
      <c r="V157" t="b">
        <v>1</v>
      </c>
      <c r="W157" t="inlineStr">
        <is>
          <t>Financial Statements!D11:I11</t>
        </is>
      </c>
      <c r="X157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58">
      <c r="A158" t="inlineStr">
        <is>
          <t>Financial Statements</t>
        </is>
      </c>
      <c r="B158" t="inlineStr">
        <is>
          <t>E11</t>
        </is>
      </c>
      <c r="C158" t="n">
        <v>11</v>
      </c>
      <c r="D158" t="n">
        <v>5</v>
      </c>
      <c r="E158" t="inlineStr">
        <is>
          <t>Calculation</t>
        </is>
      </c>
      <c r="F158" t="inlineStr">
        <is>
          <t>'='Asset schedule'!E5+'Asset schedule'!E13+'Asset schedule'!E21+'Asset schedule'!E29+'Asset schedule'!E37+'Asset schedule'!E45+'Asset schedule'!E53+'Asset schedule'!E61+'Asset schedule'!E69+'Asset schedule'!E77+'Asset schedule'!E85</t>
        </is>
      </c>
      <c r="G158" t="n">
        <v>582.6373910172789</v>
      </c>
      <c r="H158" t="inlineStr"/>
      <c r="I158" t="inlineStr">
        <is>
          <t>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inlineStr">
        <is>
          <t>G000050</t>
        </is>
      </c>
      <c r="T158" t="inlineStr">
        <is>
          <t>Horizontal</t>
        </is>
      </c>
      <c r="U158" t="n">
        <v>6</v>
      </c>
      <c r="V158" t="b">
        <v>1</v>
      </c>
      <c r="W158" t="inlineStr">
        <is>
          <t>Financial Statements!D11:I11</t>
        </is>
      </c>
      <c r="X158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59">
      <c r="A159" t="inlineStr">
        <is>
          <t>Financial Statements</t>
        </is>
      </c>
      <c r="B159" t="inlineStr">
        <is>
          <t>F11</t>
        </is>
      </c>
      <c r="C159" t="n">
        <v>11</v>
      </c>
      <c r="D159" t="n">
        <v>6</v>
      </c>
      <c r="E159" t="inlineStr">
        <is>
          <t>Calculation</t>
        </is>
      </c>
      <c r="F159" t="inlineStr">
        <is>
          <t>'='Asset schedule'!F5+'Asset schedule'!F13+'Asset schedule'!F21+'Asset schedule'!F29+'Asset schedule'!F37+'Asset schedule'!F45+'Asset schedule'!F53+'Asset schedule'!F61+'Asset schedule'!F69+'Asset schedule'!F77+'Asset schedule'!F85</t>
        </is>
      </c>
      <c r="G159" t="n">
        <v>566.0919764667541</v>
      </c>
      <c r="H159" t="inlineStr"/>
      <c r="I159" t="inlineStr">
        <is>
          <t>0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inlineStr">
        <is>
          <t>G000050</t>
        </is>
      </c>
      <c r="T159" t="inlineStr">
        <is>
          <t>Horizontal</t>
        </is>
      </c>
      <c r="U159" t="n">
        <v>6</v>
      </c>
      <c r="V159" t="b">
        <v>1</v>
      </c>
      <c r="W159" t="inlineStr">
        <is>
          <t>Financial Statements!D11:I11</t>
        </is>
      </c>
      <c r="X159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0">
      <c r="A160" t="inlineStr">
        <is>
          <t>Financial Statements</t>
        </is>
      </c>
      <c r="B160" t="inlineStr">
        <is>
          <t>G11</t>
        </is>
      </c>
      <c r="C160" t="n">
        <v>11</v>
      </c>
      <c r="D160" t="n">
        <v>7</v>
      </c>
      <c r="E160" t="inlineStr">
        <is>
          <t>Calculation</t>
        </is>
      </c>
      <c r="F160" t="inlineStr">
        <is>
          <t>'='Asset schedule'!G5+'Asset schedule'!G13+'Asset schedule'!G21+'Asset schedule'!G29+'Asset schedule'!G37+'Asset schedule'!G45+'Asset schedule'!G53+'Asset schedule'!G61+'Asset schedule'!G69+'Asset schedule'!G77+'Asset schedule'!G85</t>
        </is>
      </c>
      <c r="G160" t="n">
        <v>554.0982951837184</v>
      </c>
      <c r="H160" t="inlineStr"/>
      <c r="I160" t="inlineStr">
        <is>
          <t>0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inlineStr">
        <is>
          <t>G000050</t>
        </is>
      </c>
      <c r="T160" t="inlineStr">
        <is>
          <t>Horizontal</t>
        </is>
      </c>
      <c r="U160" t="n">
        <v>6</v>
      </c>
      <c r="V160" t="b">
        <v>1</v>
      </c>
      <c r="W160" t="inlineStr">
        <is>
          <t>Financial Statements!D11:I11</t>
        </is>
      </c>
      <c r="X160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1">
      <c r="A161" t="inlineStr">
        <is>
          <t>Financial Statements</t>
        </is>
      </c>
      <c r="B161" t="inlineStr">
        <is>
          <t>H11</t>
        </is>
      </c>
      <c r="C161" t="n">
        <v>11</v>
      </c>
      <c r="D161" t="n">
        <v>8</v>
      </c>
      <c r="E161" t="inlineStr">
        <is>
          <t>Calculation</t>
        </is>
      </c>
      <c r="F161" t="inlineStr">
        <is>
          <t>'='Asset schedule'!H5+'Asset schedule'!H13+'Asset schedule'!H21+'Asset schedule'!H29+'Asset schedule'!H37+'Asset schedule'!H45+'Asset schedule'!H53+'Asset schedule'!H61+'Asset schedule'!H69+'Asset schedule'!H77+'Asset schedule'!H85</t>
        </is>
      </c>
      <c r="G161" t="n">
        <v>546.3229136890859</v>
      </c>
      <c r="H161" t="inlineStr"/>
      <c r="I161" t="inlineStr">
        <is>
          <t>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inlineStr">
        <is>
          <t>G000050</t>
        </is>
      </c>
      <c r="T161" t="inlineStr">
        <is>
          <t>Horizontal</t>
        </is>
      </c>
      <c r="U161" t="n">
        <v>6</v>
      </c>
      <c r="V161" t="b">
        <v>1</v>
      </c>
      <c r="W161" t="inlineStr">
        <is>
          <t>Financial Statements!D11:I11</t>
        </is>
      </c>
      <c r="X161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2">
      <c r="A162" t="inlineStr">
        <is>
          <t>Financial Statements</t>
        </is>
      </c>
      <c r="B162" t="inlineStr">
        <is>
          <t>I11</t>
        </is>
      </c>
      <c r="C162" t="n">
        <v>11</v>
      </c>
      <c r="D162" t="n">
        <v>9</v>
      </c>
      <c r="E162" t="inlineStr">
        <is>
          <t>Calculation</t>
        </is>
      </c>
      <c r="F162" t="inlineStr">
        <is>
          <t>'='Asset schedule'!I5+'Asset schedule'!I13+'Asset schedule'!I21+'Asset schedule'!I29+'Asset schedule'!I37+'Asset schedule'!I45+'Asset schedule'!I53+'Asset schedule'!I61+'Asset schedule'!I69+'Asset schedule'!I77+'Asset schedule'!I85</t>
        </is>
      </c>
      <c r="G162" t="n">
        <v>542.5072518919166</v>
      </c>
      <c r="H162" t="inlineStr"/>
      <c r="I162" t="inlineStr">
        <is>
          <t>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inlineStr">
        <is>
          <t>G000050</t>
        </is>
      </c>
      <c r="T162" t="inlineStr">
        <is>
          <t>Horizontal</t>
        </is>
      </c>
      <c r="U162" t="n">
        <v>6</v>
      </c>
      <c r="V162" t="b">
        <v>1</v>
      </c>
      <c r="W162" t="inlineStr">
        <is>
          <t>Financial Statements!D11:I11</t>
        </is>
      </c>
      <c r="X162">
        <f>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f>
        <v/>
      </c>
    </row>
    <row r="163">
      <c r="A163" t="inlineStr">
        <is>
          <t>Financial Statements</t>
        </is>
      </c>
      <c r="B163" t="inlineStr">
        <is>
          <t>N11</t>
        </is>
      </c>
      <c r="C163" t="n">
        <v>11</v>
      </c>
      <c r="D163" t="n">
        <v>14</v>
      </c>
      <c r="E163" t="inlineStr">
        <is>
          <t>Output</t>
        </is>
      </c>
      <c r="F163" t="inlineStr">
        <is>
          <t>'=N6-N10</t>
        </is>
      </c>
      <c r="G163" t="n">
        <v>-467.7399999999998</v>
      </c>
      <c r="H163" t="inlineStr"/>
      <c r="I163" t="inlineStr">
        <is>
          <t>_-* #,##0_-;\-* #,##0_-;_-* "-"??_-;_-@_-</t>
        </is>
      </c>
      <c r="J163" t="b">
        <v>0</v>
      </c>
      <c r="K163" t="b">
        <v>0</v>
      </c>
      <c r="L163" t="n">
        <v>11</v>
      </c>
      <c r="M163" t="inlineStr">
        <is>
          <t>FFFF0000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inlineStr">
        <is>
          <t>G000051</t>
        </is>
      </c>
      <c r="T163" t="inlineStr">
        <is>
          <t>Horizontal</t>
        </is>
      </c>
      <c r="U163" t="n">
        <v>6</v>
      </c>
      <c r="V163" t="b">
        <v>1</v>
      </c>
      <c r="W163" t="inlineStr">
        <is>
          <t>Financial Statements!N11:S11</t>
        </is>
      </c>
      <c r="X163">
        <f>R[-5]C[0]-R[-1]C[0]</f>
        <v/>
      </c>
    </row>
    <row r="164">
      <c r="A164" t="inlineStr">
        <is>
          <t>Financial Statements</t>
        </is>
      </c>
      <c r="B164" t="inlineStr">
        <is>
          <t>O11</t>
        </is>
      </c>
      <c r="C164" t="n">
        <v>11</v>
      </c>
      <c r="D164" t="n">
        <v>15</v>
      </c>
      <c r="E164" t="inlineStr">
        <is>
          <t>Output</t>
        </is>
      </c>
      <c r="F164" t="inlineStr">
        <is>
          <t>'=O6-O10</t>
        </is>
      </c>
      <c r="G164" t="n">
        <v>-268.1896804466178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FFFF0000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G000051</t>
        </is>
      </c>
      <c r="T164" t="inlineStr">
        <is>
          <t>Horizontal</t>
        </is>
      </c>
      <c r="U164" t="n">
        <v>6</v>
      </c>
      <c r="V164" t="b">
        <v>1</v>
      </c>
      <c r="W164" t="inlineStr">
        <is>
          <t>Financial Statements!N11:S11</t>
        </is>
      </c>
      <c r="X164">
        <f>R[-5]C[0]-R[-1]C[0]</f>
        <v/>
      </c>
    </row>
    <row r="165">
      <c r="A165" t="inlineStr">
        <is>
          <t>Financial Statements</t>
        </is>
      </c>
      <c r="B165" t="inlineStr">
        <is>
          <t>P11</t>
        </is>
      </c>
      <c r="C165" t="n">
        <v>11</v>
      </c>
      <c r="D165" t="n">
        <v>16</v>
      </c>
      <c r="E165" t="inlineStr">
        <is>
          <t>Output</t>
        </is>
      </c>
      <c r="F165" t="inlineStr">
        <is>
          <t>'=P6-P10</t>
        </is>
      </c>
      <c r="G165" t="n">
        <v>-235.4851296062334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FFFF0000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G000051</t>
        </is>
      </c>
      <c r="T165" t="inlineStr">
        <is>
          <t>Horizontal</t>
        </is>
      </c>
      <c r="U165" t="n">
        <v>6</v>
      </c>
      <c r="V165" t="b">
        <v>1</v>
      </c>
      <c r="W165" t="inlineStr">
        <is>
          <t>Financial Statements!N11:S11</t>
        </is>
      </c>
      <c r="X165">
        <f>R[-5]C[0]-R[-1]C[0]</f>
        <v/>
      </c>
    </row>
    <row r="166">
      <c r="A166" t="inlineStr">
        <is>
          <t>Financial Statements</t>
        </is>
      </c>
      <c r="B166" t="inlineStr">
        <is>
          <t>Q11</t>
        </is>
      </c>
      <c r="C166" t="n">
        <v>11</v>
      </c>
      <c r="D166" t="n">
        <v>17</v>
      </c>
      <c r="E166" t="inlineStr">
        <is>
          <t>Output</t>
        </is>
      </c>
      <c r="F166" t="inlineStr">
        <is>
          <t>'=Q6-Q10</t>
        </is>
      </c>
      <c r="G166" t="n">
        <v>-200.7507794610883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FFFF0000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G000051</t>
        </is>
      </c>
      <c r="T166" t="inlineStr">
        <is>
          <t>Horizontal</t>
        </is>
      </c>
      <c r="U166" t="n">
        <v>6</v>
      </c>
      <c r="V166" t="b">
        <v>1</v>
      </c>
      <c r="W166" t="inlineStr">
        <is>
          <t>Financial Statements!N11:S11</t>
        </is>
      </c>
      <c r="X166">
        <f>R[-5]C[0]-R[-1]C[0]</f>
        <v/>
      </c>
    </row>
    <row r="167">
      <c r="A167" t="inlineStr">
        <is>
          <t>Financial Statements</t>
        </is>
      </c>
      <c r="B167" t="inlineStr">
        <is>
          <t>R11</t>
        </is>
      </c>
      <c r="C167" t="n">
        <v>11</v>
      </c>
      <c r="D167" t="n">
        <v>18</v>
      </c>
      <c r="E167" t="inlineStr">
        <is>
          <t>Output</t>
        </is>
      </c>
      <c r="F167" t="inlineStr">
        <is>
          <t>'=R6-R10</t>
        </is>
      </c>
      <c r="G167" t="n">
        <v>-163.8703729568169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FFFF0000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G000051</t>
        </is>
      </c>
      <c r="T167" t="inlineStr">
        <is>
          <t>Horizontal</t>
        </is>
      </c>
      <c r="U167" t="n">
        <v>6</v>
      </c>
      <c r="V167" t="b">
        <v>1</v>
      </c>
      <c r="W167" t="inlineStr">
        <is>
          <t>Financial Statements!N11:S11</t>
        </is>
      </c>
      <c r="X167">
        <f>R[-5]C[0]-R[-1]C[0]</f>
        <v/>
      </c>
    </row>
    <row r="168">
      <c r="A168" t="inlineStr">
        <is>
          <t>Financial Statements</t>
        </is>
      </c>
      <c r="B168" t="inlineStr">
        <is>
          <t>S11</t>
        </is>
      </c>
      <c r="C168" t="n">
        <v>11</v>
      </c>
      <c r="D168" t="n">
        <v>19</v>
      </c>
      <c r="E168" t="inlineStr">
        <is>
          <t>Output</t>
        </is>
      </c>
      <c r="F168" t="inlineStr">
        <is>
          <t>'=S6-S10</t>
        </is>
      </c>
      <c r="G168" t="n">
        <v>-124.7213499068512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FFFF0000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inlineStr">
        <is>
          <t>G000051</t>
        </is>
      </c>
      <c r="T168" t="inlineStr">
        <is>
          <t>Horizontal</t>
        </is>
      </c>
      <c r="U168" t="n">
        <v>6</v>
      </c>
      <c r="V168" t="b">
        <v>1</v>
      </c>
      <c r="W168" t="inlineStr">
        <is>
          <t>Financial Statements!N11:S11</t>
        </is>
      </c>
      <c r="X168">
        <f>R[-5]C[0]-R[-1]C[0]</f>
        <v/>
      </c>
    </row>
    <row r="169">
      <c r="A169" t="inlineStr">
        <is>
          <t>Financial Statements</t>
        </is>
      </c>
      <c r="B169" t="inlineStr">
        <is>
          <t>A12</t>
        </is>
      </c>
      <c r="C169" t="n">
        <v>12</v>
      </c>
      <c r="D169" t="n">
        <v>1</v>
      </c>
      <c r="E169" t="inlineStr">
        <is>
          <t>Input</t>
        </is>
      </c>
      <c r="F169" t="n">
        <v/>
      </c>
      <c r="G169" t="inlineStr">
        <is>
          <t>EBIT</t>
        </is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Financial Statements</t>
        </is>
      </c>
      <c r="B170" t="inlineStr">
        <is>
          <t>B12</t>
        </is>
      </c>
      <c r="C170" t="n">
        <v>12</v>
      </c>
      <c r="D170" t="n">
        <v>2</v>
      </c>
      <c r="E170" t="inlineStr">
        <is>
          <t>Calculation</t>
        </is>
      </c>
      <c r="F170" t="inlineStr">
        <is>
          <t>'=B10-B11</t>
        </is>
      </c>
      <c r="G170" t="n">
        <v>984.9500000000007</v>
      </c>
      <c r="H170" t="inlineStr"/>
      <c r="I170" t="inlineStr">
        <is>
          <t>#,##0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inlineStr">
        <is>
          <t>G000052</t>
        </is>
      </c>
      <c r="T170" t="inlineStr">
        <is>
          <t>Horizontal</t>
        </is>
      </c>
      <c r="U170" t="n">
        <v>8</v>
      </c>
      <c r="V170" t="b">
        <v>1</v>
      </c>
      <c r="W170" t="inlineStr">
        <is>
          <t>Financial Statements!B12:I12</t>
        </is>
      </c>
      <c r="X170">
        <f>R[-2]C[0]-R[-1]C[0]</f>
        <v/>
      </c>
    </row>
    <row r="171">
      <c r="A171" t="inlineStr">
        <is>
          <t>Financial Statements</t>
        </is>
      </c>
      <c r="B171" t="inlineStr">
        <is>
          <t>C12</t>
        </is>
      </c>
      <c r="C171" t="n">
        <v>12</v>
      </c>
      <c r="D171" t="n">
        <v>3</v>
      </c>
      <c r="E171" t="inlineStr">
        <is>
          <t>Calculation</t>
        </is>
      </c>
      <c r="F171" t="inlineStr">
        <is>
          <t>'=C10-C11</t>
        </is>
      </c>
      <c r="G171" t="n">
        <v>985.8300000000003</v>
      </c>
      <c r="H171" t="inlineStr"/>
      <c r="I171" t="inlineStr">
        <is>
          <t>#,##0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inlineStr">
        <is>
          <t>G000052</t>
        </is>
      </c>
      <c r="T171" t="inlineStr">
        <is>
          <t>Horizontal</t>
        </is>
      </c>
      <c r="U171" t="n">
        <v>8</v>
      </c>
      <c r="V171" t="b">
        <v>1</v>
      </c>
      <c r="W171" t="inlineStr">
        <is>
          <t>Financial Statements!B12:I12</t>
        </is>
      </c>
      <c r="X171">
        <f>R[-2]C[0]-R[-1]C[0]</f>
        <v/>
      </c>
    </row>
    <row r="172">
      <c r="A172" t="inlineStr">
        <is>
          <t>Financial Statements</t>
        </is>
      </c>
      <c r="B172" t="inlineStr">
        <is>
          <t>D12</t>
        </is>
      </c>
      <c r="C172" t="n">
        <v>12</v>
      </c>
      <c r="D172" t="n">
        <v>4</v>
      </c>
      <c r="E172" t="inlineStr">
        <is>
          <t>Calculation</t>
        </is>
      </c>
      <c r="F172" t="inlineStr">
        <is>
          <t>'=D10-D11</t>
        </is>
      </c>
      <c r="G172" t="n">
        <v>1391.129999999998</v>
      </c>
      <c r="H172" t="inlineStr"/>
      <c r="I172" t="inlineStr">
        <is>
          <t>#,##0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inlineStr">
        <is>
          <t>G000052</t>
        </is>
      </c>
      <c r="T172" t="inlineStr">
        <is>
          <t>Horizontal</t>
        </is>
      </c>
      <c r="U172" t="n">
        <v>8</v>
      </c>
      <c r="V172" t="b">
        <v>1</v>
      </c>
      <c r="W172" t="inlineStr">
        <is>
          <t>Financial Statements!B12:I12</t>
        </is>
      </c>
      <c r="X172">
        <f>R[-2]C[0]-R[-1]C[0]</f>
        <v/>
      </c>
    </row>
    <row r="173">
      <c r="A173" t="inlineStr">
        <is>
          <t>Financial Statements</t>
        </is>
      </c>
      <c r="B173" t="inlineStr">
        <is>
          <t>E12</t>
        </is>
      </c>
      <c r="C173" t="n">
        <v>12</v>
      </c>
      <c r="D173" t="n">
        <v>5</v>
      </c>
      <c r="E173" t="inlineStr">
        <is>
          <t>Calculation</t>
        </is>
      </c>
      <c r="F173" t="inlineStr">
        <is>
          <t>'=E10-E11</t>
        </is>
      </c>
      <c r="G173" t="n">
        <v>1391.326062337152</v>
      </c>
      <c r="H173" t="inlineStr"/>
      <c r="I173" t="inlineStr">
        <is>
          <t>#,##0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G000052</t>
        </is>
      </c>
      <c r="T173" t="inlineStr">
        <is>
          <t>Horizontal</t>
        </is>
      </c>
      <c r="U173" t="n">
        <v>8</v>
      </c>
      <c r="V173" t="b">
        <v>1</v>
      </c>
      <c r="W173" t="inlineStr">
        <is>
          <t>Financial Statements!B12:I12</t>
        </is>
      </c>
      <c r="X173">
        <f>R[-2]C[0]-R[-1]C[0]</f>
        <v/>
      </c>
    </row>
    <row r="174">
      <c r="A174" t="inlineStr">
        <is>
          <t>Financial Statements</t>
        </is>
      </c>
      <c r="B174" t="inlineStr">
        <is>
          <t>F12</t>
        </is>
      </c>
      <c r="C174" t="n">
        <v>12</v>
      </c>
      <c r="D174" t="n">
        <v>6</v>
      </c>
      <c r="E174" t="inlineStr">
        <is>
          <t>Calculation</t>
        </is>
      </c>
      <c r="F174" t="inlineStr">
        <is>
          <t>'=F10-F11</t>
        </is>
      </c>
      <c r="G174" t="n">
        <v>1480.060203128183</v>
      </c>
      <c r="H174" t="inlineStr"/>
      <c r="I174" t="inlineStr">
        <is>
          <t>#,##0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G000052</t>
        </is>
      </c>
      <c r="T174" t="inlineStr">
        <is>
          <t>Horizontal</t>
        </is>
      </c>
      <c r="U174" t="n">
        <v>8</v>
      </c>
      <c r="V174" t="b">
        <v>1</v>
      </c>
      <c r="W174" t="inlineStr">
        <is>
          <t>Financial Statements!B12:I12</t>
        </is>
      </c>
      <c r="X174">
        <f>R[-2]C[0]-R[-1]C[0]</f>
        <v/>
      </c>
    </row>
    <row r="175">
      <c r="A175" t="inlineStr">
        <is>
          <t>Financial Statements</t>
        </is>
      </c>
      <c r="B175" t="inlineStr">
        <is>
          <t>G12</t>
        </is>
      </c>
      <c r="C175" t="n">
        <v>12</v>
      </c>
      <c r="D175" t="n">
        <v>7</v>
      </c>
      <c r="E175" t="inlineStr">
        <is>
          <t>Calculation</t>
        </is>
      </c>
      <c r="F175" t="inlineStr">
        <is>
          <t>'=G10-G11</t>
        </is>
      </c>
      <c r="G175" t="n">
        <v>1562.595461845554</v>
      </c>
      <c r="H175" t="inlineStr"/>
      <c r="I175" t="inlineStr">
        <is>
          <t>#,##0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inlineStr">
        <is>
          <t>G000052</t>
        </is>
      </c>
      <c r="T175" t="inlineStr">
        <is>
          <t>Horizontal</t>
        </is>
      </c>
      <c r="U175" t="n">
        <v>8</v>
      </c>
      <c r="V175" t="b">
        <v>1</v>
      </c>
      <c r="W175" t="inlineStr">
        <is>
          <t>Financial Statements!B12:I12</t>
        </is>
      </c>
      <c r="X175">
        <f>R[-2]C[0]-R[-1]C[0]</f>
        <v/>
      </c>
    </row>
    <row r="176">
      <c r="A176" t="inlineStr">
        <is>
          <t>Financial Statements</t>
        </is>
      </c>
      <c r="B176" t="inlineStr">
        <is>
          <t>H12</t>
        </is>
      </c>
      <c r="C176" t="n">
        <v>12</v>
      </c>
      <c r="D176" t="n">
        <v>8</v>
      </c>
      <c r="E176" t="inlineStr">
        <is>
          <t>Calculation</t>
        </is>
      </c>
      <c r="F176" t="inlineStr">
        <is>
          <t>'=H10-H11</t>
        </is>
      </c>
      <c r="G176" t="n">
        <v>1638.723529632292</v>
      </c>
      <c r="H176" t="inlineStr"/>
      <c r="I176" t="inlineStr">
        <is>
          <t>#,##0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G000052</t>
        </is>
      </c>
      <c r="T176" t="inlineStr">
        <is>
          <t>Horizontal</t>
        </is>
      </c>
      <c r="U176" t="n">
        <v>8</v>
      </c>
      <c r="V176" t="b">
        <v>1</v>
      </c>
      <c r="W176" t="inlineStr">
        <is>
          <t>Financial Statements!B12:I12</t>
        </is>
      </c>
      <c r="X176">
        <f>R[-2]C[0]-R[-1]C[0]</f>
        <v/>
      </c>
    </row>
    <row r="177">
      <c r="A177" t="inlineStr">
        <is>
          <t>Financial Statements</t>
        </is>
      </c>
      <c r="B177" t="inlineStr">
        <is>
          <t>I12</t>
        </is>
      </c>
      <c r="C177" t="n">
        <v>12</v>
      </c>
      <c r="D177" t="n">
        <v>9</v>
      </c>
      <c r="E177" t="inlineStr">
        <is>
          <t>Calculation</t>
        </is>
      </c>
      <c r="F177" t="inlineStr">
        <is>
          <t>'=I10-I11</t>
        </is>
      </c>
      <c r="G177" t="n">
        <v>1708.101360099694</v>
      </c>
      <c r="H177" t="inlineStr"/>
      <c r="I177" t="inlineStr">
        <is>
          <t>#,##0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inlineStr">
        <is>
          <t>G000052</t>
        </is>
      </c>
      <c r="T177" t="inlineStr">
        <is>
          <t>Horizontal</t>
        </is>
      </c>
      <c r="U177" t="n">
        <v>8</v>
      </c>
      <c r="V177" t="b">
        <v>1</v>
      </c>
      <c r="W177" t="inlineStr">
        <is>
          <t>Financial Statements!B12:I12</t>
        </is>
      </c>
      <c r="X177">
        <f>R[-2]C[0]-R[-1]C[0]</f>
        <v/>
      </c>
    </row>
    <row r="178">
      <c r="A178" t="inlineStr">
        <is>
          <t>Financial Statements</t>
        </is>
      </c>
      <c r="B178" t="inlineStr">
        <is>
          <t>A13</t>
        </is>
      </c>
      <c r="C178" t="n">
        <v>13</v>
      </c>
      <c r="D178" t="n">
        <v>1</v>
      </c>
      <c r="E178" t="inlineStr">
        <is>
          <t>Input</t>
        </is>
      </c>
      <c r="F178" t="n">
        <v/>
      </c>
      <c r="G178" t="inlineStr">
        <is>
          <t>Interest</t>
        </is>
      </c>
      <c r="H178" t="inlineStr"/>
      <c r="I178" t="inlineStr">
        <is>
          <t>General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Financial Statements</t>
        </is>
      </c>
      <c r="B179" t="inlineStr">
        <is>
          <t>B13</t>
        </is>
      </c>
      <c r="C179" t="n">
        <v>13</v>
      </c>
      <c r="D179" t="n">
        <v>2</v>
      </c>
      <c r="E179" t="inlineStr">
        <is>
          <t>Input</t>
        </is>
      </c>
      <c r="F179" t="n">
        <v/>
      </c>
      <c r="G179" t="n">
        <v>64.64</v>
      </c>
      <c r="H179" t="inlineStr"/>
      <c r="I179" t="inlineStr">
        <is>
          <t>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Financial Statements</t>
        </is>
      </c>
      <c r="B180" t="inlineStr">
        <is>
          <t>C13</t>
        </is>
      </c>
      <c r="C180" t="n">
        <v>13</v>
      </c>
      <c r="D180" t="n">
        <v>3</v>
      </c>
      <c r="E180" t="inlineStr">
        <is>
          <t>Input</t>
        </is>
      </c>
      <c r="F180" t="n">
        <v/>
      </c>
      <c r="G180" t="n">
        <v>78.67</v>
      </c>
      <c r="H180" t="inlineStr"/>
      <c r="I180" t="inlineStr">
        <is>
          <t>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Financial Statements</t>
        </is>
      </c>
      <c r="B181" t="inlineStr">
        <is>
          <t>D13</t>
        </is>
      </c>
      <c r="C181" t="n">
        <v>13</v>
      </c>
      <c r="D181" t="n">
        <v>4</v>
      </c>
      <c r="E181" t="inlineStr">
        <is>
          <t>Input</t>
        </is>
      </c>
      <c r="F181" t="n">
        <v/>
      </c>
      <c r="G181" t="n">
        <v>98.53</v>
      </c>
      <c r="H181" t="inlineStr"/>
      <c r="I181" t="inlineStr">
        <is>
          <t>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Financial Statements</t>
        </is>
      </c>
      <c r="B182" t="inlineStr">
        <is>
          <t>E13</t>
        </is>
      </c>
      <c r="C182" t="n">
        <v>13</v>
      </c>
      <c r="D182" t="n">
        <v>5</v>
      </c>
      <c r="E182" t="inlineStr">
        <is>
          <t>Calculation</t>
        </is>
      </c>
      <c r="F182" t="inlineStr">
        <is>
          <t>'=D13</t>
        </is>
      </c>
      <c r="G182" t="n">
        <v>98.53</v>
      </c>
      <c r="H182" t="inlineStr"/>
      <c r="I182" t="inlineStr">
        <is>
          <t>0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G000054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Financial Statements!E13:I13</t>
        </is>
      </c>
      <c r="X182">
        <f>R[0]C[-1]</f>
        <v/>
      </c>
    </row>
    <row r="183">
      <c r="A183" t="inlineStr">
        <is>
          <t>Financial Statements</t>
        </is>
      </c>
      <c r="B183" t="inlineStr">
        <is>
          <t>F13</t>
        </is>
      </c>
      <c r="C183" t="n">
        <v>13</v>
      </c>
      <c r="D183" t="n">
        <v>6</v>
      </c>
      <c r="E183" t="inlineStr">
        <is>
          <t>Calculation</t>
        </is>
      </c>
      <c r="F183" t="inlineStr">
        <is>
          <t>'=E13</t>
        </is>
      </c>
      <c r="G183" t="n">
        <v>98.53</v>
      </c>
      <c r="H183" t="inlineStr"/>
      <c r="I183" t="inlineStr">
        <is>
          <t>0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inlineStr">
        <is>
          <t>G000054</t>
        </is>
      </c>
      <c r="T183" t="inlineStr">
        <is>
          <t>Horizontal</t>
        </is>
      </c>
      <c r="U183" t="n">
        <v>5</v>
      </c>
      <c r="V183" t="b">
        <v>1</v>
      </c>
      <c r="W183" t="inlineStr">
        <is>
          <t>Financial Statements!E13:I13</t>
        </is>
      </c>
      <c r="X183">
        <f>R[0]C[-1]</f>
        <v/>
      </c>
    </row>
    <row r="184">
      <c r="A184" t="inlineStr">
        <is>
          <t>Financial Statements</t>
        </is>
      </c>
      <c r="B184" t="inlineStr">
        <is>
          <t>G13</t>
        </is>
      </c>
      <c r="C184" t="n">
        <v>13</v>
      </c>
      <c r="D184" t="n">
        <v>7</v>
      </c>
      <c r="E184" t="inlineStr">
        <is>
          <t>Calculation</t>
        </is>
      </c>
      <c r="F184" t="inlineStr">
        <is>
          <t>'=F13</t>
        </is>
      </c>
      <c r="G184" t="n">
        <v>98.53</v>
      </c>
      <c r="H184" t="inlineStr"/>
      <c r="I184" t="inlineStr">
        <is>
          <t>0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inlineStr">
        <is>
          <t>G000054</t>
        </is>
      </c>
      <c r="T184" t="inlineStr">
        <is>
          <t>Horizontal</t>
        </is>
      </c>
      <c r="U184" t="n">
        <v>5</v>
      </c>
      <c r="V184" t="b">
        <v>1</v>
      </c>
      <c r="W184" t="inlineStr">
        <is>
          <t>Financial Statements!E13:I13</t>
        </is>
      </c>
      <c r="X184">
        <f>R[0]C[-1]</f>
        <v/>
      </c>
    </row>
    <row r="185">
      <c r="A185" t="inlineStr">
        <is>
          <t>Financial Statements</t>
        </is>
      </c>
      <c r="B185" t="inlineStr">
        <is>
          <t>H13</t>
        </is>
      </c>
      <c r="C185" t="n">
        <v>13</v>
      </c>
      <c r="D185" t="n">
        <v>8</v>
      </c>
      <c r="E185" t="inlineStr">
        <is>
          <t>Calculation</t>
        </is>
      </c>
      <c r="F185" t="inlineStr">
        <is>
          <t>'=G13</t>
        </is>
      </c>
      <c r="G185" t="n">
        <v>98.53</v>
      </c>
      <c r="H185" t="inlineStr"/>
      <c r="I185" t="inlineStr">
        <is>
          <t>0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G000054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Financial Statements!E13:I13</t>
        </is>
      </c>
      <c r="X185">
        <f>R[0]C[-1]</f>
        <v/>
      </c>
    </row>
    <row r="186">
      <c r="A186" t="inlineStr">
        <is>
          <t>Financial Statements</t>
        </is>
      </c>
      <c r="B186" t="inlineStr">
        <is>
          <t>I13</t>
        </is>
      </c>
      <c r="C186" t="n">
        <v>13</v>
      </c>
      <c r="D186" t="n">
        <v>9</v>
      </c>
      <c r="E186" t="inlineStr">
        <is>
          <t>Calculation</t>
        </is>
      </c>
      <c r="F186" t="inlineStr">
        <is>
          <t>'=H13</t>
        </is>
      </c>
      <c r="G186" t="n">
        <v>98.53</v>
      </c>
      <c r="H186" t="inlineStr"/>
      <c r="I186" t="inlineStr">
        <is>
          <t>0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G000054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Financial Statements!E13:I13</t>
        </is>
      </c>
      <c r="X186">
        <f>R[0]C[-1]</f>
        <v/>
      </c>
    </row>
    <row r="187">
      <c r="A187" t="inlineStr">
        <is>
          <t>Financial Statements</t>
        </is>
      </c>
      <c r="B187" t="inlineStr">
        <is>
          <t>L13</t>
        </is>
      </c>
      <c r="C187" t="n">
        <v>13</v>
      </c>
      <c r="D187" t="n">
        <v>12</v>
      </c>
      <c r="E187" t="inlineStr">
        <is>
          <t>Input</t>
        </is>
      </c>
      <c r="F187" t="n">
        <v/>
      </c>
      <c r="G187" t="n">
        <v>2015</v>
      </c>
      <c r="H187" t="inlineStr"/>
      <c r="I187" t="inlineStr">
        <is>
          <t>General</t>
        </is>
      </c>
      <c r="J187" t="b">
        <v>1</v>
      </c>
      <c r="K187" t="b">
        <v>0</v>
      </c>
      <c r="L187" t="n">
        <v>11</v>
      </c>
      <c r="M187" t="inlineStr">
        <is>
          <t>Values must be of type &lt;class 'str'&gt;</t>
        </is>
      </c>
      <c r="N187" t="inlineStr">
        <is>
          <t>Values must be of type &lt;class 'str'&gt;</t>
        </is>
      </c>
      <c r="O187" t="inlineStr">
        <is>
          <t>center</t>
        </is>
      </c>
      <c r="P187" t="inlineStr">
        <is>
          <t>center</t>
        </is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 t="n">
        <v/>
      </c>
    </row>
    <row r="188">
      <c r="A188" t="inlineStr">
        <is>
          <t>Financial Statements</t>
        </is>
      </c>
      <c r="B188" t="inlineStr">
        <is>
          <t>M13</t>
        </is>
      </c>
      <c r="C188" t="n">
        <v>13</v>
      </c>
      <c r="D188" t="n">
        <v>13</v>
      </c>
      <c r="E188" t="inlineStr">
        <is>
          <t>Input</t>
        </is>
      </c>
      <c r="F188" t="n">
        <v/>
      </c>
      <c r="G188" t="n">
        <v>2016</v>
      </c>
      <c r="H188" t="inlineStr"/>
      <c r="I188" t="inlineStr">
        <is>
          <t>General</t>
        </is>
      </c>
      <c r="J188" t="b">
        <v>1</v>
      </c>
      <c r="K188" t="b">
        <v>0</v>
      </c>
      <c r="L188" t="n">
        <v>11</v>
      </c>
      <c r="M188" t="inlineStr">
        <is>
          <t>Values must be of type &lt;class 'str'&gt;</t>
        </is>
      </c>
      <c r="N188" t="inlineStr">
        <is>
          <t>Values must be of type &lt;class 'str'&gt;</t>
        </is>
      </c>
      <c r="O188" t="inlineStr">
        <is>
          <t>center</t>
        </is>
      </c>
      <c r="P188" t="inlineStr">
        <is>
          <t>center</t>
        </is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Financial Statements</t>
        </is>
      </c>
      <c r="B189" t="inlineStr">
        <is>
          <t>N13</t>
        </is>
      </c>
      <c r="C189" t="n">
        <v>13</v>
      </c>
      <c r="D189" t="n">
        <v>14</v>
      </c>
      <c r="E189" t="inlineStr">
        <is>
          <t>Input</t>
        </is>
      </c>
      <c r="F189" t="n">
        <v/>
      </c>
      <c r="G189" t="n">
        <v>2017</v>
      </c>
      <c r="H189" t="inlineStr"/>
      <c r="I189" t="inlineStr">
        <is>
          <t>General</t>
        </is>
      </c>
      <c r="J189" t="b">
        <v>1</v>
      </c>
      <c r="K189" t="b">
        <v>0</v>
      </c>
      <c r="L189" t="n">
        <v>11</v>
      </c>
      <c r="M189" t="inlineStr">
        <is>
          <t>Values must be of type &lt;class 'str'&gt;</t>
        </is>
      </c>
      <c r="N189" t="inlineStr">
        <is>
          <t>Values must be of type &lt;class 'str'&gt;</t>
        </is>
      </c>
      <c r="O189" t="inlineStr">
        <is>
          <t>center</t>
        </is>
      </c>
      <c r="P189" t="inlineStr">
        <is>
          <t>center</t>
        </is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Financial Statements</t>
        </is>
      </c>
      <c r="B190" t="inlineStr">
        <is>
          <t>O13</t>
        </is>
      </c>
      <c r="C190" t="n">
        <v>13</v>
      </c>
      <c r="D190" t="n">
        <v>15</v>
      </c>
      <c r="E190" t="inlineStr">
        <is>
          <t>Input</t>
        </is>
      </c>
      <c r="F190" t="n">
        <v/>
      </c>
      <c r="G190" t="inlineStr">
        <is>
          <t>2018 F</t>
        </is>
      </c>
      <c r="H190" t="inlineStr"/>
      <c r="I190" t="inlineStr">
        <is>
          <t>General</t>
        </is>
      </c>
      <c r="J190" t="b">
        <v>1</v>
      </c>
      <c r="K190" t="b">
        <v>0</v>
      </c>
      <c r="L190" t="n">
        <v>11</v>
      </c>
      <c r="M190" t="inlineStr">
        <is>
          <t>Values must be of type &lt;class 'str'&gt;</t>
        </is>
      </c>
      <c r="N190" t="inlineStr">
        <is>
          <t>Values must be of type &lt;class 'str'&gt;</t>
        </is>
      </c>
      <c r="O190" t="inlineStr">
        <is>
          <t>center</t>
        </is>
      </c>
      <c r="P190" t="inlineStr">
        <is>
          <t>center</t>
        </is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Financial Statements</t>
        </is>
      </c>
      <c r="B191" t="inlineStr">
        <is>
          <t>P13</t>
        </is>
      </c>
      <c r="C191" t="n">
        <v>13</v>
      </c>
      <c r="D191" t="n">
        <v>16</v>
      </c>
      <c r="E191" t="inlineStr">
        <is>
          <t>Input</t>
        </is>
      </c>
      <c r="F191" t="n">
        <v/>
      </c>
      <c r="G191" t="inlineStr">
        <is>
          <t>2019 F</t>
        </is>
      </c>
      <c r="H191" t="inlineStr"/>
      <c r="I191" t="inlineStr">
        <is>
          <t>General</t>
        </is>
      </c>
      <c r="J191" t="b">
        <v>1</v>
      </c>
      <c r="K191" t="b">
        <v>0</v>
      </c>
      <c r="L191" t="n">
        <v>11</v>
      </c>
      <c r="M191" t="inlineStr">
        <is>
          <t>Values must be of type &lt;class 'str'&gt;</t>
        </is>
      </c>
      <c r="N191" t="inlineStr">
        <is>
          <t>Values must be of type &lt;class 'str'&gt;</t>
        </is>
      </c>
      <c r="O191" t="inlineStr">
        <is>
          <t>center</t>
        </is>
      </c>
      <c r="P191" t="inlineStr">
        <is>
          <t>center</t>
        </is>
      </c>
      <c r="R191" t="b">
        <v>1</v>
      </c>
      <c r="S191" t="n">
        <v/>
      </c>
      <c r="T191" t="n">
        <v/>
      </c>
      <c r="U191" t="n">
        <v/>
      </c>
      <c r="V191" t="b">
        <v>0</v>
      </c>
      <c r="W191" t="inlineStr"/>
      <c r="X191" t="n">
        <v/>
      </c>
    </row>
    <row r="192">
      <c r="A192" t="inlineStr">
        <is>
          <t>Financial Statements</t>
        </is>
      </c>
      <c r="B192" t="inlineStr">
        <is>
          <t>Q13</t>
        </is>
      </c>
      <c r="C192" t="n">
        <v>13</v>
      </c>
      <c r="D192" t="n">
        <v>17</v>
      </c>
      <c r="E192" t="inlineStr">
        <is>
          <t>Input</t>
        </is>
      </c>
      <c r="F192" t="n">
        <v/>
      </c>
      <c r="G192" t="inlineStr">
        <is>
          <t>2020 F</t>
        </is>
      </c>
      <c r="H192" t="inlineStr"/>
      <c r="I192" t="inlineStr">
        <is>
          <t>General</t>
        </is>
      </c>
      <c r="J192" t="b">
        <v>1</v>
      </c>
      <c r="K192" t="b">
        <v>0</v>
      </c>
      <c r="L192" t="n">
        <v>11</v>
      </c>
      <c r="M192" t="inlineStr">
        <is>
          <t>Values must be of type &lt;class 'str'&gt;</t>
        </is>
      </c>
      <c r="N192" t="inlineStr">
        <is>
          <t>Values must be of type &lt;class 'str'&gt;</t>
        </is>
      </c>
      <c r="O192" t="inlineStr">
        <is>
          <t>center</t>
        </is>
      </c>
      <c r="P192" t="inlineStr">
        <is>
          <t>center</t>
        </is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 t="n">
        <v/>
      </c>
    </row>
    <row r="193">
      <c r="A193" t="inlineStr">
        <is>
          <t>Financial Statements</t>
        </is>
      </c>
      <c r="B193" t="inlineStr">
        <is>
          <t>R13</t>
        </is>
      </c>
      <c r="C193" t="n">
        <v>13</v>
      </c>
      <c r="D193" t="n">
        <v>18</v>
      </c>
      <c r="E193" t="inlineStr">
        <is>
          <t>Input</t>
        </is>
      </c>
      <c r="F193" t="n">
        <v/>
      </c>
      <c r="G193" t="inlineStr">
        <is>
          <t>2021 F</t>
        </is>
      </c>
      <c r="H193" t="inlineStr"/>
      <c r="I193" t="inlineStr">
        <is>
          <t>General</t>
        </is>
      </c>
      <c r="J193" t="b">
        <v>1</v>
      </c>
      <c r="K193" t="b">
        <v>0</v>
      </c>
      <c r="L193" t="n">
        <v>11</v>
      </c>
      <c r="M193" t="inlineStr">
        <is>
          <t>Values must be of type &lt;class 'str'&gt;</t>
        </is>
      </c>
      <c r="N193" t="inlineStr">
        <is>
          <t>Values must be of type &lt;class 'str'&gt;</t>
        </is>
      </c>
      <c r="O193" t="inlineStr">
        <is>
          <t>center</t>
        </is>
      </c>
      <c r="P193" t="inlineStr">
        <is>
          <t>center</t>
        </is>
      </c>
      <c r="R193" t="b">
        <v>1</v>
      </c>
      <c r="S193" t="n">
        <v/>
      </c>
      <c r="T193" t="n">
        <v/>
      </c>
      <c r="U193" t="n">
        <v/>
      </c>
      <c r="V193" t="b">
        <v>0</v>
      </c>
      <c r="W193" t="inlineStr"/>
      <c r="X193" t="n">
        <v/>
      </c>
    </row>
    <row r="194">
      <c r="A194" t="inlineStr">
        <is>
          <t>Financial Statements</t>
        </is>
      </c>
      <c r="B194" t="inlineStr">
        <is>
          <t>S13</t>
        </is>
      </c>
      <c r="C194" t="n">
        <v>13</v>
      </c>
      <c r="D194" t="n">
        <v>19</v>
      </c>
      <c r="E194" t="inlineStr">
        <is>
          <t>Input</t>
        </is>
      </c>
      <c r="F194" t="n">
        <v/>
      </c>
      <c r="G194" t="inlineStr">
        <is>
          <t>2022 F</t>
        </is>
      </c>
      <c r="H194" t="inlineStr"/>
      <c r="I194" t="inlineStr">
        <is>
          <t>General</t>
        </is>
      </c>
      <c r="J194" t="b">
        <v>1</v>
      </c>
      <c r="K194" t="b">
        <v>0</v>
      </c>
      <c r="L194" t="n">
        <v>11</v>
      </c>
      <c r="M194" t="inlineStr">
        <is>
          <t>Values must be of type &lt;class 'str'&gt;</t>
        </is>
      </c>
      <c r="N194" t="inlineStr">
        <is>
          <t>Values must be of type &lt;class 'str'&gt;</t>
        </is>
      </c>
      <c r="O194" t="inlineStr">
        <is>
          <t>center</t>
        </is>
      </c>
      <c r="P194" t="inlineStr">
        <is>
          <t>center</t>
        </is>
      </c>
      <c r="R194" t="b">
        <v>1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Financial Statements</t>
        </is>
      </c>
      <c r="B195" t="inlineStr">
        <is>
          <t>A14</t>
        </is>
      </c>
      <c r="C195" t="n">
        <v>14</v>
      </c>
      <c r="D195" t="n">
        <v>1</v>
      </c>
      <c r="E195" t="inlineStr">
        <is>
          <t>Input</t>
        </is>
      </c>
      <c r="F195" t="n">
        <v/>
      </c>
      <c r="G195" t="inlineStr">
        <is>
          <t>PBT</t>
        </is>
      </c>
      <c r="H195" t="inlineStr"/>
      <c r="I195" t="inlineStr">
        <is>
          <t>General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Financial Statements</t>
        </is>
      </c>
      <c r="B196" t="inlineStr">
        <is>
          <t>B14</t>
        </is>
      </c>
      <c r="C196" t="n">
        <v>14</v>
      </c>
      <c r="D196" t="n">
        <v>2</v>
      </c>
      <c r="E196" t="inlineStr">
        <is>
          <t>Calculation</t>
        </is>
      </c>
      <c r="F196" t="inlineStr">
        <is>
          <t>'=B12-B13</t>
        </is>
      </c>
      <c r="G196" t="n">
        <v>920.3100000000007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inlineStr">
        <is>
          <t>G000053</t>
        </is>
      </c>
      <c r="T196" t="inlineStr">
        <is>
          <t>Horizontal</t>
        </is>
      </c>
      <c r="U196" t="n">
        <v>8</v>
      </c>
      <c r="V196" t="b">
        <v>1</v>
      </c>
      <c r="W196" t="inlineStr">
        <is>
          <t>Financial Statements!B14:I14</t>
        </is>
      </c>
      <c r="X196">
        <f>R[-2]C[0]-R[-1]C[0]</f>
        <v/>
      </c>
    </row>
    <row r="197">
      <c r="A197" t="inlineStr">
        <is>
          <t>Financial Statements</t>
        </is>
      </c>
      <c r="B197" t="inlineStr">
        <is>
          <t>C14</t>
        </is>
      </c>
      <c r="C197" t="n">
        <v>14</v>
      </c>
      <c r="D197" t="n">
        <v>3</v>
      </c>
      <c r="E197" t="inlineStr">
        <is>
          <t>Calculation</t>
        </is>
      </c>
      <c r="F197" t="inlineStr">
        <is>
          <t>'=C12-C13</t>
        </is>
      </c>
      <c r="G197" t="n">
        <v>907.1600000000003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inlineStr">
        <is>
          <t>G000053</t>
        </is>
      </c>
      <c r="T197" t="inlineStr">
        <is>
          <t>Horizontal</t>
        </is>
      </c>
      <c r="U197" t="n">
        <v>8</v>
      </c>
      <c r="V197" t="b">
        <v>1</v>
      </c>
      <c r="W197" t="inlineStr">
        <is>
          <t>Financial Statements!B14:I14</t>
        </is>
      </c>
      <c r="X197">
        <f>R[-2]C[0]-R[-1]C[0]</f>
        <v/>
      </c>
    </row>
    <row r="198">
      <c r="A198" t="inlineStr">
        <is>
          <t>Financial Statements</t>
        </is>
      </c>
      <c r="B198" t="inlineStr">
        <is>
          <t>D14</t>
        </is>
      </c>
      <c r="C198" t="n">
        <v>14</v>
      </c>
      <c r="D198" t="n">
        <v>4</v>
      </c>
      <c r="E198" t="inlineStr">
        <is>
          <t>Calculation</t>
        </is>
      </c>
      <c r="F198" t="inlineStr">
        <is>
          <t>'=D12-D13</t>
        </is>
      </c>
      <c r="G198" t="n">
        <v>1292.599999999998</v>
      </c>
      <c r="H198" t="inlineStr"/>
      <c r="I198" t="inlineStr">
        <is>
          <t>_-* #,##0_-;\-* #,##0_-;_-* "-"??_-;_-@_-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inlineStr">
        <is>
          <t>G000053</t>
        </is>
      </c>
      <c r="T198" t="inlineStr">
        <is>
          <t>Horizontal</t>
        </is>
      </c>
      <c r="U198" t="n">
        <v>8</v>
      </c>
      <c r="V198" t="b">
        <v>1</v>
      </c>
      <c r="W198" t="inlineStr">
        <is>
          <t>Financial Statements!B14:I14</t>
        </is>
      </c>
      <c r="X198">
        <f>R[-2]C[0]-R[-1]C[0]</f>
        <v/>
      </c>
    </row>
    <row r="199">
      <c r="A199" t="inlineStr">
        <is>
          <t>Financial Statements</t>
        </is>
      </c>
      <c r="B199" t="inlineStr">
        <is>
          <t>E14</t>
        </is>
      </c>
      <c r="C199" t="n">
        <v>14</v>
      </c>
      <c r="D199" t="n">
        <v>5</v>
      </c>
      <c r="E199" t="inlineStr">
        <is>
          <t>Calculation</t>
        </is>
      </c>
      <c r="F199" t="inlineStr">
        <is>
          <t>'=E12-E13</t>
        </is>
      </c>
      <c r="G199" t="n">
        <v>1292.796062337152</v>
      </c>
      <c r="H199" t="inlineStr"/>
      <c r="I199" t="inlineStr">
        <is>
          <t>_-* #,##0_-;\-* #,##0_-;_-* "-"??_-;_-@_-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inlineStr">
        <is>
          <t>G000053</t>
        </is>
      </c>
      <c r="T199" t="inlineStr">
        <is>
          <t>Horizontal</t>
        </is>
      </c>
      <c r="U199" t="n">
        <v>8</v>
      </c>
      <c r="V199" t="b">
        <v>1</v>
      </c>
      <c r="W199" t="inlineStr">
        <is>
          <t>Financial Statements!B14:I14</t>
        </is>
      </c>
      <c r="X199">
        <f>R[-2]C[0]-R[-1]C[0]</f>
        <v/>
      </c>
    </row>
    <row r="200">
      <c r="A200" t="inlineStr">
        <is>
          <t>Financial Statements</t>
        </is>
      </c>
      <c r="B200" t="inlineStr">
        <is>
          <t>F14</t>
        </is>
      </c>
      <c r="C200" t="n">
        <v>14</v>
      </c>
      <c r="D200" t="n">
        <v>6</v>
      </c>
      <c r="E200" t="inlineStr">
        <is>
          <t>Calculation</t>
        </is>
      </c>
      <c r="F200" t="inlineStr">
        <is>
          <t>'=F12-F13</t>
        </is>
      </c>
      <c r="G200" t="n">
        <v>1381.530203128183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inlineStr">
        <is>
          <t>G000053</t>
        </is>
      </c>
      <c r="T200" t="inlineStr">
        <is>
          <t>Horizontal</t>
        </is>
      </c>
      <c r="U200" t="n">
        <v>8</v>
      </c>
      <c r="V200" t="b">
        <v>1</v>
      </c>
      <c r="W200" t="inlineStr">
        <is>
          <t>Financial Statements!B14:I14</t>
        </is>
      </c>
      <c r="X200">
        <f>R[-2]C[0]-R[-1]C[0]</f>
        <v/>
      </c>
    </row>
    <row r="201">
      <c r="A201" t="inlineStr">
        <is>
          <t>Financial Statements</t>
        </is>
      </c>
      <c r="B201" t="inlineStr">
        <is>
          <t>G14</t>
        </is>
      </c>
      <c r="C201" t="n">
        <v>14</v>
      </c>
      <c r="D201" t="n">
        <v>7</v>
      </c>
      <c r="E201" t="inlineStr">
        <is>
          <t>Calculation</t>
        </is>
      </c>
      <c r="F201" t="inlineStr">
        <is>
          <t>'=G12-G13</t>
        </is>
      </c>
      <c r="G201" t="n">
        <v>1464.065461845554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G000053</t>
        </is>
      </c>
      <c r="T201" t="inlineStr">
        <is>
          <t>Horizontal</t>
        </is>
      </c>
      <c r="U201" t="n">
        <v>8</v>
      </c>
      <c r="V201" t="b">
        <v>1</v>
      </c>
      <c r="W201" t="inlineStr">
        <is>
          <t>Financial Statements!B14:I14</t>
        </is>
      </c>
      <c r="X201">
        <f>R[-2]C[0]-R[-1]C[0]</f>
        <v/>
      </c>
    </row>
    <row r="202">
      <c r="A202" t="inlineStr">
        <is>
          <t>Financial Statements</t>
        </is>
      </c>
      <c r="B202" t="inlineStr">
        <is>
          <t>H14</t>
        </is>
      </c>
      <c r="C202" t="n">
        <v>14</v>
      </c>
      <c r="D202" t="n">
        <v>8</v>
      </c>
      <c r="E202" t="inlineStr">
        <is>
          <t>Calculation</t>
        </is>
      </c>
      <c r="F202" t="inlineStr">
        <is>
          <t>'=H12-H13</t>
        </is>
      </c>
      <c r="G202" t="n">
        <v>1540.193529632292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inlineStr">
        <is>
          <t>G000053</t>
        </is>
      </c>
      <c r="T202" t="inlineStr">
        <is>
          <t>Horizontal</t>
        </is>
      </c>
      <c r="U202" t="n">
        <v>8</v>
      </c>
      <c r="V202" t="b">
        <v>1</v>
      </c>
      <c r="W202" t="inlineStr">
        <is>
          <t>Financial Statements!B14:I14</t>
        </is>
      </c>
      <c r="X202">
        <f>R[-2]C[0]-R[-1]C[0]</f>
        <v/>
      </c>
    </row>
    <row r="203">
      <c r="A203" t="inlineStr">
        <is>
          <t>Financial Statements</t>
        </is>
      </c>
      <c r="B203" t="inlineStr">
        <is>
          <t>I14</t>
        </is>
      </c>
      <c r="C203" t="n">
        <v>14</v>
      </c>
      <c r="D203" t="n">
        <v>9</v>
      </c>
      <c r="E203" t="inlineStr">
        <is>
          <t>Calculation</t>
        </is>
      </c>
      <c r="F203" t="inlineStr">
        <is>
          <t>'=I12-I13</t>
        </is>
      </c>
      <c r="G203" t="n">
        <v>1609.571360099694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G000053</t>
        </is>
      </c>
      <c r="T203" t="inlineStr">
        <is>
          <t>Horizontal</t>
        </is>
      </c>
      <c r="U203" t="n">
        <v>8</v>
      </c>
      <c r="V203" t="b">
        <v>1</v>
      </c>
      <c r="W203" t="inlineStr">
        <is>
          <t>Financial Statements!B14:I14</t>
        </is>
      </c>
      <c r="X203">
        <f>R[-2]C[0]-R[-1]C[0]</f>
        <v/>
      </c>
    </row>
    <row r="204">
      <c r="A204" t="inlineStr">
        <is>
          <t>Financial Statements</t>
        </is>
      </c>
      <c r="B204" t="inlineStr">
        <is>
          <t>K14</t>
        </is>
      </c>
      <c r="C204" t="n">
        <v>14</v>
      </c>
      <c r="D204" t="n">
        <v>11</v>
      </c>
      <c r="E204" t="inlineStr">
        <is>
          <t>Input</t>
        </is>
      </c>
      <c r="F204" t="n">
        <v/>
      </c>
      <c r="G204" t="inlineStr">
        <is>
          <t>Cash flow from Operation</t>
        </is>
      </c>
      <c r="H204" t="inlineStr"/>
      <c r="I204" t="inlineStr">
        <is>
          <t>General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n">
        <v/>
      </c>
      <c r="T204" t="n">
        <v/>
      </c>
      <c r="U204" t="n">
        <v/>
      </c>
      <c r="V204" t="b">
        <v>0</v>
      </c>
      <c r="W204" t="inlineStr"/>
      <c r="X204" t="n">
        <v/>
      </c>
    </row>
    <row r="205">
      <c r="A205" t="inlineStr">
        <is>
          <t>Financial Statements</t>
        </is>
      </c>
      <c r="B205" t="inlineStr">
        <is>
          <t>A15</t>
        </is>
      </c>
      <c r="C205" t="n">
        <v>15</v>
      </c>
      <c r="D205" t="n">
        <v>1</v>
      </c>
      <c r="E205" t="inlineStr">
        <is>
          <t>Input</t>
        </is>
      </c>
      <c r="F205" t="n">
        <v/>
      </c>
      <c r="G205" t="inlineStr">
        <is>
          <t>Taxes</t>
        </is>
      </c>
      <c r="H205" t="inlineStr"/>
      <c r="I205" t="inlineStr">
        <is>
          <t>General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 t="n">
        <v/>
      </c>
    </row>
    <row r="206">
      <c r="A206" t="inlineStr">
        <is>
          <t>Financial Statements</t>
        </is>
      </c>
      <c r="B206" t="inlineStr">
        <is>
          <t>B15</t>
        </is>
      </c>
      <c r="C206" t="n">
        <v>15</v>
      </c>
      <c r="D206" t="n">
        <v>2</v>
      </c>
      <c r="E206" t="inlineStr">
        <is>
          <t>Input</t>
        </is>
      </c>
      <c r="F206" t="n">
        <v/>
      </c>
      <c r="G206" t="n">
        <v>189.98</v>
      </c>
      <c r="H206" t="inlineStr"/>
      <c r="I206" t="inlineStr">
        <is>
          <t>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n">
        <v/>
      </c>
      <c r="T206" t="n">
        <v/>
      </c>
      <c r="U206" t="n">
        <v/>
      </c>
      <c r="V206" t="b">
        <v>0</v>
      </c>
      <c r="W206" t="inlineStr"/>
      <c r="X206" t="n">
        <v/>
      </c>
    </row>
    <row r="207">
      <c r="A207" t="inlineStr">
        <is>
          <t>Financial Statements</t>
        </is>
      </c>
      <c r="B207" t="inlineStr">
        <is>
          <t>C15</t>
        </is>
      </c>
      <c r="C207" t="n">
        <v>15</v>
      </c>
      <c r="D207" t="n">
        <v>3</v>
      </c>
      <c r="E207" t="inlineStr">
        <is>
          <t>Input</t>
        </is>
      </c>
      <c r="F207" t="n">
        <v/>
      </c>
      <c r="G207" t="n">
        <v>226.89</v>
      </c>
      <c r="H207" t="inlineStr"/>
      <c r="I207" t="inlineStr">
        <is>
          <t>0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n">
        <v/>
      </c>
      <c r="T207" t="n">
        <v/>
      </c>
      <c r="U207" t="n">
        <v/>
      </c>
      <c r="V207" t="b">
        <v>0</v>
      </c>
      <c r="W207" t="inlineStr"/>
      <c r="X207" t="n">
        <v/>
      </c>
    </row>
    <row r="208">
      <c r="A208" t="inlineStr">
        <is>
          <t>Financial Statements</t>
        </is>
      </c>
      <c r="B208" t="inlineStr">
        <is>
          <t>D15</t>
        </is>
      </c>
      <c r="C208" t="n">
        <v>15</v>
      </c>
      <c r="D208" t="n">
        <v>4</v>
      </c>
      <c r="E208" t="inlineStr">
        <is>
          <t>Input</t>
        </is>
      </c>
      <c r="F208" t="n">
        <v/>
      </c>
      <c r="G208" t="n">
        <v>385.55</v>
      </c>
      <c r="H208" t="inlineStr"/>
      <c r="I208" t="inlineStr">
        <is>
          <t>0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n">
        <v/>
      </c>
      <c r="T208" t="n">
        <v/>
      </c>
      <c r="U208" t="n">
        <v/>
      </c>
      <c r="V208" t="b">
        <v>0</v>
      </c>
      <c r="W208" t="inlineStr"/>
      <c r="X208" t="n">
        <v/>
      </c>
    </row>
    <row r="209">
      <c r="A209" t="inlineStr">
        <is>
          <t>Financial Statements</t>
        </is>
      </c>
      <c r="B209" t="inlineStr">
        <is>
          <t>E15</t>
        </is>
      </c>
      <c r="C209" t="n">
        <v>15</v>
      </c>
      <c r="D209" t="n">
        <v>5</v>
      </c>
      <c r="E209" t="inlineStr">
        <is>
          <t>Calculation</t>
        </is>
      </c>
      <c r="F209" t="inlineStr">
        <is>
          <t>'=E14*E16</t>
        </is>
      </c>
      <c r="G209" t="n">
        <v>354.4750031481766</v>
      </c>
      <c r="H209" t="inlineStr"/>
      <c r="I209" t="inlineStr">
        <is>
          <t>0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G000056</t>
        </is>
      </c>
      <c r="T209" t="inlineStr">
        <is>
          <t>Horizontal</t>
        </is>
      </c>
      <c r="U209" t="n">
        <v>5</v>
      </c>
      <c r="V209" t="b">
        <v>1</v>
      </c>
      <c r="W209" t="inlineStr">
        <is>
          <t>Financial Statements!E15:I15</t>
        </is>
      </c>
      <c r="X209">
        <f>R[-1]C[0]*R[1]C[0]</f>
        <v/>
      </c>
    </row>
    <row r="210">
      <c r="A210" t="inlineStr">
        <is>
          <t>Financial Statements</t>
        </is>
      </c>
      <c r="B210" t="inlineStr">
        <is>
          <t>F15</t>
        </is>
      </c>
      <c r="C210" t="n">
        <v>15</v>
      </c>
      <c r="D210" t="n">
        <v>6</v>
      </c>
      <c r="E210" t="inlineStr">
        <is>
          <t>Calculation</t>
        </is>
      </c>
      <c r="F210" t="inlineStr">
        <is>
          <t>'=F14*F16</t>
        </is>
      </c>
      <c r="G210" t="n">
        <v>378.805240339175</v>
      </c>
      <c r="H210" t="inlineStr"/>
      <c r="I210" t="inlineStr">
        <is>
          <t>0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G000056</t>
        </is>
      </c>
      <c r="T210" t="inlineStr">
        <is>
          <t>Horizontal</t>
        </is>
      </c>
      <c r="U210" t="n">
        <v>5</v>
      </c>
      <c r="V210" t="b">
        <v>1</v>
      </c>
      <c r="W210" t="inlineStr">
        <is>
          <t>Financial Statements!E15:I15</t>
        </is>
      </c>
      <c r="X210">
        <f>R[-1]C[0]*R[1]C[0]</f>
        <v/>
      </c>
    </row>
    <row r="211">
      <c r="A211" t="inlineStr">
        <is>
          <t>Financial Statements</t>
        </is>
      </c>
      <c r="B211" t="inlineStr">
        <is>
          <t>G15</t>
        </is>
      </c>
      <c r="C211" t="n">
        <v>15</v>
      </c>
      <c r="D211" t="n">
        <v>7</v>
      </c>
      <c r="E211" t="inlineStr">
        <is>
          <t>Calculation</t>
        </is>
      </c>
      <c r="F211" t="inlineStr">
        <is>
          <t>'=G14*G16</t>
        </is>
      </c>
      <c r="G211" t="n">
        <v>401.4357904669225</v>
      </c>
      <c r="H211" t="inlineStr"/>
      <c r="I211" t="inlineStr">
        <is>
          <t>0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G000056</t>
        </is>
      </c>
      <c r="T211" t="inlineStr">
        <is>
          <t>Horizontal</t>
        </is>
      </c>
      <c r="U211" t="n">
        <v>5</v>
      </c>
      <c r="V211" t="b">
        <v>1</v>
      </c>
      <c r="W211" t="inlineStr">
        <is>
          <t>Financial Statements!E15:I15</t>
        </is>
      </c>
      <c r="X211">
        <f>R[-1]C[0]*R[1]C[0]</f>
        <v/>
      </c>
    </row>
    <row r="212">
      <c r="A212" t="inlineStr">
        <is>
          <t>Financial Statements</t>
        </is>
      </c>
      <c r="B212" t="inlineStr">
        <is>
          <t>H15</t>
        </is>
      </c>
      <c r="C212" t="n">
        <v>15</v>
      </c>
      <c r="D212" t="n">
        <v>8</v>
      </c>
      <c r="E212" t="inlineStr">
        <is>
          <t>Calculation</t>
        </is>
      </c>
      <c r="F212" t="inlineStr">
        <is>
          <t>'=H14*H16</t>
        </is>
      </c>
      <c r="G212" t="n">
        <v>422.3095368021208</v>
      </c>
      <c r="H212" t="inlineStr"/>
      <c r="I212" t="inlineStr">
        <is>
          <t>0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G000056</t>
        </is>
      </c>
      <c r="T212" t="inlineStr">
        <is>
          <t>Horizontal</t>
        </is>
      </c>
      <c r="U212" t="n">
        <v>5</v>
      </c>
      <c r="V212" t="b">
        <v>1</v>
      </c>
      <c r="W212" t="inlineStr">
        <is>
          <t>Financial Statements!E15:I15</t>
        </is>
      </c>
      <c r="X212">
        <f>R[-1]C[0]*R[1]C[0]</f>
        <v/>
      </c>
    </row>
    <row r="213">
      <c r="A213" t="inlineStr">
        <is>
          <t>Financial Statements</t>
        </is>
      </c>
      <c r="B213" t="inlineStr">
        <is>
          <t>I15</t>
        </is>
      </c>
      <c r="C213" t="n">
        <v>15</v>
      </c>
      <c r="D213" t="n">
        <v>9</v>
      </c>
      <c r="E213" t="inlineStr">
        <is>
          <t>Calculation</t>
        </is>
      </c>
      <c r="F213" t="inlineStr">
        <is>
          <t>'=I14*I16</t>
        </is>
      </c>
      <c r="G213" t="n">
        <v>441.3324185928392</v>
      </c>
      <c r="H213" t="inlineStr"/>
      <c r="I213" t="inlineStr">
        <is>
          <t>0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G000056</t>
        </is>
      </c>
      <c r="T213" t="inlineStr">
        <is>
          <t>Horizontal</t>
        </is>
      </c>
      <c r="U213" t="n">
        <v>5</v>
      </c>
      <c r="V213" t="b">
        <v>1</v>
      </c>
      <c r="W213" t="inlineStr">
        <is>
          <t>Financial Statements!E15:I15</t>
        </is>
      </c>
      <c r="X213">
        <f>R[-1]C[0]*R[1]C[0]</f>
        <v/>
      </c>
    </row>
    <row r="214">
      <c r="A214" t="inlineStr">
        <is>
          <t>Financial Statements</t>
        </is>
      </c>
      <c r="B214" t="inlineStr">
        <is>
          <t>K15</t>
        </is>
      </c>
      <c r="C214" t="n">
        <v>15</v>
      </c>
      <c r="D214" t="n">
        <v>11</v>
      </c>
      <c r="E214" t="inlineStr">
        <is>
          <t>Input</t>
        </is>
      </c>
      <c r="F214" t="n">
        <v/>
      </c>
      <c r="G214" t="inlineStr">
        <is>
          <t>PAT</t>
        </is>
      </c>
      <c r="H214" t="inlineStr"/>
      <c r="I214" t="inlineStr">
        <is>
          <t>General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Financial Statements</t>
        </is>
      </c>
      <c r="B215" t="inlineStr">
        <is>
          <t>L15</t>
        </is>
      </c>
      <c r="C215" t="n">
        <v>15</v>
      </c>
      <c r="D215" t="n">
        <v>12</v>
      </c>
      <c r="E215" t="inlineStr">
        <is>
          <t>Input</t>
        </is>
      </c>
      <c r="F215" t="n">
        <v/>
      </c>
      <c r="H215" t="inlineStr"/>
      <c r="I215" t="inlineStr">
        <is>
          <t>_-* #,##0_-;\-* #,##0_-;_-* "-"??_-;_-@_-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0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Financial Statements</t>
        </is>
      </c>
      <c r="B216" t="inlineStr">
        <is>
          <t>M15</t>
        </is>
      </c>
      <c r="C216" t="n">
        <v>15</v>
      </c>
      <c r="D216" t="n">
        <v>13</v>
      </c>
      <c r="E216" t="inlineStr">
        <is>
          <t>Input</t>
        </is>
      </c>
      <c r="F216" t="n">
        <v/>
      </c>
      <c r="H216" t="inlineStr"/>
      <c r="I216" t="inlineStr">
        <is>
          <t>_-* #,##0_-;\-* #,##0_-;_-* "-"??_-;_-@_-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0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Financial Statements</t>
        </is>
      </c>
      <c r="B217" t="inlineStr">
        <is>
          <t>N15</t>
        </is>
      </c>
      <c r="C217" t="n">
        <v>15</v>
      </c>
      <c r="D217" t="n">
        <v>14</v>
      </c>
      <c r="E217" t="inlineStr">
        <is>
          <t>Input</t>
        </is>
      </c>
      <c r="F217" t="n">
        <v/>
      </c>
      <c r="H217" t="inlineStr"/>
      <c r="I217" t="inlineStr">
        <is>
          <t>_-* #,##0_-;\-* #,##0_-;_-* "-"??_-;_-@_-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0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Financial Statements</t>
        </is>
      </c>
      <c r="B218" t="inlineStr">
        <is>
          <t>O15</t>
        </is>
      </c>
      <c r="C218" t="n">
        <v>15</v>
      </c>
      <c r="D218" t="n">
        <v>15</v>
      </c>
      <c r="E218" t="inlineStr">
        <is>
          <t>Calculation</t>
        </is>
      </c>
      <c r="F218" t="inlineStr">
        <is>
          <t>'=E17</t>
        </is>
      </c>
      <c r="G218" t="n">
        <v>938.321059188975</v>
      </c>
      <c r="H218" t="inlineStr"/>
      <c r="I218" t="inlineStr">
        <is>
          <t>_-* #,##0_-;\-* #,##0_-;_-* "-"??_-;_-@_-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1</v>
      </c>
      <c r="S218" t="inlineStr">
        <is>
          <t>G000057</t>
        </is>
      </c>
      <c r="T218" t="inlineStr">
        <is>
          <t>Horizontal</t>
        </is>
      </c>
      <c r="U218" t="n">
        <v>5</v>
      </c>
      <c r="V218" t="b">
        <v>1</v>
      </c>
      <c r="W218" t="inlineStr">
        <is>
          <t>Financial Statements!O15:S15</t>
        </is>
      </c>
      <c r="X218">
        <f>R[2]C[-10]</f>
        <v/>
      </c>
    </row>
    <row r="219">
      <c r="A219" t="inlineStr">
        <is>
          <t>Financial Statements</t>
        </is>
      </c>
      <c r="B219" t="inlineStr">
        <is>
          <t>P15</t>
        </is>
      </c>
      <c r="C219" t="n">
        <v>15</v>
      </c>
      <c r="D219" t="n">
        <v>16</v>
      </c>
      <c r="E219" t="inlineStr">
        <is>
          <t>Calculation</t>
        </is>
      </c>
      <c r="F219" t="inlineStr">
        <is>
          <t>'=F17</t>
        </is>
      </c>
      <c r="G219" t="n">
        <v>1002.724962789008</v>
      </c>
      <c r="H219" t="inlineStr"/>
      <c r="I219" t="inlineStr">
        <is>
          <t>_-* #,##0_-;\-* #,##0_-;_-* "-"??_-;_-@_-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P219" t="n">
        <v/>
      </c>
      <c r="R219" t="b">
        <v>1</v>
      </c>
      <c r="S219" t="inlineStr">
        <is>
          <t>G000057</t>
        </is>
      </c>
      <c r="T219" t="inlineStr">
        <is>
          <t>Horizontal</t>
        </is>
      </c>
      <c r="U219" t="n">
        <v>5</v>
      </c>
      <c r="V219" t="b">
        <v>1</v>
      </c>
      <c r="W219" t="inlineStr">
        <is>
          <t>Financial Statements!O15:S15</t>
        </is>
      </c>
      <c r="X219">
        <f>R[2]C[-10]</f>
        <v/>
      </c>
    </row>
    <row r="220">
      <c r="A220" t="inlineStr">
        <is>
          <t>Financial Statements</t>
        </is>
      </c>
      <c r="B220" t="inlineStr">
        <is>
          <t>Q15</t>
        </is>
      </c>
      <c r="C220" t="n">
        <v>15</v>
      </c>
      <c r="D220" t="n">
        <v>17</v>
      </c>
      <c r="E220" t="inlineStr">
        <is>
          <t>Calculation</t>
        </is>
      </c>
      <c r="F220" t="inlineStr">
        <is>
          <t>'=G17</t>
        </is>
      </c>
      <c r="G220" t="n">
        <v>1062.629671378631</v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1</v>
      </c>
      <c r="S220" t="inlineStr">
        <is>
          <t>G000057</t>
        </is>
      </c>
      <c r="T220" t="inlineStr">
        <is>
          <t>Horizontal</t>
        </is>
      </c>
      <c r="U220" t="n">
        <v>5</v>
      </c>
      <c r="V220" t="b">
        <v>1</v>
      </c>
      <c r="W220" t="inlineStr">
        <is>
          <t>Financial Statements!O15:S15</t>
        </is>
      </c>
      <c r="X220">
        <f>R[2]C[-10]</f>
        <v/>
      </c>
    </row>
    <row r="221">
      <c r="A221" t="inlineStr">
        <is>
          <t>Financial Statements</t>
        </is>
      </c>
      <c r="B221" t="inlineStr">
        <is>
          <t>R15</t>
        </is>
      </c>
      <c r="C221" t="n">
        <v>15</v>
      </c>
      <c r="D221" t="n">
        <v>18</v>
      </c>
      <c r="E221" t="inlineStr">
        <is>
          <t>Calculation</t>
        </is>
      </c>
      <c r="F221" t="inlineStr">
        <is>
          <t>'=H17</t>
        </is>
      </c>
      <c r="G221" t="n">
        <v>1117.883992830172</v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1</v>
      </c>
      <c r="S221" t="inlineStr">
        <is>
          <t>G000057</t>
        </is>
      </c>
      <c r="T221" t="inlineStr">
        <is>
          <t>Horizontal</t>
        </is>
      </c>
      <c r="U221" t="n">
        <v>5</v>
      </c>
      <c r="V221" t="b">
        <v>1</v>
      </c>
      <c r="W221" t="inlineStr">
        <is>
          <t>Financial Statements!O15:S15</t>
        </is>
      </c>
      <c r="X221">
        <f>R[2]C[-10]</f>
        <v/>
      </c>
    </row>
    <row r="222">
      <c r="A222" t="inlineStr">
        <is>
          <t>Financial Statements</t>
        </is>
      </c>
      <c r="B222" t="inlineStr">
        <is>
          <t>S15</t>
        </is>
      </c>
      <c r="C222" t="n">
        <v>15</v>
      </c>
      <c r="D222" t="n">
        <v>19</v>
      </c>
      <c r="E222" t="inlineStr">
        <is>
          <t>Calculation</t>
        </is>
      </c>
      <c r="F222" t="inlineStr">
        <is>
          <t>'=I17</t>
        </is>
      </c>
      <c r="G222" t="n">
        <v>1168.238941506855</v>
      </c>
      <c r="H222" t="inlineStr"/>
      <c r="I222" t="inlineStr">
        <is>
          <t>_-* #,##0_-;\-* #,##0_-;_-* "-"??_-;_-@_-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P222" t="n">
        <v/>
      </c>
      <c r="R222" t="b">
        <v>1</v>
      </c>
      <c r="S222" t="inlineStr">
        <is>
          <t>G000057</t>
        </is>
      </c>
      <c r="T222" t="inlineStr">
        <is>
          <t>Horizontal</t>
        </is>
      </c>
      <c r="U222" t="n">
        <v>5</v>
      </c>
      <c r="V222" t="b">
        <v>1</v>
      </c>
      <c r="W222" t="inlineStr">
        <is>
          <t>Financial Statements!O15:S15</t>
        </is>
      </c>
      <c r="X222">
        <f>R[2]C[-10]</f>
        <v/>
      </c>
    </row>
    <row r="223">
      <c r="A223" t="inlineStr">
        <is>
          <t>Financial Statements</t>
        </is>
      </c>
      <c r="B223" t="inlineStr">
        <is>
          <t>A16</t>
        </is>
      </c>
      <c r="C223" t="n">
        <v>16</v>
      </c>
      <c r="D223" t="n">
        <v>1</v>
      </c>
      <c r="E223" t="inlineStr">
        <is>
          <t>Input</t>
        </is>
      </c>
      <c r="F223" t="n">
        <v/>
      </c>
      <c r="G223" t="inlineStr">
        <is>
          <t>Tax rate</t>
        </is>
      </c>
      <c r="H223" t="inlineStr"/>
      <c r="I223" t="inlineStr">
        <is>
          <t>General</t>
        </is>
      </c>
      <c r="J223" t="b">
        <v>0</v>
      </c>
      <c r="K223" t="b">
        <v>1</v>
      </c>
      <c r="L223" t="n">
        <v>8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Financial Statements</t>
        </is>
      </c>
      <c r="B224" t="inlineStr">
        <is>
          <t>B16</t>
        </is>
      </c>
      <c r="C224" t="n">
        <v>16</v>
      </c>
      <c r="D224" t="n">
        <v>2</v>
      </c>
      <c r="E224" t="inlineStr">
        <is>
          <t>Output</t>
        </is>
      </c>
      <c r="F224" t="inlineStr">
        <is>
          <t>'=B15/B14</t>
        </is>
      </c>
      <c r="G224" t="n">
        <v>0.2064304419163107</v>
      </c>
      <c r="H224" t="inlineStr"/>
      <c r="I224" t="inlineStr">
        <is>
          <t>0%</t>
        </is>
      </c>
      <c r="J224" t="b">
        <v>0</v>
      </c>
      <c r="K224" t="b">
        <v>1</v>
      </c>
      <c r="L224" t="n">
        <v>8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inlineStr">
        <is>
          <t>G000058</t>
        </is>
      </c>
      <c r="T224" t="inlineStr">
        <is>
          <t>Horizontal</t>
        </is>
      </c>
      <c r="U224" t="n">
        <v>3</v>
      </c>
      <c r="V224" t="b">
        <v>1</v>
      </c>
      <c r="W224" t="inlineStr">
        <is>
          <t>Financial Statements!B16:D16</t>
        </is>
      </c>
      <c r="X224">
        <f>R[-1]C[0]/R[-2]C[0]</f>
        <v/>
      </c>
    </row>
    <row r="225">
      <c r="A225" t="inlineStr">
        <is>
          <t>Financial Statements</t>
        </is>
      </c>
      <c r="B225" t="inlineStr">
        <is>
          <t>C16</t>
        </is>
      </c>
      <c r="C225" t="n">
        <v>16</v>
      </c>
      <c r="D225" t="n">
        <v>3</v>
      </c>
      <c r="E225" t="inlineStr">
        <is>
          <t>Calculation</t>
        </is>
      </c>
      <c r="F225" t="inlineStr">
        <is>
          <t>'=C15/C14</t>
        </is>
      </c>
      <c r="G225" t="n">
        <v>0.2501102341373075</v>
      </c>
      <c r="H225" t="inlineStr"/>
      <c r="I225" t="inlineStr">
        <is>
          <t>0%</t>
        </is>
      </c>
      <c r="J225" t="b">
        <v>0</v>
      </c>
      <c r="K225" t="b">
        <v>1</v>
      </c>
      <c r="L225" t="n">
        <v>8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G000058</t>
        </is>
      </c>
      <c r="T225" t="inlineStr">
        <is>
          <t>Horizontal</t>
        </is>
      </c>
      <c r="U225" t="n">
        <v>3</v>
      </c>
      <c r="V225" t="b">
        <v>1</v>
      </c>
      <c r="W225" t="inlineStr">
        <is>
          <t>Financial Statements!B16:D16</t>
        </is>
      </c>
      <c r="X225">
        <f>R[-1]C[0]/R[-2]C[0]</f>
        <v/>
      </c>
    </row>
    <row r="226">
      <c r="A226" t="inlineStr">
        <is>
          <t>Financial Statements</t>
        </is>
      </c>
      <c r="B226" t="inlineStr">
        <is>
          <t>D16</t>
        </is>
      </c>
      <c r="C226" t="n">
        <v>16</v>
      </c>
      <c r="D226" t="n">
        <v>4</v>
      </c>
      <c r="E226" t="inlineStr">
        <is>
          <t>Calculation</t>
        </is>
      </c>
      <c r="F226" t="inlineStr">
        <is>
          <t>'=D15/D14</t>
        </is>
      </c>
      <c r="G226" t="n">
        <v>0.2982747949868486</v>
      </c>
      <c r="H226" t="inlineStr"/>
      <c r="I226" t="inlineStr">
        <is>
          <t>0%</t>
        </is>
      </c>
      <c r="J226" t="b">
        <v>0</v>
      </c>
      <c r="K226" t="b">
        <v>1</v>
      </c>
      <c r="L226" t="n">
        <v>8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G000058</t>
        </is>
      </c>
      <c r="T226" t="inlineStr">
        <is>
          <t>Horizontal</t>
        </is>
      </c>
      <c r="U226" t="n">
        <v>3</v>
      </c>
      <c r="V226" t="b">
        <v>1</v>
      </c>
      <c r="W226" t="inlineStr">
        <is>
          <t>Financial Statements!B16:D16</t>
        </is>
      </c>
      <c r="X226">
        <f>R[-1]C[0]/R[-2]C[0]</f>
        <v/>
      </c>
    </row>
    <row r="227">
      <c r="A227" t="inlineStr">
        <is>
          <t>Financial Statements</t>
        </is>
      </c>
      <c r="B227" t="inlineStr">
        <is>
          <t>E16</t>
        </is>
      </c>
      <c r="C227" t="n">
        <v>16</v>
      </c>
      <c r="D227" t="n">
        <v>5</v>
      </c>
      <c r="E227" t="inlineStr">
        <is>
          <t>Calculation</t>
        </is>
      </c>
      <c r="F227" t="inlineStr">
        <is>
          <t>'=AVERAGE($C$16:$D$16)</t>
        </is>
      </c>
      <c r="G227" t="n">
        <v>0.274192514562078</v>
      </c>
      <c r="H227" t="inlineStr"/>
      <c r="I227" t="inlineStr">
        <is>
          <t>0%</t>
        </is>
      </c>
      <c r="J227" t="b">
        <v>0</v>
      </c>
      <c r="K227" t="b">
        <v>1</v>
      </c>
      <c r="L227" t="n">
        <v>8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G000059</t>
        </is>
      </c>
      <c r="T227" t="inlineStr">
        <is>
          <t>Horizontal</t>
        </is>
      </c>
      <c r="U227" t="n">
        <v>5</v>
      </c>
      <c r="V227" t="b">
        <v>1</v>
      </c>
      <c r="W227" t="inlineStr">
        <is>
          <t>Financial Statements!E16:I16</t>
        </is>
      </c>
      <c r="X227">
        <f>AVERAGE(R16C3:R16C4)</f>
        <v/>
      </c>
    </row>
    <row r="228">
      <c r="A228" t="inlineStr">
        <is>
          <t>Financial Statements</t>
        </is>
      </c>
      <c r="B228" t="inlineStr">
        <is>
          <t>F16</t>
        </is>
      </c>
      <c r="C228" t="n">
        <v>16</v>
      </c>
      <c r="D228" t="n">
        <v>6</v>
      </c>
      <c r="E228" t="inlineStr">
        <is>
          <t>Calculation</t>
        </is>
      </c>
      <c r="F228" t="inlineStr">
        <is>
          <t>'=AVERAGE($C$16:$D$16)</t>
        </is>
      </c>
      <c r="G228" t="n">
        <v>0.274192514562078</v>
      </c>
      <c r="H228" t="inlineStr"/>
      <c r="I228" t="inlineStr">
        <is>
          <t>0%</t>
        </is>
      </c>
      <c r="J228" t="b">
        <v>0</v>
      </c>
      <c r="K228" t="b">
        <v>1</v>
      </c>
      <c r="L228" t="n">
        <v>8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1</v>
      </c>
      <c r="S228" t="inlineStr">
        <is>
          <t>G000059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Financial Statements!E16:I16</t>
        </is>
      </c>
      <c r="X228">
        <f>AVERAGE(R16C3:R16C4)</f>
        <v/>
      </c>
    </row>
    <row r="229">
      <c r="A229" t="inlineStr">
        <is>
          <t>Financial Statements</t>
        </is>
      </c>
      <c r="B229" t="inlineStr">
        <is>
          <t>G16</t>
        </is>
      </c>
      <c r="C229" t="n">
        <v>16</v>
      </c>
      <c r="D229" t="n">
        <v>7</v>
      </c>
      <c r="E229" t="inlineStr">
        <is>
          <t>Calculation</t>
        </is>
      </c>
      <c r="F229" t="inlineStr">
        <is>
          <t>'=AVERAGE($C$16:$D$16)</t>
        </is>
      </c>
      <c r="G229" t="n">
        <v>0.274192514562078</v>
      </c>
      <c r="H229" t="inlineStr"/>
      <c r="I229" t="inlineStr">
        <is>
          <t>0%</t>
        </is>
      </c>
      <c r="J229" t="b">
        <v>0</v>
      </c>
      <c r="K229" t="b">
        <v>1</v>
      </c>
      <c r="L229" t="n">
        <v>8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inlineStr">
        <is>
          <t>G000059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Financial Statements!E16:I16</t>
        </is>
      </c>
      <c r="X229">
        <f>AVERAGE(R16C3:R16C4)</f>
        <v/>
      </c>
    </row>
    <row r="230">
      <c r="A230" t="inlineStr">
        <is>
          <t>Financial Statements</t>
        </is>
      </c>
      <c r="B230" t="inlineStr">
        <is>
          <t>H16</t>
        </is>
      </c>
      <c r="C230" t="n">
        <v>16</v>
      </c>
      <c r="D230" t="n">
        <v>8</v>
      </c>
      <c r="E230" t="inlineStr">
        <is>
          <t>Calculation</t>
        </is>
      </c>
      <c r="F230" t="inlineStr">
        <is>
          <t>'=AVERAGE($C$16:$D$16)</t>
        </is>
      </c>
      <c r="G230" t="n">
        <v>0.274192514562078</v>
      </c>
      <c r="H230" t="inlineStr"/>
      <c r="I230" t="inlineStr">
        <is>
          <t>0%</t>
        </is>
      </c>
      <c r="J230" t="b">
        <v>0</v>
      </c>
      <c r="K230" t="b">
        <v>1</v>
      </c>
      <c r="L230" t="n">
        <v>8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inlineStr">
        <is>
          <t>G000059</t>
        </is>
      </c>
      <c r="T230" t="inlineStr">
        <is>
          <t>Horizontal</t>
        </is>
      </c>
      <c r="U230" t="n">
        <v>5</v>
      </c>
      <c r="V230" t="b">
        <v>1</v>
      </c>
      <c r="W230" t="inlineStr">
        <is>
          <t>Financial Statements!E16:I16</t>
        </is>
      </c>
      <c r="X230">
        <f>AVERAGE(R16C3:R16C4)</f>
        <v/>
      </c>
    </row>
    <row r="231">
      <c r="A231" t="inlineStr">
        <is>
          <t>Financial Statements</t>
        </is>
      </c>
      <c r="B231" t="inlineStr">
        <is>
          <t>I16</t>
        </is>
      </c>
      <c r="C231" t="n">
        <v>16</v>
      </c>
      <c r="D231" t="n">
        <v>9</v>
      </c>
      <c r="E231" t="inlineStr">
        <is>
          <t>Calculation</t>
        </is>
      </c>
      <c r="F231" t="inlineStr">
        <is>
          <t>'=AVERAGE($C$16:$D$16)</t>
        </is>
      </c>
      <c r="G231" t="n">
        <v>0.274192514562078</v>
      </c>
      <c r="H231" t="inlineStr"/>
      <c r="I231" t="inlineStr">
        <is>
          <t>0%</t>
        </is>
      </c>
      <c r="J231" t="b">
        <v>0</v>
      </c>
      <c r="K231" t="b">
        <v>1</v>
      </c>
      <c r="L231" t="n">
        <v>8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inlineStr">
        <is>
          <t>G000059</t>
        </is>
      </c>
      <c r="T231" t="inlineStr">
        <is>
          <t>Horizontal</t>
        </is>
      </c>
      <c r="U231" t="n">
        <v>5</v>
      </c>
      <c r="V231" t="b">
        <v>1</v>
      </c>
      <c r="W231" t="inlineStr">
        <is>
          <t>Financial Statements!E16:I16</t>
        </is>
      </c>
      <c r="X231">
        <f>AVERAGE(R16C3:R16C4)</f>
        <v/>
      </c>
    </row>
    <row r="232">
      <c r="A232" t="inlineStr">
        <is>
          <t>Financial Statements</t>
        </is>
      </c>
      <c r="B232" t="inlineStr">
        <is>
          <t>K16</t>
        </is>
      </c>
      <c r="C232" t="n">
        <v>16</v>
      </c>
      <c r="D232" t="n">
        <v>11</v>
      </c>
      <c r="E232" t="inlineStr">
        <is>
          <t>Input</t>
        </is>
      </c>
      <c r="F232" t="n">
        <v/>
      </c>
      <c r="G232" t="inlineStr">
        <is>
          <t>Depreciation</t>
        </is>
      </c>
      <c r="H232" t="inlineStr"/>
      <c r="I232" t="inlineStr">
        <is>
          <t>General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n">
        <v/>
      </c>
      <c r="T232" t="n">
        <v/>
      </c>
      <c r="U232" t="n">
        <v/>
      </c>
      <c r="V232" t="b">
        <v>0</v>
      </c>
      <c r="W232" t="inlineStr"/>
      <c r="X232" t="n">
        <v/>
      </c>
    </row>
    <row r="233">
      <c r="A233" t="inlineStr">
        <is>
          <t>Financial Statements</t>
        </is>
      </c>
      <c r="B233" t="inlineStr">
        <is>
          <t>M16</t>
        </is>
      </c>
      <c r="C233" t="n">
        <v>16</v>
      </c>
      <c r="D233" t="n">
        <v>13</v>
      </c>
      <c r="E233" t="inlineStr">
        <is>
          <t>Input</t>
        </is>
      </c>
      <c r="F233" t="n">
        <v/>
      </c>
      <c r="H233" t="inlineStr"/>
      <c r="I233" t="inlineStr">
        <is>
          <t>0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0</v>
      </c>
      <c r="S233" t="n">
        <v/>
      </c>
      <c r="T233" t="n">
        <v/>
      </c>
      <c r="U233" t="n">
        <v/>
      </c>
      <c r="V233" t="b">
        <v>0</v>
      </c>
      <c r="W233" t="inlineStr"/>
      <c r="X233" t="n">
        <v/>
      </c>
    </row>
    <row r="234">
      <c r="A234" t="inlineStr">
        <is>
          <t>Financial Statements</t>
        </is>
      </c>
      <c r="B234" t="inlineStr">
        <is>
          <t>N16</t>
        </is>
      </c>
      <c r="C234" t="n">
        <v>16</v>
      </c>
      <c r="D234" t="n">
        <v>14</v>
      </c>
      <c r="E234" t="inlineStr">
        <is>
          <t>Input</t>
        </is>
      </c>
      <c r="F234" t="n">
        <v/>
      </c>
      <c r="H234" t="inlineStr"/>
      <c r="I234" t="inlineStr">
        <is>
          <t>0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0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Financial Statements</t>
        </is>
      </c>
      <c r="B235" t="inlineStr">
        <is>
          <t>O16</t>
        </is>
      </c>
      <c r="C235" t="n">
        <v>16</v>
      </c>
      <c r="D235" t="n">
        <v>15</v>
      </c>
      <c r="E235" t="inlineStr">
        <is>
          <t>Calculation</t>
        </is>
      </c>
      <c r="F235" t="inlineStr">
        <is>
          <t>'=E11</t>
        </is>
      </c>
      <c r="G235" t="n">
        <v>582.6373910172789</v>
      </c>
      <c r="H235" t="inlineStr"/>
      <c r="I235" t="inlineStr">
        <is>
          <t>0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G000060</t>
        </is>
      </c>
      <c r="T235" t="inlineStr">
        <is>
          <t>Horizontal</t>
        </is>
      </c>
      <c r="U235" t="n">
        <v>5</v>
      </c>
      <c r="V235" t="b">
        <v>1</v>
      </c>
      <c r="W235" t="inlineStr">
        <is>
          <t>Financial Statements!O16:S16</t>
        </is>
      </c>
      <c r="X235">
        <f>R[-5]C[-10]</f>
        <v/>
      </c>
    </row>
    <row r="236">
      <c r="A236" t="inlineStr">
        <is>
          <t>Financial Statements</t>
        </is>
      </c>
      <c r="B236" t="inlineStr">
        <is>
          <t>P16</t>
        </is>
      </c>
      <c r="C236" t="n">
        <v>16</v>
      </c>
      <c r="D236" t="n">
        <v>16</v>
      </c>
      <c r="E236" t="inlineStr">
        <is>
          <t>Calculation</t>
        </is>
      </c>
      <c r="F236" t="inlineStr">
        <is>
          <t>'=F11</t>
        </is>
      </c>
      <c r="G236" t="n">
        <v>566.0919764667541</v>
      </c>
      <c r="H236" t="inlineStr"/>
      <c r="I236" t="inlineStr">
        <is>
          <t>0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G000060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Financial Statements!O16:S16</t>
        </is>
      </c>
      <c r="X236">
        <f>R[-5]C[-10]</f>
        <v/>
      </c>
    </row>
    <row r="237">
      <c r="A237" t="inlineStr">
        <is>
          <t>Financial Statements</t>
        </is>
      </c>
      <c r="B237" t="inlineStr">
        <is>
          <t>Q16</t>
        </is>
      </c>
      <c r="C237" t="n">
        <v>16</v>
      </c>
      <c r="D237" t="n">
        <v>17</v>
      </c>
      <c r="E237" t="inlineStr">
        <is>
          <t>Calculation</t>
        </is>
      </c>
      <c r="F237" t="inlineStr">
        <is>
          <t>'=G11</t>
        </is>
      </c>
      <c r="G237" t="n">
        <v>554.0982951837184</v>
      </c>
      <c r="H237" t="inlineStr"/>
      <c r="I237" t="inlineStr">
        <is>
          <t>0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inlineStr">
        <is>
          <t>G000060</t>
        </is>
      </c>
      <c r="T237" t="inlineStr">
        <is>
          <t>Horizontal</t>
        </is>
      </c>
      <c r="U237" t="n">
        <v>5</v>
      </c>
      <c r="V237" t="b">
        <v>1</v>
      </c>
      <c r="W237" t="inlineStr">
        <is>
          <t>Financial Statements!O16:S16</t>
        </is>
      </c>
      <c r="X237">
        <f>R[-5]C[-10]</f>
        <v/>
      </c>
    </row>
    <row r="238">
      <c r="A238" t="inlineStr">
        <is>
          <t>Financial Statements</t>
        </is>
      </c>
      <c r="B238" t="inlineStr">
        <is>
          <t>R16</t>
        </is>
      </c>
      <c r="C238" t="n">
        <v>16</v>
      </c>
      <c r="D238" t="n">
        <v>18</v>
      </c>
      <c r="E238" t="inlineStr">
        <is>
          <t>Calculation</t>
        </is>
      </c>
      <c r="F238" t="inlineStr">
        <is>
          <t>'=H11</t>
        </is>
      </c>
      <c r="G238" t="n">
        <v>546.3229136890859</v>
      </c>
      <c r="H238" t="inlineStr"/>
      <c r="I238" t="inlineStr">
        <is>
          <t>0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1</v>
      </c>
      <c r="S238" t="inlineStr">
        <is>
          <t>G000060</t>
        </is>
      </c>
      <c r="T238" t="inlineStr">
        <is>
          <t>Horizontal</t>
        </is>
      </c>
      <c r="U238" t="n">
        <v>5</v>
      </c>
      <c r="V238" t="b">
        <v>1</v>
      </c>
      <c r="W238" t="inlineStr">
        <is>
          <t>Financial Statements!O16:S16</t>
        </is>
      </c>
      <c r="X238">
        <f>R[-5]C[-10]</f>
        <v/>
      </c>
    </row>
    <row r="239">
      <c r="A239" t="inlineStr">
        <is>
          <t>Financial Statements</t>
        </is>
      </c>
      <c r="B239" t="inlineStr">
        <is>
          <t>S16</t>
        </is>
      </c>
      <c r="C239" t="n">
        <v>16</v>
      </c>
      <c r="D239" t="n">
        <v>19</v>
      </c>
      <c r="E239" t="inlineStr">
        <is>
          <t>Calculation</t>
        </is>
      </c>
      <c r="F239" t="inlineStr">
        <is>
          <t>'=I11</t>
        </is>
      </c>
      <c r="G239" t="n">
        <v>542.5072518919166</v>
      </c>
      <c r="H239" t="inlineStr"/>
      <c r="I239" t="inlineStr">
        <is>
          <t>0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1</v>
      </c>
      <c r="S239" t="inlineStr">
        <is>
          <t>G000060</t>
        </is>
      </c>
      <c r="T239" t="inlineStr">
        <is>
          <t>Horizontal</t>
        </is>
      </c>
      <c r="U239" t="n">
        <v>5</v>
      </c>
      <c r="V239" t="b">
        <v>1</v>
      </c>
      <c r="W239" t="inlineStr">
        <is>
          <t>Financial Statements!O16:S16</t>
        </is>
      </c>
      <c r="X239">
        <f>R[-5]C[-10]</f>
        <v/>
      </c>
    </row>
    <row r="240">
      <c r="A240" t="inlineStr">
        <is>
          <t>Financial Statements</t>
        </is>
      </c>
      <c r="B240" t="inlineStr">
        <is>
          <t>A17</t>
        </is>
      </c>
      <c r="C240" t="n">
        <v>17</v>
      </c>
      <c r="D240" t="n">
        <v>1</v>
      </c>
      <c r="E240" t="inlineStr">
        <is>
          <t>Input</t>
        </is>
      </c>
      <c r="F240" t="n">
        <v/>
      </c>
      <c r="G240" t="inlineStr">
        <is>
          <t>PAT</t>
        </is>
      </c>
      <c r="H240" t="inlineStr"/>
      <c r="I240" t="inlineStr">
        <is>
          <t>General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1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Financial Statements</t>
        </is>
      </c>
      <c r="B241" t="inlineStr">
        <is>
          <t>B17</t>
        </is>
      </c>
      <c r="C241" t="n">
        <v>17</v>
      </c>
      <c r="D241" t="n">
        <v>2</v>
      </c>
      <c r="E241" t="inlineStr">
        <is>
          <t>Calculation</t>
        </is>
      </c>
      <c r="F241" t="inlineStr">
        <is>
          <t>'=B14-B15</t>
        </is>
      </c>
      <c r="G241" t="n">
        <v>730.3300000000007</v>
      </c>
      <c r="H241" t="inlineStr"/>
      <c r="I241" t="inlineStr">
        <is>
          <t>_-* #,##0_-;\-* #,##0_-;_-* "-"??_-;_-@_-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inlineStr">
        <is>
          <t>G000061</t>
        </is>
      </c>
      <c r="T241" t="inlineStr">
        <is>
          <t>Horizontal</t>
        </is>
      </c>
      <c r="U241" t="n">
        <v>8</v>
      </c>
      <c r="V241" t="b">
        <v>1</v>
      </c>
      <c r="W241" t="inlineStr">
        <is>
          <t>Financial Statements!B17:I17</t>
        </is>
      </c>
      <c r="X241">
        <f>R[-3]C[0]-R[-2]C[0]</f>
        <v/>
      </c>
    </row>
    <row r="242">
      <c r="A242" t="inlineStr">
        <is>
          <t>Financial Statements</t>
        </is>
      </c>
      <c r="B242" t="inlineStr">
        <is>
          <t>C17</t>
        </is>
      </c>
      <c r="C242" t="n">
        <v>17</v>
      </c>
      <c r="D242" t="n">
        <v>3</v>
      </c>
      <c r="E242" t="inlineStr">
        <is>
          <t>Calculation</t>
        </is>
      </c>
      <c r="F242" t="inlineStr">
        <is>
          <t>'=C14-C15</t>
        </is>
      </c>
      <c r="G242" t="n">
        <v>680.2700000000003</v>
      </c>
      <c r="H242" t="inlineStr"/>
      <c r="I242" t="inlineStr">
        <is>
          <t>_-* #,##0_-;\-* #,##0_-;_-* "-"??_-;_-@_-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inlineStr">
        <is>
          <t>G000061</t>
        </is>
      </c>
      <c r="T242" t="inlineStr">
        <is>
          <t>Horizontal</t>
        </is>
      </c>
      <c r="U242" t="n">
        <v>8</v>
      </c>
      <c r="V242" t="b">
        <v>1</v>
      </c>
      <c r="W242" t="inlineStr">
        <is>
          <t>Financial Statements!B17:I17</t>
        </is>
      </c>
      <c r="X242">
        <f>R[-3]C[0]-R[-2]C[0]</f>
        <v/>
      </c>
    </row>
    <row r="243">
      <c r="A243" t="inlineStr">
        <is>
          <t>Financial Statements</t>
        </is>
      </c>
      <c r="B243" t="inlineStr">
        <is>
          <t>D17</t>
        </is>
      </c>
      <c r="C243" t="n">
        <v>17</v>
      </c>
      <c r="D243" t="n">
        <v>4</v>
      </c>
      <c r="E243" t="inlineStr">
        <is>
          <t>Calculation</t>
        </is>
      </c>
      <c r="F243" t="inlineStr">
        <is>
          <t>'=D14-D15</t>
        </is>
      </c>
      <c r="G243" t="n">
        <v>907.0499999999984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inlineStr">
        <is>
          <t>G000061</t>
        </is>
      </c>
      <c r="T243" t="inlineStr">
        <is>
          <t>Horizontal</t>
        </is>
      </c>
      <c r="U243" t="n">
        <v>8</v>
      </c>
      <c r="V243" t="b">
        <v>1</v>
      </c>
      <c r="W243" t="inlineStr">
        <is>
          <t>Financial Statements!B17:I17</t>
        </is>
      </c>
      <c r="X243">
        <f>R[-3]C[0]-R[-2]C[0]</f>
        <v/>
      </c>
    </row>
    <row r="244">
      <c r="A244" t="inlineStr">
        <is>
          <t>Financial Statements</t>
        </is>
      </c>
      <c r="B244" t="inlineStr">
        <is>
          <t>E17</t>
        </is>
      </c>
      <c r="C244" t="n">
        <v>17</v>
      </c>
      <c r="D244" t="n">
        <v>5</v>
      </c>
      <c r="E244" t="inlineStr">
        <is>
          <t>Calculation</t>
        </is>
      </c>
      <c r="F244" t="inlineStr">
        <is>
          <t>'=E14-E15</t>
        </is>
      </c>
      <c r="G244" t="n">
        <v>938.321059188975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inlineStr">
        <is>
          <t>G000061</t>
        </is>
      </c>
      <c r="T244" t="inlineStr">
        <is>
          <t>Horizontal</t>
        </is>
      </c>
      <c r="U244" t="n">
        <v>8</v>
      </c>
      <c r="V244" t="b">
        <v>1</v>
      </c>
      <c r="W244" t="inlineStr">
        <is>
          <t>Financial Statements!B17:I17</t>
        </is>
      </c>
      <c r="X244">
        <f>R[-3]C[0]-R[-2]C[0]</f>
        <v/>
      </c>
    </row>
    <row r="245">
      <c r="A245" t="inlineStr">
        <is>
          <t>Financial Statements</t>
        </is>
      </c>
      <c r="B245" t="inlineStr">
        <is>
          <t>F17</t>
        </is>
      </c>
      <c r="C245" t="n">
        <v>17</v>
      </c>
      <c r="D245" t="n">
        <v>6</v>
      </c>
      <c r="E245" t="inlineStr">
        <is>
          <t>Calculation</t>
        </is>
      </c>
      <c r="F245" t="inlineStr">
        <is>
          <t>'=F14-F15</t>
        </is>
      </c>
      <c r="G245" t="n">
        <v>1002.724962789008</v>
      </c>
      <c r="H245" t="inlineStr"/>
      <c r="I245" t="inlineStr">
        <is>
          <t>_-* #,##0_-;\-* #,##0_-;_-* "-"??_-;_-@_-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inlineStr">
        <is>
          <t>G000061</t>
        </is>
      </c>
      <c r="T245" t="inlineStr">
        <is>
          <t>Horizontal</t>
        </is>
      </c>
      <c r="U245" t="n">
        <v>8</v>
      </c>
      <c r="V245" t="b">
        <v>1</v>
      </c>
      <c r="W245" t="inlineStr">
        <is>
          <t>Financial Statements!B17:I17</t>
        </is>
      </c>
      <c r="X245">
        <f>R[-3]C[0]-R[-2]C[0]</f>
        <v/>
      </c>
    </row>
    <row r="246">
      <c r="A246" t="inlineStr">
        <is>
          <t>Financial Statements</t>
        </is>
      </c>
      <c r="B246" t="inlineStr">
        <is>
          <t>G17</t>
        </is>
      </c>
      <c r="C246" t="n">
        <v>17</v>
      </c>
      <c r="D246" t="n">
        <v>7</v>
      </c>
      <c r="E246" t="inlineStr">
        <is>
          <t>Calculation</t>
        </is>
      </c>
      <c r="F246" t="inlineStr">
        <is>
          <t>'=G14-G15</t>
        </is>
      </c>
      <c r="G246" t="n">
        <v>1062.629671378631</v>
      </c>
      <c r="H246" t="inlineStr"/>
      <c r="I246" t="inlineStr">
        <is>
          <t>_-* #,##0_-;\-* #,##0_-;_-* "-"??_-;_-@_-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G000061</t>
        </is>
      </c>
      <c r="T246" t="inlineStr">
        <is>
          <t>Horizontal</t>
        </is>
      </c>
      <c r="U246" t="n">
        <v>8</v>
      </c>
      <c r="V246" t="b">
        <v>1</v>
      </c>
      <c r="W246" t="inlineStr">
        <is>
          <t>Financial Statements!B17:I17</t>
        </is>
      </c>
      <c r="X246">
        <f>R[-3]C[0]-R[-2]C[0]</f>
        <v/>
      </c>
    </row>
    <row r="247">
      <c r="A247" t="inlineStr">
        <is>
          <t>Financial Statements</t>
        </is>
      </c>
      <c r="B247" t="inlineStr">
        <is>
          <t>H17</t>
        </is>
      </c>
      <c r="C247" t="n">
        <v>17</v>
      </c>
      <c r="D247" t="n">
        <v>8</v>
      </c>
      <c r="E247" t="inlineStr">
        <is>
          <t>Calculation</t>
        </is>
      </c>
      <c r="F247" t="inlineStr">
        <is>
          <t>'=H14-H15</t>
        </is>
      </c>
      <c r="G247" t="n">
        <v>1117.883992830172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G000061</t>
        </is>
      </c>
      <c r="T247" t="inlineStr">
        <is>
          <t>Horizontal</t>
        </is>
      </c>
      <c r="U247" t="n">
        <v>8</v>
      </c>
      <c r="V247" t="b">
        <v>1</v>
      </c>
      <c r="W247" t="inlineStr">
        <is>
          <t>Financial Statements!B17:I17</t>
        </is>
      </c>
      <c r="X247">
        <f>R[-3]C[0]-R[-2]C[0]</f>
        <v/>
      </c>
    </row>
    <row r="248">
      <c r="A248" t="inlineStr">
        <is>
          <t>Financial Statements</t>
        </is>
      </c>
      <c r="B248" t="inlineStr">
        <is>
          <t>I17</t>
        </is>
      </c>
      <c r="C248" t="n">
        <v>17</v>
      </c>
      <c r="D248" t="n">
        <v>9</v>
      </c>
      <c r="E248" t="inlineStr">
        <is>
          <t>Calculation</t>
        </is>
      </c>
      <c r="F248" t="inlineStr">
        <is>
          <t>'=I14-I15</t>
        </is>
      </c>
      <c r="G248" t="n">
        <v>1168.238941506855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G000061</t>
        </is>
      </c>
      <c r="T248" t="inlineStr">
        <is>
          <t>Horizontal</t>
        </is>
      </c>
      <c r="U248" t="n">
        <v>8</v>
      </c>
      <c r="V248" t="b">
        <v>1</v>
      </c>
      <c r="W248" t="inlineStr">
        <is>
          <t>Financial Statements!B17:I17</t>
        </is>
      </c>
      <c r="X248">
        <f>R[-3]C[0]-R[-2]C[0]</f>
        <v/>
      </c>
    </row>
    <row r="249">
      <c r="A249" t="inlineStr">
        <is>
          <t>Financial Statements</t>
        </is>
      </c>
      <c r="B249" t="inlineStr">
        <is>
          <t>K17</t>
        </is>
      </c>
      <c r="C249" t="n">
        <v>17</v>
      </c>
      <c r="D249" t="n">
        <v>11</v>
      </c>
      <c r="E249" t="inlineStr">
        <is>
          <t>Input</t>
        </is>
      </c>
      <c r="F249" t="n">
        <v/>
      </c>
      <c r="G249" t="inlineStr">
        <is>
          <t xml:space="preserve">Interest </t>
        </is>
      </c>
      <c r="H249" t="inlineStr"/>
      <c r="I249" t="inlineStr">
        <is>
          <t>General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n">
        <v/>
      </c>
      <c r="T249" t="n">
        <v/>
      </c>
      <c r="U249" t="n">
        <v/>
      </c>
      <c r="V249" t="b">
        <v>0</v>
      </c>
      <c r="W249" t="inlineStr"/>
      <c r="X249" t="n">
        <v/>
      </c>
    </row>
    <row r="250">
      <c r="A250" t="inlineStr">
        <is>
          <t>Financial Statements</t>
        </is>
      </c>
      <c r="B250" t="inlineStr">
        <is>
          <t>L17</t>
        </is>
      </c>
      <c r="C250" t="n">
        <v>17</v>
      </c>
      <c r="D250" t="n">
        <v>12</v>
      </c>
      <c r="E250" t="inlineStr">
        <is>
          <t>Input</t>
        </is>
      </c>
      <c r="F250" t="n">
        <v/>
      </c>
      <c r="H250" t="inlineStr"/>
      <c r="I250" t="inlineStr">
        <is>
          <t>0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0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Financial Statements</t>
        </is>
      </c>
      <c r="B251" t="inlineStr">
        <is>
          <t>M17</t>
        </is>
      </c>
      <c r="C251" t="n">
        <v>17</v>
      </c>
      <c r="D251" t="n">
        <v>13</v>
      </c>
      <c r="E251" t="inlineStr">
        <is>
          <t>Input</t>
        </is>
      </c>
      <c r="F251" t="n">
        <v/>
      </c>
      <c r="H251" t="inlineStr"/>
      <c r="I251" t="inlineStr">
        <is>
          <t>0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0</v>
      </c>
      <c r="S251" t="n">
        <v/>
      </c>
      <c r="T251" t="n">
        <v/>
      </c>
      <c r="U251" t="n">
        <v/>
      </c>
      <c r="V251" t="b">
        <v>0</v>
      </c>
      <c r="W251" t="inlineStr"/>
      <c r="X251" t="n">
        <v/>
      </c>
    </row>
    <row r="252">
      <c r="A252" t="inlineStr">
        <is>
          <t>Financial Statements</t>
        </is>
      </c>
      <c r="B252" t="inlineStr">
        <is>
          <t>N17</t>
        </is>
      </c>
      <c r="C252" t="n">
        <v>17</v>
      </c>
      <c r="D252" t="n">
        <v>14</v>
      </c>
      <c r="E252" t="inlineStr">
        <is>
          <t>Input</t>
        </is>
      </c>
      <c r="F252" t="n">
        <v/>
      </c>
      <c r="H252" t="inlineStr"/>
      <c r="I252" t="inlineStr">
        <is>
          <t>0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0</v>
      </c>
      <c r="S252" t="n">
        <v/>
      </c>
      <c r="T252" t="n">
        <v/>
      </c>
      <c r="U252" t="n">
        <v/>
      </c>
      <c r="V252" t="b">
        <v>0</v>
      </c>
      <c r="W252" t="inlineStr"/>
      <c r="X252" t="n">
        <v/>
      </c>
    </row>
    <row r="253">
      <c r="A253" t="inlineStr">
        <is>
          <t>Financial Statements</t>
        </is>
      </c>
      <c r="B253" t="inlineStr">
        <is>
          <t>O17</t>
        </is>
      </c>
      <c r="C253" t="n">
        <v>17</v>
      </c>
      <c r="D253" t="n">
        <v>15</v>
      </c>
      <c r="E253" t="inlineStr">
        <is>
          <t>Calculation</t>
        </is>
      </c>
      <c r="F253" t="inlineStr">
        <is>
          <t>'=E13</t>
        </is>
      </c>
      <c r="G253" t="n">
        <v>98.53</v>
      </c>
      <c r="H253" t="inlineStr"/>
      <c r="I253" t="inlineStr">
        <is>
          <t>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G000062</t>
        </is>
      </c>
      <c r="T253" t="inlineStr">
        <is>
          <t>Horizontal</t>
        </is>
      </c>
      <c r="U253" t="n">
        <v>5</v>
      </c>
      <c r="V253" t="b">
        <v>1</v>
      </c>
      <c r="W253" t="inlineStr">
        <is>
          <t>Financial Statements!O17:S17</t>
        </is>
      </c>
      <c r="X253">
        <f>R[-4]C[-10]</f>
        <v/>
      </c>
    </row>
    <row r="254">
      <c r="A254" t="inlineStr">
        <is>
          <t>Financial Statements</t>
        </is>
      </c>
      <c r="B254" t="inlineStr">
        <is>
          <t>P17</t>
        </is>
      </c>
      <c r="C254" t="n">
        <v>17</v>
      </c>
      <c r="D254" t="n">
        <v>16</v>
      </c>
      <c r="E254" t="inlineStr">
        <is>
          <t>Calculation</t>
        </is>
      </c>
      <c r="F254" t="inlineStr">
        <is>
          <t>'=F13</t>
        </is>
      </c>
      <c r="G254" t="n">
        <v>98.53</v>
      </c>
      <c r="H254" t="inlineStr"/>
      <c r="I254" t="inlineStr">
        <is>
          <t>0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G000062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Financial Statements!O17:S17</t>
        </is>
      </c>
      <c r="X254">
        <f>R[-4]C[-10]</f>
        <v/>
      </c>
    </row>
    <row r="255">
      <c r="A255" t="inlineStr">
        <is>
          <t>Financial Statements</t>
        </is>
      </c>
      <c r="B255" t="inlineStr">
        <is>
          <t>Q17</t>
        </is>
      </c>
      <c r="C255" t="n">
        <v>17</v>
      </c>
      <c r="D255" t="n">
        <v>17</v>
      </c>
      <c r="E255" t="inlineStr">
        <is>
          <t>Calculation</t>
        </is>
      </c>
      <c r="F255" t="inlineStr">
        <is>
          <t>'=G13</t>
        </is>
      </c>
      <c r="G255" t="n">
        <v>98.53</v>
      </c>
      <c r="H255" t="inlineStr"/>
      <c r="I255" t="inlineStr">
        <is>
          <t>0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G000062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Financial Statements!O17:S17</t>
        </is>
      </c>
      <c r="X255">
        <f>R[-4]C[-10]</f>
        <v/>
      </c>
    </row>
    <row r="256">
      <c r="A256" t="inlineStr">
        <is>
          <t>Financial Statements</t>
        </is>
      </c>
      <c r="B256" t="inlineStr">
        <is>
          <t>R17</t>
        </is>
      </c>
      <c r="C256" t="n">
        <v>17</v>
      </c>
      <c r="D256" t="n">
        <v>18</v>
      </c>
      <c r="E256" t="inlineStr">
        <is>
          <t>Calculation</t>
        </is>
      </c>
      <c r="F256" t="inlineStr">
        <is>
          <t>'=H13</t>
        </is>
      </c>
      <c r="G256" t="n">
        <v>98.53</v>
      </c>
      <c r="H256" t="inlineStr"/>
      <c r="I256" t="inlineStr">
        <is>
          <t>0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G000062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Financial Statements!O17:S17</t>
        </is>
      </c>
      <c r="X256">
        <f>R[-4]C[-10]</f>
        <v/>
      </c>
    </row>
    <row r="257">
      <c r="A257" t="inlineStr">
        <is>
          <t>Financial Statements</t>
        </is>
      </c>
      <c r="B257" t="inlineStr">
        <is>
          <t>S17</t>
        </is>
      </c>
      <c r="C257" t="n">
        <v>17</v>
      </c>
      <c r="D257" t="n">
        <v>19</v>
      </c>
      <c r="E257" t="inlineStr">
        <is>
          <t>Calculation</t>
        </is>
      </c>
      <c r="F257" t="inlineStr">
        <is>
          <t>'=I13</t>
        </is>
      </c>
      <c r="G257" t="n">
        <v>98.53</v>
      </c>
      <c r="H257" t="inlineStr"/>
      <c r="I257" t="inlineStr">
        <is>
          <t>0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G000062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Financial Statements!O17:S17</t>
        </is>
      </c>
      <c r="X257">
        <f>R[-4]C[-10]</f>
        <v/>
      </c>
    </row>
    <row r="258">
      <c r="A258" t="inlineStr">
        <is>
          <t>Financial Statements</t>
        </is>
      </c>
      <c r="B258" t="inlineStr">
        <is>
          <t>B18</t>
        </is>
      </c>
      <c r="C258" t="n">
        <v>18</v>
      </c>
      <c r="D258" t="n">
        <v>2</v>
      </c>
      <c r="E258" t="inlineStr">
        <is>
          <t>Input</t>
        </is>
      </c>
      <c r="F258" t="n">
        <v/>
      </c>
      <c r="H258" t="inlineStr"/>
      <c r="I258" t="inlineStr">
        <is>
          <t>0%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0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Financial Statements</t>
        </is>
      </c>
      <c r="B259" t="inlineStr">
        <is>
          <t>C18</t>
        </is>
      </c>
      <c r="C259" t="n">
        <v>18</v>
      </c>
      <c r="D259" t="n">
        <v>3</v>
      </c>
      <c r="E259" t="inlineStr">
        <is>
          <t>Input</t>
        </is>
      </c>
      <c r="F259" t="n">
        <v/>
      </c>
      <c r="H259" t="inlineStr"/>
      <c r="I259" t="inlineStr">
        <is>
          <t>0%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0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Financial Statements</t>
        </is>
      </c>
      <c r="B260" t="inlineStr">
        <is>
          <t>D18</t>
        </is>
      </c>
      <c r="C260" t="n">
        <v>18</v>
      </c>
      <c r="D260" t="n">
        <v>4</v>
      </c>
      <c r="E260" t="inlineStr">
        <is>
          <t>Input</t>
        </is>
      </c>
      <c r="F260" t="n">
        <v/>
      </c>
      <c r="H260" t="inlineStr"/>
      <c r="I260" t="inlineStr">
        <is>
          <t>0%</t>
        </is>
      </c>
      <c r="J260" t="b">
        <v>0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0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Financial Statements</t>
        </is>
      </c>
      <c r="B261" t="inlineStr">
        <is>
          <t>E18</t>
        </is>
      </c>
      <c r="C261" t="n">
        <v>18</v>
      </c>
      <c r="D261" t="n">
        <v>5</v>
      </c>
      <c r="E261" t="inlineStr">
        <is>
          <t>Input</t>
        </is>
      </c>
      <c r="F261" t="n">
        <v/>
      </c>
      <c r="H261" t="inlineStr"/>
      <c r="I261" t="inlineStr">
        <is>
          <t>0%</t>
        </is>
      </c>
      <c r="J261" t="b">
        <v>0</v>
      </c>
      <c r="K261" t="b">
        <v>0</v>
      </c>
      <c r="L261" t="n">
        <v>11</v>
      </c>
      <c r="M261" t="inlineStr">
        <is>
          <t>FF000000</t>
        </is>
      </c>
      <c r="N261" t="inlineStr">
        <is>
          <t>00000000</t>
        </is>
      </c>
      <c r="O261" t="n">
        <v/>
      </c>
      <c r="P261" t="n">
        <v/>
      </c>
      <c r="R261" t="b">
        <v>0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Financial Statements</t>
        </is>
      </c>
      <c r="B262" t="inlineStr">
        <is>
          <t>F18</t>
        </is>
      </c>
      <c r="C262" t="n">
        <v>18</v>
      </c>
      <c r="D262" t="n">
        <v>6</v>
      </c>
      <c r="E262" t="inlineStr">
        <is>
          <t>Input</t>
        </is>
      </c>
      <c r="F262" t="n">
        <v/>
      </c>
      <c r="H262" t="inlineStr"/>
      <c r="I262" t="inlineStr">
        <is>
          <t>0%</t>
        </is>
      </c>
      <c r="J262" t="b">
        <v>0</v>
      </c>
      <c r="K262" t="b">
        <v>0</v>
      </c>
      <c r="L262" t="n">
        <v>11</v>
      </c>
      <c r="M262" t="inlineStr">
        <is>
          <t>FF000000</t>
        </is>
      </c>
      <c r="N262" t="inlineStr">
        <is>
          <t>00000000</t>
        </is>
      </c>
      <c r="O262" t="n">
        <v/>
      </c>
      <c r="P262" t="n">
        <v/>
      </c>
      <c r="R262" t="b">
        <v>0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Financial Statements</t>
        </is>
      </c>
      <c r="B263" t="inlineStr">
        <is>
          <t>G18</t>
        </is>
      </c>
      <c r="C263" t="n">
        <v>18</v>
      </c>
      <c r="D263" t="n">
        <v>7</v>
      </c>
      <c r="E263" t="inlineStr">
        <is>
          <t>Input</t>
        </is>
      </c>
      <c r="F263" t="n">
        <v/>
      </c>
      <c r="H263" t="inlineStr"/>
      <c r="I263" t="inlineStr">
        <is>
          <t>0%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0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Financial Statements</t>
        </is>
      </c>
      <c r="B264" t="inlineStr">
        <is>
          <t>H18</t>
        </is>
      </c>
      <c r="C264" t="n">
        <v>18</v>
      </c>
      <c r="D264" t="n">
        <v>8</v>
      </c>
      <c r="E264" t="inlineStr">
        <is>
          <t>Input</t>
        </is>
      </c>
      <c r="F264" t="n">
        <v/>
      </c>
      <c r="H264" t="inlineStr"/>
      <c r="I264" t="inlineStr">
        <is>
          <t>0%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n">
        <v/>
      </c>
      <c r="P264" t="n">
        <v/>
      </c>
      <c r="R264" t="b">
        <v>0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Financial Statements</t>
        </is>
      </c>
      <c r="B265" t="inlineStr">
        <is>
          <t>I18</t>
        </is>
      </c>
      <c r="C265" t="n">
        <v>18</v>
      </c>
      <c r="D265" t="n">
        <v>9</v>
      </c>
      <c r="E265" t="inlineStr">
        <is>
          <t>Input</t>
        </is>
      </c>
      <c r="F265" t="n">
        <v/>
      </c>
      <c r="H265" t="inlineStr"/>
      <c r="I265" t="inlineStr">
        <is>
          <t>0%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0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Financial Statements</t>
        </is>
      </c>
      <c r="B266" t="inlineStr">
        <is>
          <t>K18</t>
        </is>
      </c>
      <c r="C266" t="n">
        <v>18</v>
      </c>
      <c r="D266" t="n">
        <v>11</v>
      </c>
      <c r="E266" t="inlineStr">
        <is>
          <t>Input</t>
        </is>
      </c>
      <c r="F266" t="n">
        <v/>
      </c>
      <c r="G266" t="inlineStr">
        <is>
          <t>Change in inventory</t>
        </is>
      </c>
      <c r="H266" t="inlineStr"/>
      <c r="I266" t="inlineStr">
        <is>
          <t>General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Financial Statements</t>
        </is>
      </c>
      <c r="B267" t="inlineStr">
        <is>
          <t>O18</t>
        </is>
      </c>
      <c r="C267" t="n">
        <v>18</v>
      </c>
      <c r="D267" t="n">
        <v>15</v>
      </c>
      <c r="E267" t="inlineStr">
        <is>
          <t>Calculation</t>
        </is>
      </c>
      <c r="F267" t="inlineStr">
        <is>
          <t>'='Balance Sheet'!D18-'Balance Sheet'!E18</t>
        </is>
      </c>
      <c r="G267" t="n">
        <v>-209.9123032094292</v>
      </c>
      <c r="H267" t="inlineStr"/>
      <c r="I267" t="inlineStr">
        <is>
          <t>0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inlineStr">
        <is>
          <t>G000063</t>
        </is>
      </c>
      <c r="T267" t="inlineStr">
        <is>
          <t>Horizontal</t>
        </is>
      </c>
      <c r="U267" t="n">
        <v>5</v>
      </c>
      <c r="V267" t="b">
        <v>1</v>
      </c>
      <c r="W267" t="inlineStr">
        <is>
          <t>Financial Statements!O18:S18</t>
        </is>
      </c>
      <c r="X267">
        <f>'Balance Sheet'!R[0]C[-11]-'Balance Sheet'!R[0]C[-10]</f>
        <v/>
      </c>
    </row>
    <row r="268">
      <c r="A268" t="inlineStr">
        <is>
          <t>Financial Statements</t>
        </is>
      </c>
      <c r="B268" t="inlineStr">
        <is>
          <t>P18</t>
        </is>
      </c>
      <c r="C268" t="n">
        <v>18</v>
      </c>
      <c r="D268" t="n">
        <v>16</v>
      </c>
      <c r="E268" t="inlineStr">
        <is>
          <t>Calculation</t>
        </is>
      </c>
      <c r="F268" t="inlineStr">
        <is>
          <t>'='Balance Sheet'!E18-'Balance Sheet'!F18</t>
        </is>
      </c>
      <c r="G268" t="n">
        <v>-135.3460361485713</v>
      </c>
      <c r="H268" t="inlineStr"/>
      <c r="I268" t="inlineStr">
        <is>
          <t>0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inlineStr">
        <is>
          <t>G000063</t>
        </is>
      </c>
      <c r="T268" t="inlineStr">
        <is>
          <t>Horizontal</t>
        </is>
      </c>
      <c r="U268" t="n">
        <v>5</v>
      </c>
      <c r="V268" t="b">
        <v>1</v>
      </c>
      <c r="W268" t="inlineStr">
        <is>
          <t>Financial Statements!O18:S18</t>
        </is>
      </c>
      <c r="X268">
        <f>'Balance Sheet'!R[0]C[-11]-'Balance Sheet'!R[0]C[-10]</f>
        <v/>
      </c>
    </row>
    <row r="269">
      <c r="A269" t="inlineStr">
        <is>
          <t>Financial Statements</t>
        </is>
      </c>
      <c r="B269" t="inlineStr">
        <is>
          <t>Q18</t>
        </is>
      </c>
      <c r="C269" t="n">
        <v>18</v>
      </c>
      <c r="D269" t="n">
        <v>17</v>
      </c>
      <c r="E269" t="inlineStr">
        <is>
          <t>Calculation</t>
        </is>
      </c>
      <c r="F269" t="inlineStr">
        <is>
          <t>'='Balance Sheet'!F18-'Balance Sheet'!G18</t>
        </is>
      </c>
      <c r="G269" t="n">
        <v>-145.4890405398157</v>
      </c>
      <c r="H269" t="inlineStr"/>
      <c r="I269" t="inlineStr">
        <is>
          <t>0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inlineStr">
        <is>
          <t>G000063</t>
        </is>
      </c>
      <c r="T269" t="inlineStr">
        <is>
          <t>Horizontal</t>
        </is>
      </c>
      <c r="U269" t="n">
        <v>5</v>
      </c>
      <c r="V269" t="b">
        <v>1</v>
      </c>
      <c r="W269" t="inlineStr">
        <is>
          <t>Financial Statements!O18:S18</t>
        </is>
      </c>
      <c r="X269">
        <f>'Balance Sheet'!R[0]C[-11]-'Balance Sheet'!R[0]C[-10]</f>
        <v/>
      </c>
    </row>
    <row r="270">
      <c r="A270" t="inlineStr">
        <is>
          <t>Financial Statements</t>
        </is>
      </c>
      <c r="B270" t="inlineStr">
        <is>
          <t>R18</t>
        </is>
      </c>
      <c r="C270" t="n">
        <v>18</v>
      </c>
      <c r="D270" t="n">
        <v>18</v>
      </c>
      <c r="E270" t="inlineStr">
        <is>
          <t>Calculation</t>
        </is>
      </c>
      <c r="F270" t="inlineStr">
        <is>
          <t>'='Balance Sheet'!G18-'Balance Sheet'!H18</t>
        </is>
      </c>
      <c r="G270" t="n">
        <v>-156.3402368565332</v>
      </c>
      <c r="H270" t="inlineStr"/>
      <c r="I270" t="inlineStr">
        <is>
          <t>0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inlineStr">
        <is>
          <t>G000063</t>
        </is>
      </c>
      <c r="T270" t="inlineStr">
        <is>
          <t>Horizontal</t>
        </is>
      </c>
      <c r="U270" t="n">
        <v>5</v>
      </c>
      <c r="V270" t="b">
        <v>1</v>
      </c>
      <c r="W270" t="inlineStr">
        <is>
          <t>Financial Statements!O18:S18</t>
        </is>
      </c>
      <c r="X270">
        <f>'Balance Sheet'!R[0]C[-11]-'Balance Sheet'!R[0]C[-10]</f>
        <v/>
      </c>
    </row>
    <row r="271">
      <c r="A271" t="inlineStr">
        <is>
          <t>Financial Statements</t>
        </is>
      </c>
      <c r="B271" t="inlineStr">
        <is>
          <t>S18</t>
        </is>
      </c>
      <c r="C271" t="n">
        <v>18</v>
      </c>
      <c r="D271" t="n">
        <v>19</v>
      </c>
      <c r="E271" t="inlineStr">
        <is>
          <t>Calculation</t>
        </is>
      </c>
      <c r="F271" t="inlineStr">
        <is>
          <t>'='Balance Sheet'!H18-'Balance Sheet'!I18</t>
        </is>
      </c>
      <c r="G271" t="n">
        <v>-167.946699609131</v>
      </c>
      <c r="H271" t="inlineStr"/>
      <c r="I271" t="inlineStr">
        <is>
          <t>0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G000063</t>
        </is>
      </c>
      <c r="T271" t="inlineStr">
        <is>
          <t>Horizontal</t>
        </is>
      </c>
      <c r="U271" t="n">
        <v>5</v>
      </c>
      <c r="V271" t="b">
        <v>1</v>
      </c>
      <c r="W271" t="inlineStr">
        <is>
          <t>Financial Statements!O18:S18</t>
        </is>
      </c>
      <c r="X271">
        <f>'Balance Sheet'!R[0]C[-11]-'Balance Sheet'!R[0]C[-10]</f>
        <v/>
      </c>
    </row>
    <row r="272">
      <c r="A272" t="inlineStr">
        <is>
          <t>Financial Statements</t>
        </is>
      </c>
      <c r="B272" t="inlineStr">
        <is>
          <t>A19</t>
        </is>
      </c>
      <c r="C272" t="n">
        <v>19</v>
      </c>
      <c r="D272" t="n">
        <v>1</v>
      </c>
      <c r="E272" t="inlineStr">
        <is>
          <t>Input</t>
        </is>
      </c>
      <c r="F272" t="n">
        <v/>
      </c>
      <c r="G272" t="inlineStr">
        <is>
          <t>Dividend</t>
        </is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n">
        <v/>
      </c>
      <c r="T272" t="n">
        <v/>
      </c>
      <c r="U272" t="n">
        <v/>
      </c>
      <c r="V272" t="b">
        <v>0</v>
      </c>
      <c r="W272" t="inlineStr"/>
      <c r="X272" t="n">
        <v/>
      </c>
    </row>
    <row r="273">
      <c r="A273" t="inlineStr">
        <is>
          <t>Financial Statements</t>
        </is>
      </c>
      <c r="B273" t="inlineStr">
        <is>
          <t>B19</t>
        </is>
      </c>
      <c r="C273" t="n">
        <v>19</v>
      </c>
      <c r="D273" t="n">
        <v>2</v>
      </c>
      <c r="E273" t="inlineStr">
        <is>
          <t>Input</t>
        </is>
      </c>
      <c r="F273" t="n">
        <v/>
      </c>
      <c r="G273" t="n">
        <v>561.67</v>
      </c>
      <c r="H273" t="inlineStr"/>
      <c r="I273" t="inlineStr">
        <is>
          <t>0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n">
        <v/>
      </c>
      <c r="T273" t="n">
        <v/>
      </c>
      <c r="U273" t="n">
        <v/>
      </c>
      <c r="V273" t="b">
        <v>0</v>
      </c>
      <c r="W273" t="inlineStr"/>
      <c r="X273" t="n">
        <v/>
      </c>
    </row>
    <row r="274">
      <c r="A274" t="inlineStr">
        <is>
          <t>Financial Statements</t>
        </is>
      </c>
      <c r="B274" t="inlineStr">
        <is>
          <t>C19</t>
        </is>
      </c>
      <c r="C274" t="n">
        <v>19</v>
      </c>
      <c r="D274" t="n">
        <v>3</v>
      </c>
      <c r="E274" t="inlineStr">
        <is>
          <t>Input</t>
        </is>
      </c>
      <c r="F274" t="n">
        <v/>
      </c>
      <c r="G274" t="n">
        <v>319.21</v>
      </c>
      <c r="H274" t="inlineStr"/>
      <c r="I274" t="inlineStr">
        <is>
          <t>0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n">
        <v/>
      </c>
      <c r="T274" t="n">
        <v/>
      </c>
      <c r="U274" t="n">
        <v/>
      </c>
      <c r="V274" t="b">
        <v>0</v>
      </c>
      <c r="W274" t="inlineStr"/>
      <c r="X274" t="n">
        <v/>
      </c>
    </row>
    <row r="275">
      <c r="A275" t="inlineStr">
        <is>
          <t>Financial Statements</t>
        </is>
      </c>
      <c r="B275" t="inlineStr">
        <is>
          <t>D19</t>
        </is>
      </c>
      <c r="C275" t="n">
        <v>19</v>
      </c>
      <c r="D275" t="n">
        <v>4</v>
      </c>
      <c r="E275" t="inlineStr">
        <is>
          <t>Input</t>
        </is>
      </c>
      <c r="F275" t="n">
        <v/>
      </c>
      <c r="G275" t="n">
        <v>319.24</v>
      </c>
      <c r="H275" t="inlineStr"/>
      <c r="I275" t="inlineStr">
        <is>
          <t>0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n">
        <v/>
      </c>
      <c r="T275" t="n">
        <v/>
      </c>
      <c r="U275" t="n">
        <v/>
      </c>
      <c r="V275" t="b">
        <v>0</v>
      </c>
      <c r="W275" t="inlineStr"/>
      <c r="X275" t="n">
        <v/>
      </c>
    </row>
    <row r="276">
      <c r="A276" t="inlineStr">
        <is>
          <t>Financial Statements</t>
        </is>
      </c>
      <c r="B276" t="inlineStr">
        <is>
          <t>E19</t>
        </is>
      </c>
      <c r="C276" t="n">
        <v>19</v>
      </c>
      <c r="D276" t="n">
        <v>5</v>
      </c>
      <c r="E276" t="inlineStr">
        <is>
          <t>Calculation</t>
        </is>
      </c>
      <c r="F276" t="inlineStr">
        <is>
          <t>'=E17*E21</t>
        </is>
      </c>
      <c r="G276" t="n">
        <v>330.2459786511096</v>
      </c>
      <c r="H276" t="inlineStr"/>
      <c r="I276" t="inlineStr">
        <is>
          <t>_-* #,##0_-;\-* #,##0_-;_-* "-"??_-;_-@_-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inlineStr">
        <is>
          <t>G000064</t>
        </is>
      </c>
      <c r="T276" t="inlineStr">
        <is>
          <t>Horizontal</t>
        </is>
      </c>
      <c r="U276" t="n">
        <v>5</v>
      </c>
      <c r="V276" t="b">
        <v>1</v>
      </c>
      <c r="W276" t="inlineStr">
        <is>
          <t>Financial Statements!E19:I19</t>
        </is>
      </c>
      <c r="X276">
        <f>R[-2]C[0]*R[2]C[0]</f>
        <v/>
      </c>
    </row>
    <row r="277">
      <c r="A277" t="inlineStr">
        <is>
          <t>Financial Statements</t>
        </is>
      </c>
      <c r="B277" t="inlineStr">
        <is>
          <t>F19</t>
        </is>
      </c>
      <c r="C277" t="n">
        <v>19</v>
      </c>
      <c r="D277" t="n">
        <v>6</v>
      </c>
      <c r="E277" t="inlineStr">
        <is>
          <t>Calculation</t>
        </is>
      </c>
      <c r="F277" t="inlineStr">
        <is>
          <t>'=F17*F21</t>
        </is>
      </c>
      <c r="G277" t="n">
        <v>352.9131989645153</v>
      </c>
      <c r="H277" t="inlineStr"/>
      <c r="I277" t="inlineStr">
        <is>
          <t>_-* #,##0_-;\-* #,##0_-;_-* "-"??_-;_-@_-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inlineStr">
        <is>
          <t>G000064</t>
        </is>
      </c>
      <c r="T277" t="inlineStr">
        <is>
          <t>Horizontal</t>
        </is>
      </c>
      <c r="U277" t="n">
        <v>5</v>
      </c>
      <c r="V277" t="b">
        <v>1</v>
      </c>
      <c r="W277" t="inlineStr">
        <is>
          <t>Financial Statements!E19:I19</t>
        </is>
      </c>
      <c r="X277">
        <f>R[-2]C[0]*R[2]C[0]</f>
        <v/>
      </c>
    </row>
    <row r="278">
      <c r="A278" t="inlineStr">
        <is>
          <t>Financial Statements</t>
        </is>
      </c>
      <c r="B278" t="inlineStr">
        <is>
          <t>G19</t>
        </is>
      </c>
      <c r="C278" t="n">
        <v>19</v>
      </c>
      <c r="D278" t="n">
        <v>7</v>
      </c>
      <c r="E278" t="inlineStr">
        <is>
          <t>Calculation</t>
        </is>
      </c>
      <c r="F278" t="inlineStr">
        <is>
          <t>'=G17*G21</t>
        </is>
      </c>
      <c r="G278" t="n">
        <v>373.9969089806679</v>
      </c>
      <c r="H278" t="inlineStr"/>
      <c r="I278" t="inlineStr">
        <is>
          <t>_-* #,##0_-;\-* #,##0_-;_-* "-"??_-;_-@_-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G000064</t>
        </is>
      </c>
      <c r="T278" t="inlineStr">
        <is>
          <t>Horizontal</t>
        </is>
      </c>
      <c r="U278" t="n">
        <v>5</v>
      </c>
      <c r="V278" t="b">
        <v>1</v>
      </c>
      <c r="W278" t="inlineStr">
        <is>
          <t>Financial Statements!E19:I19</t>
        </is>
      </c>
      <c r="X278">
        <f>R[-2]C[0]*R[2]C[0]</f>
        <v/>
      </c>
    </row>
    <row r="279">
      <c r="A279" t="inlineStr">
        <is>
          <t>Financial Statements</t>
        </is>
      </c>
      <c r="B279" t="inlineStr">
        <is>
          <t>H19</t>
        </is>
      </c>
      <c r="C279" t="n">
        <v>19</v>
      </c>
      <c r="D279" t="n">
        <v>8</v>
      </c>
      <c r="E279" t="inlineStr">
        <is>
          <t>Calculation</t>
        </is>
      </c>
      <c r="F279" t="inlineStr">
        <is>
          <t>'=H17*H21</t>
        </is>
      </c>
      <c r="G279" t="n">
        <v>393.4438960047458</v>
      </c>
      <c r="H279" t="inlineStr"/>
      <c r="I279" t="inlineStr">
        <is>
          <t>_-* #,##0_-;\-* #,##0_-;_-* "-"??_-;_-@_-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G000064</t>
        </is>
      </c>
      <c r="T279" t="inlineStr">
        <is>
          <t>Horizontal</t>
        </is>
      </c>
      <c r="U279" t="n">
        <v>5</v>
      </c>
      <c r="V279" t="b">
        <v>1</v>
      </c>
      <c r="W279" t="inlineStr">
        <is>
          <t>Financial Statements!E19:I19</t>
        </is>
      </c>
      <c r="X279">
        <f>R[-2]C[0]*R[2]C[0]</f>
        <v/>
      </c>
    </row>
    <row r="280">
      <c r="A280" t="inlineStr">
        <is>
          <t>Financial Statements</t>
        </is>
      </c>
      <c r="B280" t="inlineStr">
        <is>
          <t>I19</t>
        </is>
      </c>
      <c r="C280" t="n">
        <v>19</v>
      </c>
      <c r="D280" t="n">
        <v>9</v>
      </c>
      <c r="E280" t="inlineStr">
        <is>
          <t>Calculation</t>
        </is>
      </c>
      <c r="F280" t="inlineStr">
        <is>
          <t>'=I17*I21</t>
        </is>
      </c>
      <c r="G280" t="n">
        <v>411.1665285118231</v>
      </c>
      <c r="H280" t="inlineStr"/>
      <c r="I280" t="inlineStr">
        <is>
          <t>_-* #,##0_-;\-* #,##0_-;_-* "-"??_-;_-@_-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G000064</t>
        </is>
      </c>
      <c r="T280" t="inlineStr">
        <is>
          <t>Horizontal</t>
        </is>
      </c>
      <c r="U280" t="n">
        <v>5</v>
      </c>
      <c r="V280" t="b">
        <v>1</v>
      </c>
      <c r="W280" t="inlineStr">
        <is>
          <t>Financial Statements!E19:I19</t>
        </is>
      </c>
      <c r="X280">
        <f>R[-2]C[0]*R[2]C[0]</f>
        <v/>
      </c>
    </row>
    <row r="281">
      <c r="A281" t="inlineStr">
        <is>
          <t>Financial Statements</t>
        </is>
      </c>
      <c r="B281" t="inlineStr">
        <is>
          <t>K19</t>
        </is>
      </c>
      <c r="C281" t="n">
        <v>19</v>
      </c>
      <c r="D281" t="n">
        <v>11</v>
      </c>
      <c r="E281" t="inlineStr">
        <is>
          <t>Input</t>
        </is>
      </c>
      <c r="F281" t="n">
        <v/>
      </c>
      <c r="G281" t="inlineStr">
        <is>
          <t>Change in receivables</t>
        </is>
      </c>
      <c r="H281" t="inlineStr"/>
      <c r="I281" t="inlineStr">
        <is>
          <t>General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n">
        <v/>
      </c>
      <c r="T281" t="n">
        <v/>
      </c>
      <c r="U281" t="n">
        <v/>
      </c>
      <c r="V281" t="b">
        <v>0</v>
      </c>
      <c r="W281" t="inlineStr"/>
      <c r="X281" t="n">
        <v/>
      </c>
    </row>
    <row r="282">
      <c r="A282" t="inlineStr">
        <is>
          <t>Financial Statements</t>
        </is>
      </c>
      <c r="B282" t="inlineStr">
        <is>
          <t>O19</t>
        </is>
      </c>
      <c r="C282" t="n">
        <v>19</v>
      </c>
      <c r="D282" t="n">
        <v>15</v>
      </c>
      <c r="E282" t="inlineStr">
        <is>
          <t>Calculation</t>
        </is>
      </c>
      <c r="F282" t="inlineStr">
        <is>
          <t>'='Balance Sheet'!D21-'Balance Sheet'!E21</t>
        </is>
      </c>
      <c r="G282" t="n">
        <v>-38.96189705790357</v>
      </c>
      <c r="H282" t="inlineStr"/>
      <c r="I282" t="inlineStr">
        <is>
          <t>0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G000065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Financial Statements!O19:S19</t>
        </is>
      </c>
      <c r="X282">
        <f>'Balance Sheet'!R[2]C[-11]-'Balance Sheet'!R[2]C[-10]</f>
        <v/>
      </c>
    </row>
    <row r="283">
      <c r="A283" t="inlineStr">
        <is>
          <t>Financial Statements</t>
        </is>
      </c>
      <c r="B283" t="inlineStr">
        <is>
          <t>P19</t>
        </is>
      </c>
      <c r="C283" t="n">
        <v>19</v>
      </c>
      <c r="D283" t="n">
        <v>16</v>
      </c>
      <c r="E283" t="inlineStr">
        <is>
          <t>Calculation</t>
        </is>
      </c>
      <c r="F283" t="inlineStr">
        <is>
          <t>'='Balance Sheet'!E21-'Balance Sheet'!F21</t>
        </is>
      </c>
      <c r="G283" t="n">
        <v>-53.52260699884096</v>
      </c>
      <c r="H283" t="inlineStr"/>
      <c r="I283" t="inlineStr">
        <is>
          <t>0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G000065</t>
        </is>
      </c>
      <c r="T283" t="inlineStr">
        <is>
          <t>Horizontal</t>
        </is>
      </c>
      <c r="U283" t="n">
        <v>5</v>
      </c>
      <c r="V283" t="b">
        <v>1</v>
      </c>
      <c r="W283" t="inlineStr">
        <is>
          <t>Financial Statements!O19:S19</t>
        </is>
      </c>
      <c r="X283">
        <f>'Balance Sheet'!R[2]C[-11]-'Balance Sheet'!R[2]C[-10]</f>
        <v/>
      </c>
    </row>
    <row r="284">
      <c r="A284" t="inlineStr">
        <is>
          <t>Financial Statements</t>
        </is>
      </c>
      <c r="B284" t="inlineStr">
        <is>
          <t>Q19</t>
        </is>
      </c>
      <c r="C284" t="n">
        <v>19</v>
      </c>
      <c r="D284" t="n">
        <v>17</v>
      </c>
      <c r="E284" t="inlineStr">
        <is>
          <t>Calculation</t>
        </is>
      </c>
      <c r="F284" t="inlineStr">
        <is>
          <t>'='Balance Sheet'!F21-'Balance Sheet'!G21</t>
        </is>
      </c>
      <c r="G284" t="n">
        <v>-57.11253795608002</v>
      </c>
      <c r="H284" t="inlineStr"/>
      <c r="I284" t="inlineStr">
        <is>
          <t>0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G000065</t>
        </is>
      </c>
      <c r="T284" t="inlineStr">
        <is>
          <t>Horizontal</t>
        </is>
      </c>
      <c r="U284" t="n">
        <v>5</v>
      </c>
      <c r="V284" t="b">
        <v>1</v>
      </c>
      <c r="W284" t="inlineStr">
        <is>
          <t>Financial Statements!O19:S19</t>
        </is>
      </c>
      <c r="X284">
        <f>'Balance Sheet'!R[2]C[-11]-'Balance Sheet'!R[2]C[-10]</f>
        <v/>
      </c>
    </row>
    <row r="285">
      <c r="A285" t="inlineStr">
        <is>
          <t>Financial Statements</t>
        </is>
      </c>
      <c r="B285" t="inlineStr">
        <is>
          <t>R19</t>
        </is>
      </c>
      <c r="C285" t="n">
        <v>19</v>
      </c>
      <c r="D285" t="n">
        <v>18</v>
      </c>
      <c r="E285" t="inlineStr">
        <is>
          <t>Calculation</t>
        </is>
      </c>
      <c r="F285" t="inlineStr">
        <is>
          <t>'='Balance Sheet'!G21-'Balance Sheet'!H21</t>
        </is>
      </c>
      <c r="G285" t="n">
        <v>-60.92765549154637</v>
      </c>
      <c r="H285" t="inlineStr"/>
      <c r="I285" t="inlineStr">
        <is>
          <t>0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G000065</t>
        </is>
      </c>
      <c r="T285" t="inlineStr">
        <is>
          <t>Horizontal</t>
        </is>
      </c>
      <c r="U285" t="n">
        <v>5</v>
      </c>
      <c r="V285" t="b">
        <v>1</v>
      </c>
      <c r="W285" t="inlineStr">
        <is>
          <t>Financial Statements!O19:S19</t>
        </is>
      </c>
      <c r="X285">
        <f>'Balance Sheet'!R[2]C[-11]-'Balance Sheet'!R[2]C[-10]</f>
        <v/>
      </c>
    </row>
    <row r="286">
      <c r="A286" t="inlineStr">
        <is>
          <t>Financial Statements</t>
        </is>
      </c>
      <c r="B286" t="inlineStr">
        <is>
          <t>S19</t>
        </is>
      </c>
      <c r="C286" t="n">
        <v>19</v>
      </c>
      <c r="D286" t="n">
        <v>19</v>
      </c>
      <c r="E286" t="inlineStr">
        <is>
          <t>Calculation</t>
        </is>
      </c>
      <c r="F286" t="inlineStr">
        <is>
          <t>'='Balance Sheet'!H21-'Balance Sheet'!I21</t>
        </is>
      </c>
      <c r="G286" t="n">
        <v>-64.9815034356692</v>
      </c>
      <c r="H286" t="inlineStr"/>
      <c r="I286" t="inlineStr">
        <is>
          <t>0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inlineStr">
        <is>
          <t>G000065</t>
        </is>
      </c>
      <c r="T286" t="inlineStr">
        <is>
          <t>Horizontal</t>
        </is>
      </c>
      <c r="U286" t="n">
        <v>5</v>
      </c>
      <c r="V286" t="b">
        <v>1</v>
      </c>
      <c r="W286" t="inlineStr">
        <is>
          <t>Financial Statements!O19:S19</t>
        </is>
      </c>
      <c r="X286">
        <f>'Balance Sheet'!R[2]C[-11]-'Balance Sheet'!R[2]C[-10]</f>
        <v/>
      </c>
    </row>
    <row r="287">
      <c r="A287" t="inlineStr">
        <is>
          <t>Financial Statements</t>
        </is>
      </c>
      <c r="B287" t="inlineStr">
        <is>
          <t>A20</t>
        </is>
      </c>
      <c r="C287" t="n">
        <v>20</v>
      </c>
      <c r="D287" t="n">
        <v>1</v>
      </c>
      <c r="E287" t="inlineStr">
        <is>
          <t>Input</t>
        </is>
      </c>
      <c r="F287" t="n">
        <v/>
      </c>
      <c r="G287" t="inlineStr">
        <is>
          <t>PAT transferred to BS</t>
        </is>
      </c>
      <c r="H287" t="inlineStr"/>
      <c r="I287" t="inlineStr">
        <is>
          <t>General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Financial Statements</t>
        </is>
      </c>
      <c r="B288" t="inlineStr">
        <is>
          <t>B20</t>
        </is>
      </c>
      <c r="C288" t="n">
        <v>20</v>
      </c>
      <c r="D288" t="n">
        <v>2</v>
      </c>
      <c r="E288" t="inlineStr">
        <is>
          <t>Output</t>
        </is>
      </c>
      <c r="F288" t="inlineStr">
        <is>
          <t>'=B17-B19</t>
        </is>
      </c>
      <c r="G288" t="n">
        <v>168.6600000000008</v>
      </c>
      <c r="H288" t="inlineStr"/>
      <c r="I288" t="inlineStr">
        <is>
          <t>_-* #,##0_-;\-* #,##0_-;_-* "-"??_-;_-@_-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inlineStr">
        <is>
          <t>G000066</t>
        </is>
      </c>
      <c r="T288" t="inlineStr">
        <is>
          <t>Horizontal</t>
        </is>
      </c>
      <c r="U288" t="n">
        <v>8</v>
      </c>
      <c r="V288" t="b">
        <v>1</v>
      </c>
      <c r="W288" t="inlineStr">
        <is>
          <t>Financial Statements!B20:I20</t>
        </is>
      </c>
      <c r="X288">
        <f>R[-3]C[0]-R[-1]C[0]</f>
        <v/>
      </c>
    </row>
    <row r="289">
      <c r="A289" t="inlineStr">
        <is>
          <t>Financial Statements</t>
        </is>
      </c>
      <c r="B289" t="inlineStr">
        <is>
          <t>C20</t>
        </is>
      </c>
      <c r="C289" t="n">
        <v>20</v>
      </c>
      <c r="D289" t="n">
        <v>3</v>
      </c>
      <c r="E289" t="inlineStr">
        <is>
          <t>Output</t>
        </is>
      </c>
      <c r="F289" t="inlineStr">
        <is>
          <t>'=C17-C19</t>
        </is>
      </c>
      <c r="G289" t="n">
        <v>361.0600000000003</v>
      </c>
      <c r="H289" t="inlineStr"/>
      <c r="I289" t="inlineStr">
        <is>
          <t>_-* #,##0_-;\-* #,##0_-;_-* "-"??_-;_-@_-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inlineStr">
        <is>
          <t>G000066</t>
        </is>
      </c>
      <c r="T289" t="inlineStr">
        <is>
          <t>Horizontal</t>
        </is>
      </c>
      <c r="U289" t="n">
        <v>8</v>
      </c>
      <c r="V289" t="b">
        <v>1</v>
      </c>
      <c r="W289" t="inlineStr">
        <is>
          <t>Financial Statements!B20:I20</t>
        </is>
      </c>
      <c r="X289">
        <f>R[-3]C[0]-R[-1]C[0]</f>
        <v/>
      </c>
    </row>
    <row r="290">
      <c r="A290" t="inlineStr">
        <is>
          <t>Financial Statements</t>
        </is>
      </c>
      <c r="B290" t="inlineStr">
        <is>
          <t>D20</t>
        </is>
      </c>
      <c r="C290" t="n">
        <v>20</v>
      </c>
      <c r="D290" t="n">
        <v>4</v>
      </c>
      <c r="E290" t="inlineStr">
        <is>
          <t>Output</t>
        </is>
      </c>
      <c r="F290" t="inlineStr">
        <is>
          <t>'=D17-D19</t>
        </is>
      </c>
      <c r="G290" t="n">
        <v>587.8099999999984</v>
      </c>
      <c r="H290" t="inlineStr"/>
      <c r="I290" t="inlineStr">
        <is>
          <t>_-* #,##0_-;\-* #,##0_-;_-* "-"??_-;_-@_-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inlineStr">
        <is>
          <t>G000066</t>
        </is>
      </c>
      <c r="T290" t="inlineStr">
        <is>
          <t>Horizontal</t>
        </is>
      </c>
      <c r="U290" t="n">
        <v>8</v>
      </c>
      <c r="V290" t="b">
        <v>1</v>
      </c>
      <c r="W290" t="inlineStr">
        <is>
          <t>Financial Statements!B20:I20</t>
        </is>
      </c>
      <c r="X290">
        <f>R[-3]C[0]-R[-1]C[0]</f>
        <v/>
      </c>
    </row>
    <row r="291">
      <c r="A291" t="inlineStr">
        <is>
          <t>Financial Statements</t>
        </is>
      </c>
      <c r="B291" t="inlineStr">
        <is>
          <t>E20</t>
        </is>
      </c>
      <c r="C291" t="n">
        <v>20</v>
      </c>
      <c r="D291" t="n">
        <v>5</v>
      </c>
      <c r="E291" t="inlineStr">
        <is>
          <t>Calculation</t>
        </is>
      </c>
      <c r="F291" t="inlineStr">
        <is>
          <t>'=E17-E19</t>
        </is>
      </c>
      <c r="G291" t="n">
        <v>608.0750805378655</v>
      </c>
      <c r="H291" t="inlineStr"/>
      <c r="I291" t="inlineStr">
        <is>
          <t>_-* #,##0_-;\-* #,##0_-;_-* "-"??_-;_-@_-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inlineStr">
        <is>
          <t>G000066</t>
        </is>
      </c>
      <c r="T291" t="inlineStr">
        <is>
          <t>Horizontal</t>
        </is>
      </c>
      <c r="U291" t="n">
        <v>8</v>
      </c>
      <c r="V291" t="b">
        <v>1</v>
      </c>
      <c r="W291" t="inlineStr">
        <is>
          <t>Financial Statements!B20:I20</t>
        </is>
      </c>
      <c r="X291">
        <f>R[-3]C[0]-R[-1]C[0]</f>
        <v/>
      </c>
    </row>
    <row r="292">
      <c r="A292" t="inlineStr">
        <is>
          <t>Financial Statements</t>
        </is>
      </c>
      <c r="B292" t="inlineStr">
        <is>
          <t>F20</t>
        </is>
      </c>
      <c r="C292" t="n">
        <v>20</v>
      </c>
      <c r="D292" t="n">
        <v>6</v>
      </c>
      <c r="E292" t="inlineStr">
        <is>
          <t>Calculation</t>
        </is>
      </c>
      <c r="F292" t="inlineStr">
        <is>
          <t>'=F17-F19</t>
        </is>
      </c>
      <c r="G292" t="n">
        <v>649.811763824493</v>
      </c>
      <c r="H292" t="inlineStr"/>
      <c r="I292" t="inlineStr">
        <is>
          <t>_-* #,##0_-;\-* #,##0_-;_-* "-"??_-;_-@_-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inlineStr">
        <is>
          <t>G000066</t>
        </is>
      </c>
      <c r="T292" t="inlineStr">
        <is>
          <t>Horizontal</t>
        </is>
      </c>
      <c r="U292" t="n">
        <v>8</v>
      </c>
      <c r="V292" t="b">
        <v>1</v>
      </c>
      <c r="W292" t="inlineStr">
        <is>
          <t>Financial Statements!B20:I20</t>
        </is>
      </c>
      <c r="X292">
        <f>R[-3]C[0]-R[-1]C[0]</f>
        <v/>
      </c>
    </row>
    <row r="293">
      <c r="A293" t="inlineStr">
        <is>
          <t>Financial Statements</t>
        </is>
      </c>
      <c r="B293" t="inlineStr">
        <is>
          <t>G20</t>
        </is>
      </c>
      <c r="C293" t="n">
        <v>20</v>
      </c>
      <c r="D293" t="n">
        <v>7</v>
      </c>
      <c r="E293" t="inlineStr">
        <is>
          <t>Calculation</t>
        </is>
      </c>
      <c r="F293" t="inlineStr">
        <is>
          <t>'=G17-G19</t>
        </is>
      </c>
      <c r="G293" t="n">
        <v>688.6327623979632</v>
      </c>
      <c r="H293" t="inlineStr"/>
      <c r="I293" t="inlineStr">
        <is>
          <t>_-* #,##0_-;\-* #,##0_-;_-* "-"??_-;_-@_-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inlineStr">
        <is>
          <t>G000066</t>
        </is>
      </c>
      <c r="T293" t="inlineStr">
        <is>
          <t>Horizontal</t>
        </is>
      </c>
      <c r="U293" t="n">
        <v>8</v>
      </c>
      <c r="V293" t="b">
        <v>1</v>
      </c>
      <c r="W293" t="inlineStr">
        <is>
          <t>Financial Statements!B20:I20</t>
        </is>
      </c>
      <c r="X293">
        <f>R[-3]C[0]-R[-1]C[0]</f>
        <v/>
      </c>
    </row>
    <row r="294">
      <c r="A294" t="inlineStr">
        <is>
          <t>Financial Statements</t>
        </is>
      </c>
      <c r="B294" t="inlineStr">
        <is>
          <t>H20</t>
        </is>
      </c>
      <c r="C294" t="n">
        <v>20</v>
      </c>
      <c r="D294" t="n">
        <v>8</v>
      </c>
      <c r="E294" t="inlineStr">
        <is>
          <t>Calculation</t>
        </is>
      </c>
      <c r="F294" t="inlineStr">
        <is>
          <t>'=H17-H19</t>
        </is>
      </c>
      <c r="G294" t="n">
        <v>724.4400968254261</v>
      </c>
      <c r="H294" t="inlineStr"/>
      <c r="I294" t="inlineStr">
        <is>
          <t>_-* #,##0_-;\-* #,##0_-;_-* "-"??_-;_-@_-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G000066</t>
        </is>
      </c>
      <c r="T294" t="inlineStr">
        <is>
          <t>Horizontal</t>
        </is>
      </c>
      <c r="U294" t="n">
        <v>8</v>
      </c>
      <c r="V294" t="b">
        <v>1</v>
      </c>
      <c r="W294" t="inlineStr">
        <is>
          <t>Financial Statements!B20:I20</t>
        </is>
      </c>
      <c r="X294">
        <f>R[-3]C[0]-R[-1]C[0]</f>
        <v/>
      </c>
    </row>
    <row r="295">
      <c r="A295" t="inlineStr">
        <is>
          <t>Financial Statements</t>
        </is>
      </c>
      <c r="B295" t="inlineStr">
        <is>
          <t>I20</t>
        </is>
      </c>
      <c r="C295" t="n">
        <v>20</v>
      </c>
      <c r="D295" t="n">
        <v>9</v>
      </c>
      <c r="E295" t="inlineStr">
        <is>
          <t>Calculation</t>
        </is>
      </c>
      <c r="F295" t="inlineStr">
        <is>
          <t>'=I17-I19</t>
        </is>
      </c>
      <c r="G295" t="n">
        <v>757.072412995032</v>
      </c>
      <c r="H295" t="inlineStr"/>
      <c r="I295" t="inlineStr">
        <is>
          <t>_-* #,##0_-;\-* #,##0_-;_-* "-"??_-;_-@_-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G000066</t>
        </is>
      </c>
      <c r="T295" t="inlineStr">
        <is>
          <t>Horizontal</t>
        </is>
      </c>
      <c r="U295" t="n">
        <v>8</v>
      </c>
      <c r="V295" t="b">
        <v>1</v>
      </c>
      <c r="W295" t="inlineStr">
        <is>
          <t>Financial Statements!B20:I20</t>
        </is>
      </c>
      <c r="X295">
        <f>R[-3]C[0]-R[-1]C[0]</f>
        <v/>
      </c>
    </row>
    <row r="296">
      <c r="A296" t="inlineStr">
        <is>
          <t>Financial Statements</t>
        </is>
      </c>
      <c r="B296" t="inlineStr">
        <is>
          <t>K20</t>
        </is>
      </c>
      <c r="C296" t="n">
        <v>20</v>
      </c>
      <c r="D296" t="n">
        <v>11</v>
      </c>
      <c r="E296" t="inlineStr">
        <is>
          <t>Input</t>
        </is>
      </c>
      <c r="F296" t="n">
        <v/>
      </c>
      <c r="G296" t="inlineStr">
        <is>
          <t>Change in payables</t>
        </is>
      </c>
      <c r="H296" t="inlineStr"/>
      <c r="I296" t="inlineStr">
        <is>
          <t>General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Financial Statements</t>
        </is>
      </c>
      <c r="B297" t="inlineStr">
        <is>
          <t>O20</t>
        </is>
      </c>
      <c r="C297" t="n">
        <v>20</v>
      </c>
      <c r="D297" t="n">
        <v>15</v>
      </c>
      <c r="E297" t="inlineStr">
        <is>
          <t>Calculation</t>
        </is>
      </c>
      <c r="F297" t="inlineStr">
        <is>
          <t>'='Balance Sheet'!E44-'Balance Sheet'!D44</t>
        </is>
      </c>
      <c r="G297" t="n">
        <v>49.31388071395008</v>
      </c>
      <c r="H297" t="inlineStr"/>
      <c r="I297" t="inlineStr">
        <is>
          <t>0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inlineStr">
        <is>
          <t>G000067</t>
        </is>
      </c>
      <c r="T297" t="inlineStr">
        <is>
          <t>Horizontal</t>
        </is>
      </c>
      <c r="U297" t="n">
        <v>5</v>
      </c>
      <c r="V297" t="b">
        <v>1</v>
      </c>
      <c r="W297" t="inlineStr">
        <is>
          <t>Financial Statements!O20:S20</t>
        </is>
      </c>
      <c r="X297">
        <f>'Balance Sheet'!R[24]C[-10]-'Balance Sheet'!R[24]C[-11]</f>
        <v/>
      </c>
    </row>
    <row r="298">
      <c r="A298" t="inlineStr">
        <is>
          <t>Financial Statements</t>
        </is>
      </c>
      <c r="B298" t="inlineStr">
        <is>
          <t>P20</t>
        </is>
      </c>
      <c r="C298" t="n">
        <v>20</v>
      </c>
      <c r="D298" t="n">
        <v>16</v>
      </c>
      <c r="E298" t="inlineStr">
        <is>
          <t>Calculation</t>
        </is>
      </c>
      <c r="F298" t="inlineStr">
        <is>
          <t>'='Balance Sheet'!F44-'Balance Sheet'!E44</t>
        </is>
      </c>
      <c r="G298" t="n">
        <v>156.164092307029</v>
      </c>
      <c r="H298" t="inlineStr"/>
      <c r="I298" t="inlineStr">
        <is>
          <t>0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inlineStr">
        <is>
          <t>G000067</t>
        </is>
      </c>
      <c r="T298" t="inlineStr">
        <is>
          <t>Horizontal</t>
        </is>
      </c>
      <c r="U298" t="n">
        <v>5</v>
      </c>
      <c r="V298" t="b">
        <v>1</v>
      </c>
      <c r="W298" t="inlineStr">
        <is>
          <t>Financial Statements!O20:S20</t>
        </is>
      </c>
      <c r="X298">
        <f>'Balance Sheet'!R[24]C[-10]-'Balance Sheet'!R[24]C[-11]</f>
        <v/>
      </c>
    </row>
    <row r="299">
      <c r="A299" t="inlineStr">
        <is>
          <t>Financial Statements</t>
        </is>
      </c>
      <c r="B299" t="inlineStr">
        <is>
          <t>Q20</t>
        </is>
      </c>
      <c r="C299" t="n">
        <v>20</v>
      </c>
      <c r="D299" t="n">
        <v>17</v>
      </c>
      <c r="E299" t="inlineStr">
        <is>
          <t>Calculation</t>
        </is>
      </c>
      <c r="F299" t="inlineStr">
        <is>
          <t>'='Balance Sheet'!G44-'Balance Sheet'!F44</t>
        </is>
      </c>
      <c r="G299" t="n">
        <v>167.8672283507481</v>
      </c>
      <c r="H299" t="inlineStr"/>
      <c r="I299" t="inlineStr">
        <is>
          <t>0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inlineStr">
        <is>
          <t>G000067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Financial Statements!O20:S20</t>
        </is>
      </c>
      <c r="X299">
        <f>'Balance Sheet'!R[24]C[-10]-'Balance Sheet'!R[24]C[-11]</f>
        <v/>
      </c>
    </row>
    <row r="300">
      <c r="A300" t="inlineStr">
        <is>
          <t>Financial Statements</t>
        </is>
      </c>
      <c r="B300" t="inlineStr">
        <is>
          <t>R20</t>
        </is>
      </c>
      <c r="C300" t="n">
        <v>20</v>
      </c>
      <c r="D300" t="n">
        <v>18</v>
      </c>
      <c r="E300" t="inlineStr">
        <is>
          <t>Calculation</t>
        </is>
      </c>
      <c r="F300" t="inlineStr">
        <is>
          <t>'='Balance Sheet'!H44-'Balance Sheet'!G44</t>
        </is>
      </c>
      <c r="G300" t="n">
        <v>180.3874858438116</v>
      </c>
      <c r="H300" t="inlineStr"/>
      <c r="I300" t="inlineStr">
        <is>
          <t>0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inlineStr">
        <is>
          <t>G000067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Financial Statements!O20:S20</t>
        </is>
      </c>
      <c r="X300">
        <f>'Balance Sheet'!R[24]C[-10]-'Balance Sheet'!R[24]C[-11]</f>
        <v/>
      </c>
    </row>
    <row r="301">
      <c r="A301" t="inlineStr">
        <is>
          <t>Financial Statements</t>
        </is>
      </c>
      <c r="B301" t="inlineStr">
        <is>
          <t>S20</t>
        </is>
      </c>
      <c r="C301" t="n">
        <v>20</v>
      </c>
      <c r="D301" t="n">
        <v>19</v>
      </c>
      <c r="E301" t="inlineStr">
        <is>
          <t>Calculation</t>
        </is>
      </c>
      <c r="F301" t="inlineStr">
        <is>
          <t>'='Balance Sheet'!I44-'Balance Sheet'!H44</t>
        </is>
      </c>
      <c r="G301" t="n">
        <v>193.7791799948332</v>
      </c>
      <c r="H301" t="inlineStr"/>
      <c r="I301" t="inlineStr">
        <is>
          <t>0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G000067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Financial Statements!O20:S20</t>
        </is>
      </c>
      <c r="X301">
        <f>'Balance Sheet'!R[24]C[-10]-'Balance Sheet'!R[24]C[-11]</f>
        <v/>
      </c>
    </row>
    <row r="302">
      <c r="A302" t="inlineStr">
        <is>
          <t>Financial Statements</t>
        </is>
      </c>
      <c r="B302" t="inlineStr">
        <is>
          <t>A21</t>
        </is>
      </c>
      <c r="C302" t="n">
        <v>21</v>
      </c>
      <c r="D302" t="n">
        <v>1</v>
      </c>
      <c r="E302" t="inlineStr">
        <is>
          <t>Input</t>
        </is>
      </c>
      <c r="F302" t="n">
        <v/>
      </c>
      <c r="G302" t="inlineStr">
        <is>
          <t>Dividend payout ratio</t>
        </is>
      </c>
      <c r="H302" t="inlineStr"/>
      <c r="I302" t="inlineStr">
        <is>
          <t>General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n">
        <v/>
      </c>
      <c r="T302" t="n">
        <v/>
      </c>
      <c r="U302" t="n">
        <v/>
      </c>
      <c r="V302" t="b">
        <v>0</v>
      </c>
      <c r="W302" t="inlineStr"/>
      <c r="X302" t="n">
        <v/>
      </c>
    </row>
    <row r="303">
      <c r="A303" t="inlineStr">
        <is>
          <t>Financial Statements</t>
        </is>
      </c>
      <c r="B303" t="inlineStr">
        <is>
          <t>B21</t>
        </is>
      </c>
      <c r="C303" t="n">
        <v>21</v>
      </c>
      <c r="D303" t="n">
        <v>2</v>
      </c>
      <c r="E303" t="inlineStr">
        <is>
          <t>Output</t>
        </is>
      </c>
      <c r="F303" t="inlineStr">
        <is>
          <t>'=B19/B17</t>
        </is>
      </c>
      <c r="G303" t="n">
        <v>0.7690633001519853</v>
      </c>
      <c r="H303" t="inlineStr"/>
      <c r="I303" t="inlineStr">
        <is>
          <t>0%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G000068</t>
        </is>
      </c>
      <c r="T303" t="inlineStr">
        <is>
          <t>Horizontal</t>
        </is>
      </c>
      <c r="U303" t="n">
        <v>3</v>
      </c>
      <c r="V303" t="b">
        <v>1</v>
      </c>
      <c r="W303" t="inlineStr">
        <is>
          <t>Financial Statements!B21:D21</t>
        </is>
      </c>
      <c r="X303">
        <f>R[-2]C[0]/R[-4]C[0]</f>
        <v/>
      </c>
    </row>
    <row r="304">
      <c r="A304" t="inlineStr">
        <is>
          <t>Financial Statements</t>
        </is>
      </c>
      <c r="B304" t="inlineStr">
        <is>
          <t>C21</t>
        </is>
      </c>
      <c r="C304" t="n">
        <v>21</v>
      </c>
      <c r="D304" t="n">
        <v>3</v>
      </c>
      <c r="E304" t="inlineStr">
        <is>
          <t>Output</t>
        </is>
      </c>
      <c r="F304" t="inlineStr">
        <is>
          <t>'=C19/C17</t>
        </is>
      </c>
      <c r="G304" t="n">
        <v>0.4692401546444792</v>
      </c>
      <c r="H304" t="inlineStr"/>
      <c r="I304" t="inlineStr">
        <is>
          <t>0%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inlineStr">
        <is>
          <t>G000068</t>
        </is>
      </c>
      <c r="T304" t="inlineStr">
        <is>
          <t>Horizontal</t>
        </is>
      </c>
      <c r="U304" t="n">
        <v>3</v>
      </c>
      <c r="V304" t="b">
        <v>1</v>
      </c>
      <c r="W304" t="inlineStr">
        <is>
          <t>Financial Statements!B21:D21</t>
        </is>
      </c>
      <c r="X304">
        <f>R[-2]C[0]/R[-4]C[0]</f>
        <v/>
      </c>
    </row>
    <row r="305">
      <c r="A305" t="inlineStr">
        <is>
          <t>Financial Statements</t>
        </is>
      </c>
      <c r="B305" t="inlineStr">
        <is>
          <t>D21</t>
        </is>
      </c>
      <c r="C305" t="n">
        <v>21</v>
      </c>
      <c r="D305" t="n">
        <v>4</v>
      </c>
      <c r="E305" t="inlineStr">
        <is>
          <t>Calculation</t>
        </is>
      </c>
      <c r="F305" t="inlineStr">
        <is>
          <t>'=D19/D17</t>
        </is>
      </c>
      <c r="G305" t="n">
        <v>0.3519541370376502</v>
      </c>
      <c r="H305" t="inlineStr"/>
      <c r="I305" t="inlineStr">
        <is>
          <t>0%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inlineStr">
        <is>
          <t>G000068</t>
        </is>
      </c>
      <c r="T305" t="inlineStr">
        <is>
          <t>Horizontal</t>
        </is>
      </c>
      <c r="U305" t="n">
        <v>3</v>
      </c>
      <c r="V305" t="b">
        <v>1</v>
      </c>
      <c r="W305" t="inlineStr">
        <is>
          <t>Financial Statements!B21:D21</t>
        </is>
      </c>
      <c r="X305">
        <f>R[-2]C[0]/R[-4]C[0]</f>
        <v/>
      </c>
    </row>
    <row r="306">
      <c r="A306" t="inlineStr">
        <is>
          <t>Financial Statements</t>
        </is>
      </c>
      <c r="B306" t="inlineStr">
        <is>
          <t>E21</t>
        </is>
      </c>
      <c r="C306" t="n">
        <v>21</v>
      </c>
      <c r="D306" t="n">
        <v>5</v>
      </c>
      <c r="E306" t="inlineStr">
        <is>
          <t>Calculation</t>
        </is>
      </c>
      <c r="F306" t="inlineStr">
        <is>
          <t>'=D21</t>
        </is>
      </c>
      <c r="G306" t="n">
        <v>0.3519541370376502</v>
      </c>
      <c r="H306" t="inlineStr"/>
      <c r="I306" t="inlineStr">
        <is>
          <t>0%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inlineStr">
        <is>
          <t>G000055</t>
        </is>
      </c>
      <c r="T306" t="inlineStr">
        <is>
          <t>Horizontal</t>
        </is>
      </c>
      <c r="U306" t="n">
        <v>5</v>
      </c>
      <c r="V306" t="b">
        <v>1</v>
      </c>
      <c r="W306" t="inlineStr">
        <is>
          <t>Financial Statements!E21:I21</t>
        </is>
      </c>
      <c r="X306">
        <f>R[0]C[-1]</f>
        <v/>
      </c>
    </row>
    <row r="307">
      <c r="A307" t="inlineStr">
        <is>
          <t>Financial Statements</t>
        </is>
      </c>
      <c r="B307" t="inlineStr">
        <is>
          <t>F21</t>
        </is>
      </c>
      <c r="C307" t="n">
        <v>21</v>
      </c>
      <c r="D307" t="n">
        <v>6</v>
      </c>
      <c r="E307" t="inlineStr">
        <is>
          <t>Calculation</t>
        </is>
      </c>
      <c r="F307" t="inlineStr">
        <is>
          <t>'=E21</t>
        </is>
      </c>
      <c r="G307" t="n">
        <v>0.3519541370376502</v>
      </c>
      <c r="H307" t="inlineStr"/>
      <c r="I307" t="inlineStr">
        <is>
          <t>0%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inlineStr">
        <is>
          <t>G000055</t>
        </is>
      </c>
      <c r="T307" t="inlineStr">
        <is>
          <t>Horizontal</t>
        </is>
      </c>
      <c r="U307" t="n">
        <v>5</v>
      </c>
      <c r="V307" t="b">
        <v>1</v>
      </c>
      <c r="W307" t="inlineStr">
        <is>
          <t>Financial Statements!E21:I21</t>
        </is>
      </c>
      <c r="X307">
        <f>R[0]C[-1]</f>
        <v/>
      </c>
    </row>
    <row r="308">
      <c r="A308" t="inlineStr">
        <is>
          <t>Financial Statements</t>
        </is>
      </c>
      <c r="B308" t="inlineStr">
        <is>
          <t>G21</t>
        </is>
      </c>
      <c r="C308" t="n">
        <v>21</v>
      </c>
      <c r="D308" t="n">
        <v>7</v>
      </c>
      <c r="E308" t="inlineStr">
        <is>
          <t>Calculation</t>
        </is>
      </c>
      <c r="F308" t="inlineStr">
        <is>
          <t>'=F21</t>
        </is>
      </c>
      <c r="G308" t="n">
        <v>0.3519541370376502</v>
      </c>
      <c r="H308" t="inlineStr"/>
      <c r="I308" t="inlineStr">
        <is>
          <t>0%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inlineStr">
        <is>
          <t>G000055</t>
        </is>
      </c>
      <c r="T308" t="inlineStr">
        <is>
          <t>Horizontal</t>
        </is>
      </c>
      <c r="U308" t="n">
        <v>5</v>
      </c>
      <c r="V308" t="b">
        <v>1</v>
      </c>
      <c r="W308" t="inlineStr">
        <is>
          <t>Financial Statements!E21:I21</t>
        </is>
      </c>
      <c r="X308">
        <f>R[0]C[-1]</f>
        <v/>
      </c>
    </row>
    <row r="309">
      <c r="A309" t="inlineStr">
        <is>
          <t>Financial Statements</t>
        </is>
      </c>
      <c r="B309" t="inlineStr">
        <is>
          <t>H21</t>
        </is>
      </c>
      <c r="C309" t="n">
        <v>21</v>
      </c>
      <c r="D309" t="n">
        <v>8</v>
      </c>
      <c r="E309" t="inlineStr">
        <is>
          <t>Calculation</t>
        </is>
      </c>
      <c r="F309" t="inlineStr">
        <is>
          <t>'=G21</t>
        </is>
      </c>
      <c r="G309" t="n">
        <v>0.3519541370376502</v>
      </c>
      <c r="H309" t="inlineStr"/>
      <c r="I309" t="inlineStr">
        <is>
          <t>0%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inlineStr">
        <is>
          <t>G000055</t>
        </is>
      </c>
      <c r="T309" t="inlineStr">
        <is>
          <t>Horizontal</t>
        </is>
      </c>
      <c r="U309" t="n">
        <v>5</v>
      </c>
      <c r="V309" t="b">
        <v>1</v>
      </c>
      <c r="W309" t="inlineStr">
        <is>
          <t>Financial Statements!E21:I21</t>
        </is>
      </c>
      <c r="X309">
        <f>R[0]C[-1]</f>
        <v/>
      </c>
    </row>
    <row r="310">
      <c r="A310" t="inlineStr">
        <is>
          <t>Financial Statements</t>
        </is>
      </c>
      <c r="B310" t="inlineStr">
        <is>
          <t>I21</t>
        </is>
      </c>
      <c r="C310" t="n">
        <v>21</v>
      </c>
      <c r="D310" t="n">
        <v>9</v>
      </c>
      <c r="E310" t="inlineStr">
        <is>
          <t>Calculation</t>
        </is>
      </c>
      <c r="F310" t="inlineStr">
        <is>
          <t>'=H21</t>
        </is>
      </c>
      <c r="G310" t="n">
        <v>0.3519541370376502</v>
      </c>
      <c r="H310" t="inlineStr"/>
      <c r="I310" t="inlineStr">
        <is>
          <t>0%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1</v>
      </c>
      <c r="S310" t="inlineStr">
        <is>
          <t>G000055</t>
        </is>
      </c>
      <c r="T310" t="inlineStr">
        <is>
          <t>Horizontal</t>
        </is>
      </c>
      <c r="U310" t="n">
        <v>5</v>
      </c>
      <c r="V310" t="b">
        <v>1</v>
      </c>
      <c r="W310" t="inlineStr">
        <is>
          <t>Financial Statements!E21:I21</t>
        </is>
      </c>
      <c r="X310">
        <f>R[0]C[-1]</f>
        <v/>
      </c>
    </row>
    <row r="311">
      <c r="A311" t="inlineStr">
        <is>
          <t>Financial Statements</t>
        </is>
      </c>
      <c r="B311" t="inlineStr">
        <is>
          <t>K21</t>
        </is>
      </c>
      <c r="C311" t="n">
        <v>21</v>
      </c>
      <c r="D311" t="n">
        <v>11</v>
      </c>
      <c r="E311" t="inlineStr">
        <is>
          <t>Input</t>
        </is>
      </c>
      <c r="F311" t="n">
        <v/>
      </c>
      <c r="H311" t="inlineStr"/>
      <c r="I311" t="inlineStr">
        <is>
          <t>General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n">
        <v/>
      </c>
      <c r="P311" t="n">
        <v/>
      </c>
      <c r="R311" t="b">
        <v>0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Financial Statements</t>
        </is>
      </c>
      <c r="B312" t="inlineStr">
        <is>
          <t>L21</t>
        </is>
      </c>
      <c r="C312" t="n">
        <v>21</v>
      </c>
      <c r="D312" t="n">
        <v>12</v>
      </c>
      <c r="E312" t="inlineStr">
        <is>
          <t>Input</t>
        </is>
      </c>
      <c r="F312" t="n">
        <v/>
      </c>
      <c r="H312" t="inlineStr"/>
      <c r="I312" t="inlineStr">
        <is>
          <t>_-* #,##0_-;\-* #,##0_-;_-* "-"??_-;_-@_-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0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Financial Statements</t>
        </is>
      </c>
      <c r="B313" t="inlineStr">
        <is>
          <t>M21</t>
        </is>
      </c>
      <c r="C313" t="n">
        <v>21</v>
      </c>
      <c r="D313" t="n">
        <v>13</v>
      </c>
      <c r="E313" t="inlineStr">
        <is>
          <t>Input</t>
        </is>
      </c>
      <c r="F313" t="n">
        <v/>
      </c>
      <c r="H313" t="inlineStr"/>
      <c r="I313" t="inlineStr">
        <is>
          <t>_-* #,##0_-;\-* #,##0_-;_-* "-"??_-;_-@_-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0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Financial Statements</t>
        </is>
      </c>
      <c r="B314" t="inlineStr">
        <is>
          <t>N21</t>
        </is>
      </c>
      <c r="C314" t="n">
        <v>21</v>
      </c>
      <c r="D314" t="n">
        <v>14</v>
      </c>
      <c r="E314" t="inlineStr">
        <is>
          <t>Input</t>
        </is>
      </c>
      <c r="F314" t="n">
        <v/>
      </c>
      <c r="H314" t="inlineStr"/>
      <c r="I314" t="inlineStr">
        <is>
          <t>_-* #,##0_-;\-* #,##0_-;_-* "-"??_-;_-@_-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0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Financial Statements</t>
        </is>
      </c>
      <c r="B315" t="inlineStr">
        <is>
          <t>O21</t>
        </is>
      </c>
      <c r="C315" t="n">
        <v>21</v>
      </c>
      <c r="D315" t="n">
        <v>15</v>
      </c>
      <c r="E315" t="inlineStr">
        <is>
          <t>Calculation</t>
        </is>
      </c>
      <c r="F315" t="inlineStr">
        <is>
          <t>'=SUM(O15:O20)</t>
        </is>
      </c>
      <c r="G315" t="n">
        <v>1419.928130652871</v>
      </c>
      <c r="H315" t="inlineStr"/>
      <c r="I315" t="inlineStr">
        <is>
          <t>_-* #,##0_-;\-* #,##0_-;_-* "-"??_-;_-@_-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inlineStr">
        <is>
          <t>G000069</t>
        </is>
      </c>
      <c r="T315" t="inlineStr">
        <is>
          <t>Horizontal</t>
        </is>
      </c>
      <c r="U315" t="n">
        <v>5</v>
      </c>
      <c r="V315" t="b">
        <v>1</v>
      </c>
      <c r="W315" t="inlineStr">
        <is>
          <t>Financial Statements!O21:S21</t>
        </is>
      </c>
      <c r="X315">
        <f>SUM(R[-6]C[0]:R[-1]C[0])</f>
        <v/>
      </c>
    </row>
    <row r="316">
      <c r="A316" t="inlineStr">
        <is>
          <t>Financial Statements</t>
        </is>
      </c>
      <c r="B316" t="inlineStr">
        <is>
          <t>P21</t>
        </is>
      </c>
      <c r="C316" t="n">
        <v>21</v>
      </c>
      <c r="D316" t="n">
        <v>16</v>
      </c>
      <c r="E316" t="inlineStr">
        <is>
          <t>Calculation</t>
        </is>
      </c>
      <c r="F316" t="inlineStr">
        <is>
          <t>'=SUM(P15:P20)</t>
        </is>
      </c>
      <c r="G316" t="n">
        <v>1634.642388415379</v>
      </c>
      <c r="H316" t="inlineStr"/>
      <c r="I316" t="inlineStr">
        <is>
          <t>_-* #,##0_-;\-* #,##0_-;_-* "-"??_-;_-@_-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inlineStr">
        <is>
          <t>G000069</t>
        </is>
      </c>
      <c r="T316" t="inlineStr">
        <is>
          <t>Horizontal</t>
        </is>
      </c>
      <c r="U316" t="n">
        <v>5</v>
      </c>
      <c r="V316" t="b">
        <v>1</v>
      </c>
      <c r="W316" t="inlineStr">
        <is>
          <t>Financial Statements!O21:S21</t>
        </is>
      </c>
      <c r="X316">
        <f>SUM(R[-6]C[0]:R[-1]C[0])</f>
        <v/>
      </c>
    </row>
    <row r="317">
      <c r="A317" t="inlineStr">
        <is>
          <t>Financial Statements</t>
        </is>
      </c>
      <c r="B317" t="inlineStr">
        <is>
          <t>Q21</t>
        </is>
      </c>
      <c r="C317" t="n">
        <v>21</v>
      </c>
      <c r="D317" t="n">
        <v>17</v>
      </c>
      <c r="E317" t="inlineStr">
        <is>
          <t>Calculation</t>
        </is>
      </c>
      <c r="F317" t="inlineStr">
        <is>
          <t>'=SUM(Q15:Q20)</t>
        </is>
      </c>
      <c r="G317" t="n">
        <v>1680.523616417202</v>
      </c>
      <c r="H317" t="inlineStr"/>
      <c r="I317" t="inlineStr">
        <is>
          <t>_-* #,##0_-;\-* #,##0_-;_-* "-"??_-;_-@_-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inlineStr">
        <is>
          <t>G000069</t>
        </is>
      </c>
      <c r="T317" t="inlineStr">
        <is>
          <t>Horizontal</t>
        </is>
      </c>
      <c r="U317" t="n">
        <v>5</v>
      </c>
      <c r="V317" t="b">
        <v>1</v>
      </c>
      <c r="W317" t="inlineStr">
        <is>
          <t>Financial Statements!O21:S21</t>
        </is>
      </c>
      <c r="X317">
        <f>SUM(R[-6]C[0]:R[-1]C[0])</f>
        <v/>
      </c>
    </row>
    <row r="318">
      <c r="A318" t="inlineStr">
        <is>
          <t>Financial Statements</t>
        </is>
      </c>
      <c r="B318" t="inlineStr">
        <is>
          <t>R21</t>
        </is>
      </c>
      <c r="C318" t="n">
        <v>21</v>
      </c>
      <c r="D318" t="n">
        <v>18</v>
      </c>
      <c r="E318" t="inlineStr">
        <is>
          <t>Calculation</t>
        </is>
      </c>
      <c r="F318" t="inlineStr">
        <is>
          <t>'=SUM(R15:R20)</t>
        </is>
      </c>
      <c r="G318" t="n">
        <v>1725.85650001499</v>
      </c>
      <c r="H318" t="inlineStr"/>
      <c r="I318" t="inlineStr">
        <is>
          <t>_-* #,##0_-;\-* #,##0_-;_-* "-"??_-;_-@_-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inlineStr">
        <is>
          <t>G000069</t>
        </is>
      </c>
      <c r="T318" t="inlineStr">
        <is>
          <t>Horizontal</t>
        </is>
      </c>
      <c r="U318" t="n">
        <v>5</v>
      </c>
      <c r="V318" t="b">
        <v>1</v>
      </c>
      <c r="W318" t="inlineStr">
        <is>
          <t>Financial Statements!O21:S21</t>
        </is>
      </c>
      <c r="X318">
        <f>SUM(R[-6]C[0]:R[-1]C[0])</f>
        <v/>
      </c>
    </row>
    <row r="319">
      <c r="A319" t="inlineStr">
        <is>
          <t>Financial Statements</t>
        </is>
      </c>
      <c r="B319" t="inlineStr">
        <is>
          <t>S21</t>
        </is>
      </c>
      <c r="C319" t="n">
        <v>21</v>
      </c>
      <c r="D319" t="n">
        <v>19</v>
      </c>
      <c r="E319" t="inlineStr">
        <is>
          <t>Calculation</t>
        </is>
      </c>
      <c r="F319" t="inlineStr">
        <is>
          <t>'=SUM(S15:S20)</t>
        </is>
      </c>
      <c r="G319" t="n">
        <v>1770.127170348805</v>
      </c>
      <c r="H319" t="inlineStr"/>
      <c r="I319" t="inlineStr">
        <is>
          <t>_-* #,##0_-;\-* #,##0_-;_-* "-"??_-;_-@_-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1</v>
      </c>
      <c r="S319" t="inlineStr">
        <is>
          <t>G000069</t>
        </is>
      </c>
      <c r="T319" t="inlineStr">
        <is>
          <t>Horizontal</t>
        </is>
      </c>
      <c r="U319" t="n">
        <v>5</v>
      </c>
      <c r="V319" t="b">
        <v>1</v>
      </c>
      <c r="W319" t="inlineStr">
        <is>
          <t>Financial Statements!O21:S21</t>
        </is>
      </c>
      <c r="X319">
        <f>SUM(R[-6]C[0]:R[-1]C[0])</f>
        <v/>
      </c>
    </row>
    <row r="320">
      <c r="A320" t="inlineStr">
        <is>
          <t>Financial Statements</t>
        </is>
      </c>
      <c r="B320" t="inlineStr">
        <is>
          <t>K22</t>
        </is>
      </c>
      <c r="C320" t="n">
        <v>22</v>
      </c>
      <c r="D320" t="n">
        <v>11</v>
      </c>
      <c r="E320" t="inlineStr">
        <is>
          <t>Input</t>
        </is>
      </c>
      <c r="F320" t="n">
        <v/>
      </c>
      <c r="G320" t="inlineStr">
        <is>
          <t>Cash flow from investing</t>
        </is>
      </c>
      <c r="H320" t="inlineStr"/>
      <c r="I320" t="inlineStr">
        <is>
          <t>General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Financial Statements</t>
        </is>
      </c>
      <c r="B321" t="inlineStr">
        <is>
          <t>K23</t>
        </is>
      </c>
      <c r="C321" t="n">
        <v>23</v>
      </c>
      <c r="D321" t="n">
        <v>11</v>
      </c>
      <c r="E321" t="inlineStr">
        <is>
          <t>Input</t>
        </is>
      </c>
      <c r="F321" t="n">
        <v/>
      </c>
      <c r="G321" t="inlineStr">
        <is>
          <t>Fixed Asset</t>
        </is>
      </c>
      <c r="H321" t="inlineStr"/>
      <c r="I321" t="inlineStr">
        <is>
          <t>General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Financial Statements</t>
        </is>
      </c>
      <c r="B322" t="inlineStr">
        <is>
          <t>N23</t>
        </is>
      </c>
      <c r="C322" t="n">
        <v>23</v>
      </c>
      <c r="D322" t="n">
        <v>14</v>
      </c>
      <c r="E322" t="inlineStr">
        <is>
          <t>Input</t>
        </is>
      </c>
      <c r="F322" t="n">
        <v/>
      </c>
      <c r="H322" t="inlineStr"/>
      <c r="I322" t="inlineStr">
        <is>
          <t>0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0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Financial Statements</t>
        </is>
      </c>
      <c r="B323" t="inlineStr">
        <is>
          <t>O23</t>
        </is>
      </c>
      <c r="C323" t="n">
        <v>23</v>
      </c>
      <c r="D323" t="n">
        <v>15</v>
      </c>
      <c r="E323" t="inlineStr">
        <is>
          <t>Calculation</t>
        </is>
      </c>
      <c r="F323" t="inlineStr">
        <is>
          <t>'=-'Asset schedule'!P2</t>
        </is>
      </c>
      <c r="G323" t="n">
        <v>-406.8404430379748</v>
      </c>
      <c r="H323" t="inlineStr"/>
      <c r="I323" t="inlineStr">
        <is>
          <t>0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inlineStr">
        <is>
          <t>G000070</t>
        </is>
      </c>
      <c r="T323" t="inlineStr">
        <is>
          <t>Horizontal</t>
        </is>
      </c>
      <c r="U323" t="n">
        <v>5</v>
      </c>
      <c r="V323" t="b">
        <v>1</v>
      </c>
      <c r="W323" t="inlineStr">
        <is>
          <t>Financial Statements!O23:S23</t>
        </is>
      </c>
      <c r="X323">
        <f>-'Asset schedule'!R[-21]C[1]</f>
        <v/>
      </c>
    </row>
    <row r="324">
      <c r="A324" t="inlineStr">
        <is>
          <t>Financial Statements</t>
        </is>
      </c>
      <c r="B324" t="inlineStr">
        <is>
          <t>P23</t>
        </is>
      </c>
      <c r="C324" t="n">
        <v>23</v>
      </c>
      <c r="D324" t="n">
        <v>16</v>
      </c>
      <c r="E324" t="inlineStr">
        <is>
          <t>Calculation</t>
        </is>
      </c>
      <c r="F324" t="inlineStr">
        <is>
          <t>'=-'Asset schedule'!Q2</t>
        </is>
      </c>
      <c r="G324" t="n">
        <v>-437.730180379747</v>
      </c>
      <c r="H324" t="inlineStr"/>
      <c r="I324" t="inlineStr">
        <is>
          <t>0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inlineStr">
        <is>
          <t>G000070</t>
        </is>
      </c>
      <c r="T324" t="inlineStr">
        <is>
          <t>Horizontal</t>
        </is>
      </c>
      <c r="U324" t="n">
        <v>5</v>
      </c>
      <c r="V324" t="b">
        <v>1</v>
      </c>
      <c r="W324" t="inlineStr">
        <is>
          <t>Financial Statements!O23:S23</t>
        </is>
      </c>
      <c r="X324">
        <f>-'Asset schedule'!R[-21]C[1]</f>
        <v/>
      </c>
    </row>
    <row r="325">
      <c r="A325" t="inlineStr">
        <is>
          <t>Financial Statements</t>
        </is>
      </c>
      <c r="B325" t="inlineStr">
        <is>
          <t>Q23</t>
        </is>
      </c>
      <c r="C325" t="n">
        <v>23</v>
      </c>
      <c r="D325" t="n">
        <v>17</v>
      </c>
      <c r="E325" t="inlineStr">
        <is>
          <t>Calculation</t>
        </is>
      </c>
      <c r="F325" t="inlineStr">
        <is>
          <t>'=-'Asset schedule'!R2</t>
        </is>
      </c>
      <c r="G325" t="n">
        <v>-470.6917903481014</v>
      </c>
      <c r="H325" t="inlineStr"/>
      <c r="I325" t="inlineStr">
        <is>
          <t>0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inlineStr">
        <is>
          <t>G000070</t>
        </is>
      </c>
      <c r="T325" t="inlineStr">
        <is>
          <t>Horizontal</t>
        </is>
      </c>
      <c r="U325" t="n">
        <v>5</v>
      </c>
      <c r="V325" t="b">
        <v>1</v>
      </c>
      <c r="W325" t="inlineStr">
        <is>
          <t>Financial Statements!O23:S23</t>
        </is>
      </c>
      <c r="X325">
        <f>-'Asset schedule'!R[-21]C[1]</f>
        <v/>
      </c>
    </row>
    <row r="326">
      <c r="A326" t="inlineStr">
        <is>
          <t>Financial Statements</t>
        </is>
      </c>
      <c r="B326" t="inlineStr">
        <is>
          <t>R23</t>
        </is>
      </c>
      <c r="C326" t="n">
        <v>23</v>
      </c>
      <c r="D326" t="n">
        <v>18</v>
      </c>
      <c r="E326" t="inlineStr">
        <is>
          <t>Calculation</t>
        </is>
      </c>
      <c r="F326" t="inlineStr">
        <is>
          <t>'=-'Asset schedule'!S2</t>
        </is>
      </c>
      <c r="G326" t="n">
        <v>-505.8552358623419</v>
      </c>
      <c r="H326" t="inlineStr"/>
      <c r="I326" t="inlineStr">
        <is>
          <t>0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inlineStr">
        <is>
          <t>G000070</t>
        </is>
      </c>
      <c r="T326" t="inlineStr">
        <is>
          <t>Horizontal</t>
        </is>
      </c>
      <c r="U326" t="n">
        <v>5</v>
      </c>
      <c r="V326" t="b">
        <v>1</v>
      </c>
      <c r="W326" t="inlineStr">
        <is>
          <t>Financial Statements!O23:S23</t>
        </is>
      </c>
      <c r="X326">
        <f>-'Asset schedule'!R[-21]C[1]</f>
        <v/>
      </c>
    </row>
    <row r="327">
      <c r="A327" t="inlineStr">
        <is>
          <t>Financial Statements</t>
        </is>
      </c>
      <c r="B327" t="inlineStr">
        <is>
          <t>S23</t>
        </is>
      </c>
      <c r="C327" t="n">
        <v>23</v>
      </c>
      <c r="D327" t="n">
        <v>19</v>
      </c>
      <c r="E327" t="inlineStr">
        <is>
          <t>Calculation</t>
        </is>
      </c>
      <c r="F327" t="inlineStr">
        <is>
          <t>'=-'Asset schedule'!T2</t>
        </is>
      </c>
      <c r="G327" t="n">
        <v>-543.3582964521364</v>
      </c>
      <c r="H327" t="inlineStr"/>
      <c r="I327" t="inlineStr">
        <is>
          <t>0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n">
        <v/>
      </c>
      <c r="P327" t="n">
        <v/>
      </c>
      <c r="R327" t="b">
        <v>1</v>
      </c>
      <c r="S327" t="inlineStr">
        <is>
          <t>G000070</t>
        </is>
      </c>
      <c r="T327" t="inlineStr">
        <is>
          <t>Horizontal</t>
        </is>
      </c>
      <c r="U327" t="n">
        <v>5</v>
      </c>
      <c r="V327" t="b">
        <v>1</v>
      </c>
      <c r="W327" t="inlineStr">
        <is>
          <t>Financial Statements!O23:S23</t>
        </is>
      </c>
      <c r="X327">
        <f>-'Asset schedule'!R[-21]C[1]</f>
        <v/>
      </c>
    </row>
    <row r="328">
      <c r="A328" t="inlineStr">
        <is>
          <t>Financial Statements</t>
        </is>
      </c>
      <c r="B328" t="inlineStr">
        <is>
          <t>N24</t>
        </is>
      </c>
      <c r="C328" t="n">
        <v>24</v>
      </c>
      <c r="D328" t="n">
        <v>14</v>
      </c>
      <c r="E328" t="inlineStr">
        <is>
          <t>Input</t>
        </is>
      </c>
      <c r="F328" t="n">
        <v/>
      </c>
      <c r="H328" t="inlineStr"/>
      <c r="I328" t="inlineStr">
        <is>
          <t>0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0</v>
      </c>
      <c r="S328" t="n">
        <v/>
      </c>
      <c r="T328" t="n">
        <v/>
      </c>
      <c r="U328" t="n">
        <v/>
      </c>
      <c r="V328" t="b">
        <v>0</v>
      </c>
      <c r="W328" t="inlineStr"/>
      <c r="X328" t="n">
        <v/>
      </c>
    </row>
    <row r="329">
      <c r="A329" t="inlineStr">
        <is>
          <t>Financial Statements</t>
        </is>
      </c>
      <c r="B329" t="inlineStr">
        <is>
          <t>O24</t>
        </is>
      </c>
      <c r="C329" t="n">
        <v>24</v>
      </c>
      <c r="D329" t="n">
        <v>15</v>
      </c>
      <c r="E329" t="inlineStr">
        <is>
          <t>Calculation</t>
        </is>
      </c>
      <c r="F329" t="inlineStr">
        <is>
          <t>'=SUM(O23)</t>
        </is>
      </c>
      <c r="G329" t="n">
        <v>-406.8404430379748</v>
      </c>
      <c r="H329" t="inlineStr"/>
      <c r="I329" t="inlineStr">
        <is>
          <t>0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inlineStr">
        <is>
          <t>G000071</t>
        </is>
      </c>
      <c r="T329" t="inlineStr">
        <is>
          <t>Horizontal</t>
        </is>
      </c>
      <c r="U329" t="n">
        <v>5</v>
      </c>
      <c r="V329" t="b">
        <v>1</v>
      </c>
      <c r="W329" t="inlineStr">
        <is>
          <t>Financial Statements!O24:S24</t>
        </is>
      </c>
      <c r="X329">
        <f>SUM(R[-1]C[0])</f>
        <v/>
      </c>
    </row>
    <row r="330">
      <c r="A330" t="inlineStr">
        <is>
          <t>Financial Statements</t>
        </is>
      </c>
      <c r="B330" t="inlineStr">
        <is>
          <t>P24</t>
        </is>
      </c>
      <c r="C330" t="n">
        <v>24</v>
      </c>
      <c r="D330" t="n">
        <v>16</v>
      </c>
      <c r="E330" t="inlineStr">
        <is>
          <t>Calculation</t>
        </is>
      </c>
      <c r="F330" t="inlineStr">
        <is>
          <t>'=SUM(P23)</t>
        </is>
      </c>
      <c r="G330" t="n">
        <v>-437.730180379747</v>
      </c>
      <c r="H330" t="inlineStr"/>
      <c r="I330" t="inlineStr">
        <is>
          <t>0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inlineStr">
        <is>
          <t>G000071</t>
        </is>
      </c>
      <c r="T330" t="inlineStr">
        <is>
          <t>Horizontal</t>
        </is>
      </c>
      <c r="U330" t="n">
        <v>5</v>
      </c>
      <c r="V330" t="b">
        <v>1</v>
      </c>
      <c r="W330" t="inlineStr">
        <is>
          <t>Financial Statements!O24:S24</t>
        </is>
      </c>
      <c r="X330">
        <f>SUM(R[-1]C[0])</f>
        <v/>
      </c>
    </row>
    <row r="331">
      <c r="A331" t="inlineStr">
        <is>
          <t>Financial Statements</t>
        </is>
      </c>
      <c r="B331" t="inlineStr">
        <is>
          <t>Q24</t>
        </is>
      </c>
      <c r="C331" t="n">
        <v>24</v>
      </c>
      <c r="D331" t="n">
        <v>17</v>
      </c>
      <c r="E331" t="inlineStr">
        <is>
          <t>Calculation</t>
        </is>
      </c>
      <c r="F331" t="inlineStr">
        <is>
          <t>'=SUM(Q23)</t>
        </is>
      </c>
      <c r="G331" t="n">
        <v>-470.6917903481014</v>
      </c>
      <c r="H331" t="inlineStr"/>
      <c r="I331" t="inlineStr">
        <is>
          <t>0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inlineStr">
        <is>
          <t>G000071</t>
        </is>
      </c>
      <c r="T331" t="inlineStr">
        <is>
          <t>Horizontal</t>
        </is>
      </c>
      <c r="U331" t="n">
        <v>5</v>
      </c>
      <c r="V331" t="b">
        <v>1</v>
      </c>
      <c r="W331" t="inlineStr">
        <is>
          <t>Financial Statements!O24:S24</t>
        </is>
      </c>
      <c r="X331">
        <f>SUM(R[-1]C[0])</f>
        <v/>
      </c>
    </row>
    <row r="332">
      <c r="A332" t="inlineStr">
        <is>
          <t>Financial Statements</t>
        </is>
      </c>
      <c r="B332" t="inlineStr">
        <is>
          <t>R24</t>
        </is>
      </c>
      <c r="C332" t="n">
        <v>24</v>
      </c>
      <c r="D332" t="n">
        <v>18</v>
      </c>
      <c r="E332" t="inlineStr">
        <is>
          <t>Calculation</t>
        </is>
      </c>
      <c r="F332" t="inlineStr">
        <is>
          <t>'=SUM(R23)</t>
        </is>
      </c>
      <c r="G332" t="n">
        <v>-505.8552358623419</v>
      </c>
      <c r="H332" t="inlineStr"/>
      <c r="I332" t="inlineStr">
        <is>
          <t>0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inlineStr">
        <is>
          <t>G000071</t>
        </is>
      </c>
      <c r="T332" t="inlineStr">
        <is>
          <t>Horizontal</t>
        </is>
      </c>
      <c r="U332" t="n">
        <v>5</v>
      </c>
      <c r="V332" t="b">
        <v>1</v>
      </c>
      <c r="W332" t="inlineStr">
        <is>
          <t>Financial Statements!O24:S24</t>
        </is>
      </c>
      <c r="X332">
        <f>SUM(R[-1]C[0])</f>
        <v/>
      </c>
    </row>
    <row r="333">
      <c r="A333" t="inlineStr">
        <is>
          <t>Financial Statements</t>
        </is>
      </c>
      <c r="B333" t="inlineStr">
        <is>
          <t>S24</t>
        </is>
      </c>
      <c r="C333" t="n">
        <v>24</v>
      </c>
      <c r="D333" t="n">
        <v>19</v>
      </c>
      <c r="E333" t="inlineStr">
        <is>
          <t>Calculation</t>
        </is>
      </c>
      <c r="F333" t="inlineStr">
        <is>
          <t>'=SUM(S23)</t>
        </is>
      </c>
      <c r="G333" t="n">
        <v>-543.3582964521364</v>
      </c>
      <c r="H333" t="inlineStr"/>
      <c r="I333" t="inlineStr">
        <is>
          <t>0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inlineStr">
        <is>
          <t>G000071</t>
        </is>
      </c>
      <c r="T333" t="inlineStr">
        <is>
          <t>Horizontal</t>
        </is>
      </c>
      <c r="U333" t="n">
        <v>5</v>
      </c>
      <c r="V333" t="b">
        <v>1</v>
      </c>
      <c r="W333" t="inlineStr">
        <is>
          <t>Financial Statements!O24:S24</t>
        </is>
      </c>
      <c r="X333">
        <f>SUM(R[-1]C[0])</f>
        <v/>
      </c>
    </row>
    <row r="334">
      <c r="A334" t="inlineStr">
        <is>
          <t>Financial Statements</t>
        </is>
      </c>
      <c r="B334" t="inlineStr">
        <is>
          <t>K25</t>
        </is>
      </c>
      <c r="C334" t="n">
        <v>25</v>
      </c>
      <c r="D334" t="n">
        <v>11</v>
      </c>
      <c r="E334" t="inlineStr">
        <is>
          <t>Input</t>
        </is>
      </c>
      <c r="F334" t="n">
        <v/>
      </c>
      <c r="G334" t="inlineStr">
        <is>
          <t>Cash flow from Financing</t>
        </is>
      </c>
      <c r="H334" t="inlineStr"/>
      <c r="I334" t="inlineStr">
        <is>
          <t>General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Financial Statements</t>
        </is>
      </c>
      <c r="B335" t="inlineStr">
        <is>
          <t>K26</t>
        </is>
      </c>
      <c r="C335" t="n">
        <v>26</v>
      </c>
      <c r="D335" t="n">
        <v>11</v>
      </c>
      <c r="E335" t="inlineStr">
        <is>
          <t>Input</t>
        </is>
      </c>
      <c r="F335" t="n">
        <v/>
      </c>
      <c r="G335" t="inlineStr">
        <is>
          <t>Equity</t>
        </is>
      </c>
      <c r="H335" t="inlineStr"/>
      <c r="I335" t="inlineStr">
        <is>
          <t>General</t>
        </is>
      </c>
      <c r="J335" t="b">
        <v>0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Financial Statements</t>
        </is>
      </c>
      <c r="B336" t="inlineStr">
        <is>
          <t>O26</t>
        </is>
      </c>
      <c r="C336" t="n">
        <v>26</v>
      </c>
      <c r="D336" t="n">
        <v>15</v>
      </c>
      <c r="E336" t="inlineStr">
        <is>
          <t>Input</t>
        </is>
      </c>
      <c r="F336" t="n">
        <v/>
      </c>
      <c r="G336" t="n">
        <v>0</v>
      </c>
      <c r="H336" t="inlineStr"/>
      <c r="I336" t="inlineStr">
        <is>
          <t>General</t>
        </is>
      </c>
      <c r="J336" t="b">
        <v>0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1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Financial Statements</t>
        </is>
      </c>
      <c r="B337" t="inlineStr">
        <is>
          <t>P26</t>
        </is>
      </c>
      <c r="C337" t="n">
        <v>26</v>
      </c>
      <c r="D337" t="n">
        <v>16</v>
      </c>
      <c r="E337" t="inlineStr">
        <is>
          <t>Input</t>
        </is>
      </c>
      <c r="F337" t="n">
        <v/>
      </c>
      <c r="G337" t="n">
        <v>0</v>
      </c>
      <c r="H337" t="inlineStr"/>
      <c r="I337" t="inlineStr">
        <is>
          <t>General</t>
        </is>
      </c>
      <c r="J337" t="b">
        <v>0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n">
        <v/>
      </c>
      <c r="T337" t="n">
        <v/>
      </c>
      <c r="U337" t="n">
        <v/>
      </c>
      <c r="V337" t="b">
        <v>0</v>
      </c>
      <c r="W337" t="inlineStr"/>
      <c r="X337" t="n">
        <v/>
      </c>
    </row>
    <row r="338">
      <c r="A338" t="inlineStr">
        <is>
          <t>Financial Statements</t>
        </is>
      </c>
      <c r="B338" t="inlineStr">
        <is>
          <t>Q26</t>
        </is>
      </c>
      <c r="C338" t="n">
        <v>26</v>
      </c>
      <c r="D338" t="n">
        <v>17</v>
      </c>
      <c r="E338" t="inlineStr">
        <is>
          <t>Input</t>
        </is>
      </c>
      <c r="F338" t="n">
        <v/>
      </c>
      <c r="G338" t="n">
        <v>0</v>
      </c>
      <c r="H338" t="inlineStr"/>
      <c r="I338" t="inlineStr">
        <is>
          <t>General</t>
        </is>
      </c>
      <c r="J338" t="b">
        <v>0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n">
        <v/>
      </c>
      <c r="T338" t="n">
        <v/>
      </c>
      <c r="U338" t="n">
        <v/>
      </c>
      <c r="V338" t="b">
        <v>0</v>
      </c>
      <c r="W338" t="inlineStr"/>
      <c r="X338" t="n">
        <v/>
      </c>
    </row>
    <row r="339">
      <c r="A339" t="inlineStr">
        <is>
          <t>Financial Statements</t>
        </is>
      </c>
      <c r="B339" t="inlineStr">
        <is>
          <t>R26</t>
        </is>
      </c>
      <c r="C339" t="n">
        <v>26</v>
      </c>
      <c r="D339" t="n">
        <v>18</v>
      </c>
      <c r="E339" t="inlineStr">
        <is>
          <t>Input</t>
        </is>
      </c>
      <c r="F339" t="n">
        <v/>
      </c>
      <c r="G339" t="n">
        <v>0</v>
      </c>
      <c r="H339" t="inlineStr"/>
      <c r="I339" t="inlineStr">
        <is>
          <t>General</t>
        </is>
      </c>
      <c r="J339" t="b">
        <v>0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n">
        <v/>
      </c>
      <c r="T339" t="n">
        <v/>
      </c>
      <c r="U339" t="n">
        <v/>
      </c>
      <c r="V339" t="b">
        <v>0</v>
      </c>
      <c r="W339" t="inlineStr"/>
      <c r="X339" t="n">
        <v/>
      </c>
    </row>
    <row r="340">
      <c r="A340" t="inlineStr">
        <is>
          <t>Financial Statements</t>
        </is>
      </c>
      <c r="B340" t="inlineStr">
        <is>
          <t>S26</t>
        </is>
      </c>
      <c r="C340" t="n">
        <v>26</v>
      </c>
      <c r="D340" t="n">
        <v>19</v>
      </c>
      <c r="E340" t="inlineStr">
        <is>
          <t>Input</t>
        </is>
      </c>
      <c r="F340" t="n">
        <v/>
      </c>
      <c r="G340" t="n">
        <v>0</v>
      </c>
      <c r="H340" t="inlineStr"/>
      <c r="I340" t="inlineStr">
        <is>
          <t>General</t>
        </is>
      </c>
      <c r="J340" t="b">
        <v>0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n">
        <v/>
      </c>
      <c r="T340" t="n">
        <v/>
      </c>
      <c r="U340" t="n">
        <v/>
      </c>
      <c r="V340" t="b">
        <v>0</v>
      </c>
      <c r="W340" t="inlineStr"/>
      <c r="X340" t="n">
        <v/>
      </c>
    </row>
    <row r="341">
      <c r="A341" t="inlineStr">
        <is>
          <t>Financial Statements</t>
        </is>
      </c>
      <c r="B341" t="inlineStr">
        <is>
          <t>K27</t>
        </is>
      </c>
      <c r="C341" t="n">
        <v>27</v>
      </c>
      <c r="D341" t="n">
        <v>11</v>
      </c>
      <c r="E341" t="inlineStr">
        <is>
          <t>Input</t>
        </is>
      </c>
      <c r="F341" t="n">
        <v/>
      </c>
      <c r="G341" t="inlineStr">
        <is>
          <t>Debt</t>
        </is>
      </c>
      <c r="H341" t="inlineStr"/>
      <c r="I341" t="inlineStr">
        <is>
          <t>General</t>
        </is>
      </c>
      <c r="J341" t="b">
        <v>0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n">
        <v/>
      </c>
      <c r="T341" t="n">
        <v/>
      </c>
      <c r="U341" t="n">
        <v/>
      </c>
      <c r="V341" t="b">
        <v>0</v>
      </c>
      <c r="W341" t="inlineStr"/>
      <c r="X341" t="n">
        <v/>
      </c>
    </row>
    <row r="342">
      <c r="A342" t="inlineStr">
        <is>
          <t>Financial Statements</t>
        </is>
      </c>
      <c r="B342" t="inlineStr">
        <is>
          <t>O27</t>
        </is>
      </c>
      <c r="C342" t="n">
        <v>27</v>
      </c>
      <c r="D342" t="n">
        <v>15</v>
      </c>
      <c r="E342" t="inlineStr">
        <is>
          <t>Input</t>
        </is>
      </c>
      <c r="F342" t="n">
        <v/>
      </c>
      <c r="G342" t="n">
        <v>0</v>
      </c>
      <c r="H342" t="inlineStr"/>
      <c r="I342" t="inlineStr">
        <is>
          <t>General</t>
        </is>
      </c>
      <c r="J342" t="b">
        <v>0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n">
        <v/>
      </c>
      <c r="T342" t="n">
        <v/>
      </c>
      <c r="U342" t="n">
        <v/>
      </c>
      <c r="V342" t="b">
        <v>0</v>
      </c>
      <c r="W342" t="inlineStr"/>
      <c r="X342" t="n">
        <v/>
      </c>
    </row>
    <row r="343">
      <c r="A343" t="inlineStr">
        <is>
          <t>Financial Statements</t>
        </is>
      </c>
      <c r="B343" t="inlineStr">
        <is>
          <t>P27</t>
        </is>
      </c>
      <c r="C343" t="n">
        <v>27</v>
      </c>
      <c r="D343" t="n">
        <v>16</v>
      </c>
      <c r="E343" t="inlineStr">
        <is>
          <t>Input</t>
        </is>
      </c>
      <c r="F343" t="n">
        <v/>
      </c>
      <c r="G343" t="n">
        <v>0</v>
      </c>
      <c r="H343" t="inlineStr"/>
      <c r="I343" t="inlineStr">
        <is>
          <t>General</t>
        </is>
      </c>
      <c r="J343" t="b">
        <v>0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n">
        <v/>
      </c>
      <c r="T343" t="n">
        <v/>
      </c>
      <c r="U343" t="n">
        <v/>
      </c>
      <c r="V343" t="b">
        <v>0</v>
      </c>
      <c r="W343" t="inlineStr"/>
      <c r="X343" t="n">
        <v/>
      </c>
    </row>
    <row r="344">
      <c r="A344" t="inlineStr">
        <is>
          <t>Financial Statements</t>
        </is>
      </c>
      <c r="B344" t="inlineStr">
        <is>
          <t>Q27</t>
        </is>
      </c>
      <c r="C344" t="n">
        <v>27</v>
      </c>
      <c r="D344" t="n">
        <v>17</v>
      </c>
      <c r="E344" t="inlineStr">
        <is>
          <t>Input</t>
        </is>
      </c>
      <c r="F344" t="n">
        <v/>
      </c>
      <c r="G344" t="n">
        <v>0</v>
      </c>
      <c r="H344" t="inlineStr"/>
      <c r="I344" t="inlineStr">
        <is>
          <t>General</t>
        </is>
      </c>
      <c r="J344" t="b">
        <v>0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Financial Statements</t>
        </is>
      </c>
      <c r="B345" t="inlineStr">
        <is>
          <t>R27</t>
        </is>
      </c>
      <c r="C345" t="n">
        <v>27</v>
      </c>
      <c r="D345" t="n">
        <v>18</v>
      </c>
      <c r="E345" t="inlineStr">
        <is>
          <t>Input</t>
        </is>
      </c>
      <c r="F345" t="n">
        <v/>
      </c>
      <c r="G345" t="n">
        <v>0</v>
      </c>
      <c r="H345" t="inlineStr"/>
      <c r="I345" t="inlineStr">
        <is>
          <t>General</t>
        </is>
      </c>
      <c r="J345" t="b">
        <v>0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1</v>
      </c>
      <c r="S345" t="n">
        <v/>
      </c>
      <c r="T345" t="n">
        <v/>
      </c>
      <c r="U345" t="n">
        <v/>
      </c>
      <c r="V345" t="b">
        <v>0</v>
      </c>
      <c r="W345" t="inlineStr"/>
      <c r="X345" t="n">
        <v/>
      </c>
    </row>
    <row r="346">
      <c r="A346" t="inlineStr">
        <is>
          <t>Financial Statements</t>
        </is>
      </c>
      <c r="B346" t="inlineStr">
        <is>
          <t>S27</t>
        </is>
      </c>
      <c r="C346" t="n">
        <v>27</v>
      </c>
      <c r="D346" t="n">
        <v>19</v>
      </c>
      <c r="E346" t="inlineStr">
        <is>
          <t>Input</t>
        </is>
      </c>
      <c r="F346" t="n">
        <v/>
      </c>
      <c r="G346" t="n">
        <v>0</v>
      </c>
      <c r="H346" t="inlineStr"/>
      <c r="I346" t="inlineStr">
        <is>
          <t>General</t>
        </is>
      </c>
      <c r="J346" t="b">
        <v>0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n">
        <v/>
      </c>
      <c r="T346" t="n">
        <v/>
      </c>
      <c r="U346" t="n">
        <v/>
      </c>
      <c r="V346" t="b">
        <v>0</v>
      </c>
      <c r="W346" t="inlineStr"/>
      <c r="X346" t="n">
        <v/>
      </c>
    </row>
    <row r="347">
      <c r="A347" t="inlineStr">
        <is>
          <t>Financial Statements</t>
        </is>
      </c>
      <c r="B347" t="inlineStr">
        <is>
          <t>K28</t>
        </is>
      </c>
      <c r="C347" t="n">
        <v>28</v>
      </c>
      <c r="D347" t="n">
        <v>11</v>
      </c>
      <c r="E347" t="inlineStr">
        <is>
          <t>Input</t>
        </is>
      </c>
      <c r="F347" t="n">
        <v/>
      </c>
      <c r="G347" t="inlineStr">
        <is>
          <t>Dividend</t>
        </is>
      </c>
      <c r="H347" t="inlineStr"/>
      <c r="I347" t="inlineStr">
        <is>
          <t>General</t>
        </is>
      </c>
      <c r="J347" t="b">
        <v>0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n">
        <v/>
      </c>
      <c r="T347" t="n">
        <v/>
      </c>
      <c r="U347" t="n">
        <v/>
      </c>
      <c r="V347" t="b">
        <v>0</v>
      </c>
      <c r="W347" t="inlineStr"/>
      <c r="X347" t="n">
        <v/>
      </c>
    </row>
    <row r="348">
      <c r="A348" t="inlineStr">
        <is>
          <t>Financial Statements</t>
        </is>
      </c>
      <c r="B348" t="inlineStr">
        <is>
          <t>L28</t>
        </is>
      </c>
      <c r="C348" t="n">
        <v>28</v>
      </c>
      <c r="D348" t="n">
        <v>12</v>
      </c>
      <c r="E348" t="inlineStr">
        <is>
          <t>Input</t>
        </is>
      </c>
      <c r="F348" t="n">
        <v/>
      </c>
      <c r="H348" t="inlineStr"/>
      <c r="I348" t="inlineStr">
        <is>
          <t>0</t>
        </is>
      </c>
      <c r="J348" t="b">
        <v>0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0</v>
      </c>
      <c r="S348" t="n">
        <v/>
      </c>
      <c r="T348" t="n">
        <v/>
      </c>
      <c r="U348" t="n">
        <v/>
      </c>
      <c r="V348" t="b">
        <v>0</v>
      </c>
      <c r="W348" t="inlineStr"/>
      <c r="X348" t="n">
        <v/>
      </c>
    </row>
    <row r="349">
      <c r="A349" t="inlineStr">
        <is>
          <t>Financial Statements</t>
        </is>
      </c>
      <c r="B349" t="inlineStr">
        <is>
          <t>M28</t>
        </is>
      </c>
      <c r="C349" t="n">
        <v>28</v>
      </c>
      <c r="D349" t="n">
        <v>13</v>
      </c>
      <c r="E349" t="inlineStr">
        <is>
          <t>Input</t>
        </is>
      </c>
      <c r="F349" t="n">
        <v/>
      </c>
      <c r="H349" t="inlineStr"/>
      <c r="I349" t="inlineStr">
        <is>
          <t>0</t>
        </is>
      </c>
      <c r="J349" t="b">
        <v>0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0</v>
      </c>
      <c r="S349" t="n">
        <v/>
      </c>
      <c r="T349" t="n">
        <v/>
      </c>
      <c r="U349" t="n">
        <v/>
      </c>
      <c r="V349" t="b">
        <v>0</v>
      </c>
      <c r="W349" t="inlineStr"/>
      <c r="X349" t="n">
        <v/>
      </c>
    </row>
    <row r="350">
      <c r="A350" t="inlineStr">
        <is>
          <t>Financial Statements</t>
        </is>
      </c>
      <c r="B350" t="inlineStr">
        <is>
          <t>N28</t>
        </is>
      </c>
      <c r="C350" t="n">
        <v>28</v>
      </c>
      <c r="D350" t="n">
        <v>14</v>
      </c>
      <c r="E350" t="inlineStr">
        <is>
          <t>Input</t>
        </is>
      </c>
      <c r="F350" t="n">
        <v/>
      </c>
      <c r="H350" t="inlineStr"/>
      <c r="I350" t="inlineStr">
        <is>
          <t>0</t>
        </is>
      </c>
      <c r="J350" t="b">
        <v>0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0</v>
      </c>
      <c r="S350" t="n">
        <v/>
      </c>
      <c r="T350" t="n">
        <v/>
      </c>
      <c r="U350" t="n">
        <v/>
      </c>
      <c r="V350" t="b">
        <v>0</v>
      </c>
      <c r="W350" t="inlineStr"/>
      <c r="X350" t="n">
        <v/>
      </c>
    </row>
    <row r="351">
      <c r="A351" t="inlineStr">
        <is>
          <t>Financial Statements</t>
        </is>
      </c>
      <c r="B351" t="inlineStr">
        <is>
          <t>O28</t>
        </is>
      </c>
      <c r="C351" t="n">
        <v>28</v>
      </c>
      <c r="D351" t="n">
        <v>15</v>
      </c>
      <c r="E351" t="inlineStr">
        <is>
          <t>Calculation</t>
        </is>
      </c>
      <c r="F351" t="inlineStr">
        <is>
          <t>'=-E19</t>
        </is>
      </c>
      <c r="G351" t="n">
        <v>-330.2459786511096</v>
      </c>
      <c r="H351" t="inlineStr"/>
      <c r="I351" t="inlineStr">
        <is>
          <t>0</t>
        </is>
      </c>
      <c r="J351" t="b">
        <v>0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G000072</t>
        </is>
      </c>
      <c r="T351" t="inlineStr">
        <is>
          <t>Horizontal</t>
        </is>
      </c>
      <c r="U351" t="n">
        <v>5</v>
      </c>
      <c r="V351" t="b">
        <v>1</v>
      </c>
      <c r="W351" t="inlineStr">
        <is>
          <t>Financial Statements!O28:S28</t>
        </is>
      </c>
      <c r="X351">
        <f>-R[-9]C[-10]</f>
        <v/>
      </c>
    </row>
    <row r="352">
      <c r="A352" t="inlineStr">
        <is>
          <t>Financial Statements</t>
        </is>
      </c>
      <c r="B352" t="inlineStr">
        <is>
          <t>P28</t>
        </is>
      </c>
      <c r="C352" t="n">
        <v>28</v>
      </c>
      <c r="D352" t="n">
        <v>16</v>
      </c>
      <c r="E352" t="inlineStr">
        <is>
          <t>Calculation</t>
        </is>
      </c>
      <c r="F352" t="inlineStr">
        <is>
          <t>'=-F19</t>
        </is>
      </c>
      <c r="G352" t="n">
        <v>-352.9131989645153</v>
      </c>
      <c r="H352" t="inlineStr"/>
      <c r="I352" t="inlineStr">
        <is>
          <t>0</t>
        </is>
      </c>
      <c r="J352" t="b">
        <v>0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inlineStr">
        <is>
          <t>G000072</t>
        </is>
      </c>
      <c r="T352" t="inlineStr">
        <is>
          <t>Horizontal</t>
        </is>
      </c>
      <c r="U352" t="n">
        <v>5</v>
      </c>
      <c r="V352" t="b">
        <v>1</v>
      </c>
      <c r="W352" t="inlineStr">
        <is>
          <t>Financial Statements!O28:S28</t>
        </is>
      </c>
      <c r="X352">
        <f>-R[-9]C[-10]</f>
        <v/>
      </c>
    </row>
    <row r="353">
      <c r="A353" t="inlineStr">
        <is>
          <t>Financial Statements</t>
        </is>
      </c>
      <c r="B353" t="inlineStr">
        <is>
          <t>Q28</t>
        </is>
      </c>
      <c r="C353" t="n">
        <v>28</v>
      </c>
      <c r="D353" t="n">
        <v>17</v>
      </c>
      <c r="E353" t="inlineStr">
        <is>
          <t>Calculation</t>
        </is>
      </c>
      <c r="F353" t="inlineStr">
        <is>
          <t>'=-G19</t>
        </is>
      </c>
      <c r="G353" t="n">
        <v>-373.9969089806679</v>
      </c>
      <c r="H353" t="inlineStr"/>
      <c r="I353" t="inlineStr">
        <is>
          <t>0</t>
        </is>
      </c>
      <c r="J353" t="b">
        <v>0</v>
      </c>
      <c r="K353" t="b">
        <v>0</v>
      </c>
      <c r="L353" t="n">
        <v>11</v>
      </c>
      <c r="M353" t="inlineStr">
        <is>
          <t>FF000000</t>
        </is>
      </c>
      <c r="N353" t="inlineStr">
        <is>
          <t>00000000</t>
        </is>
      </c>
      <c r="O353" t="n">
        <v/>
      </c>
      <c r="P353" t="n">
        <v/>
      </c>
      <c r="R353" t="b">
        <v>1</v>
      </c>
      <c r="S353" t="inlineStr">
        <is>
          <t>G000072</t>
        </is>
      </c>
      <c r="T353" t="inlineStr">
        <is>
          <t>Horizontal</t>
        </is>
      </c>
      <c r="U353" t="n">
        <v>5</v>
      </c>
      <c r="V353" t="b">
        <v>1</v>
      </c>
      <c r="W353" t="inlineStr">
        <is>
          <t>Financial Statements!O28:S28</t>
        </is>
      </c>
      <c r="X353">
        <f>-R[-9]C[-10]</f>
        <v/>
      </c>
    </row>
    <row r="354">
      <c r="A354" t="inlineStr">
        <is>
          <t>Financial Statements</t>
        </is>
      </c>
      <c r="B354" t="inlineStr">
        <is>
          <t>R28</t>
        </is>
      </c>
      <c r="C354" t="n">
        <v>28</v>
      </c>
      <c r="D354" t="n">
        <v>18</v>
      </c>
      <c r="E354" t="inlineStr">
        <is>
          <t>Calculation</t>
        </is>
      </c>
      <c r="F354" t="inlineStr">
        <is>
          <t>'=-H19</t>
        </is>
      </c>
      <c r="G354" t="n">
        <v>-393.4438960047458</v>
      </c>
      <c r="H354" t="inlineStr"/>
      <c r="I354" t="inlineStr">
        <is>
          <t>0</t>
        </is>
      </c>
      <c r="J354" t="b">
        <v>0</v>
      </c>
      <c r="K354" t="b">
        <v>0</v>
      </c>
      <c r="L354" t="n">
        <v>11</v>
      </c>
      <c r="M354" t="inlineStr">
        <is>
          <t>FF000000</t>
        </is>
      </c>
      <c r="N354" t="inlineStr">
        <is>
          <t>00000000</t>
        </is>
      </c>
      <c r="O354" t="n">
        <v/>
      </c>
      <c r="P354" t="n">
        <v/>
      </c>
      <c r="R354" t="b">
        <v>1</v>
      </c>
      <c r="S354" t="inlineStr">
        <is>
          <t>G000072</t>
        </is>
      </c>
      <c r="T354" t="inlineStr">
        <is>
          <t>Horizontal</t>
        </is>
      </c>
      <c r="U354" t="n">
        <v>5</v>
      </c>
      <c r="V354" t="b">
        <v>1</v>
      </c>
      <c r="W354" t="inlineStr">
        <is>
          <t>Financial Statements!O28:S28</t>
        </is>
      </c>
      <c r="X354">
        <f>-R[-9]C[-10]</f>
        <v/>
      </c>
    </row>
    <row r="355">
      <c r="A355" t="inlineStr">
        <is>
          <t>Financial Statements</t>
        </is>
      </c>
      <c r="B355" t="inlineStr">
        <is>
          <t>S28</t>
        </is>
      </c>
      <c r="C355" t="n">
        <v>28</v>
      </c>
      <c r="D355" t="n">
        <v>19</v>
      </c>
      <c r="E355" t="inlineStr">
        <is>
          <t>Calculation</t>
        </is>
      </c>
      <c r="F355" t="inlineStr">
        <is>
          <t>'=-I19</t>
        </is>
      </c>
      <c r="G355" t="n">
        <v>-411.1665285118231</v>
      </c>
      <c r="H355" t="inlineStr"/>
      <c r="I355" t="inlineStr">
        <is>
          <t>0</t>
        </is>
      </c>
      <c r="J355" t="b">
        <v>0</v>
      </c>
      <c r="K355" t="b">
        <v>0</v>
      </c>
      <c r="L355" t="n">
        <v>11</v>
      </c>
      <c r="M355" t="inlineStr">
        <is>
          <t>FF000000</t>
        </is>
      </c>
      <c r="N355" t="inlineStr">
        <is>
          <t>00000000</t>
        </is>
      </c>
      <c r="O355" t="n">
        <v/>
      </c>
      <c r="P355" t="n">
        <v/>
      </c>
      <c r="R355" t="b">
        <v>1</v>
      </c>
      <c r="S355" t="inlineStr">
        <is>
          <t>G000072</t>
        </is>
      </c>
      <c r="T355" t="inlineStr">
        <is>
          <t>Horizontal</t>
        </is>
      </c>
      <c r="U355" t="n">
        <v>5</v>
      </c>
      <c r="V355" t="b">
        <v>1</v>
      </c>
      <c r="W355" t="inlineStr">
        <is>
          <t>Financial Statements!O28:S28</t>
        </is>
      </c>
      <c r="X355">
        <f>-R[-9]C[-10]</f>
        <v/>
      </c>
    </row>
    <row r="356">
      <c r="A356" t="inlineStr">
        <is>
          <t>Financial Statements</t>
        </is>
      </c>
      <c r="B356" t="inlineStr">
        <is>
          <t>K29</t>
        </is>
      </c>
      <c r="C356" t="n">
        <v>29</v>
      </c>
      <c r="D356" t="n">
        <v>11</v>
      </c>
      <c r="E356" t="inlineStr">
        <is>
          <t>Input</t>
        </is>
      </c>
      <c r="F356" t="n">
        <v/>
      </c>
      <c r="G356" t="inlineStr">
        <is>
          <t>Interest</t>
        </is>
      </c>
      <c r="H356" t="inlineStr"/>
      <c r="I356" t="inlineStr">
        <is>
          <t>General</t>
        </is>
      </c>
      <c r="J356" t="b">
        <v>0</v>
      </c>
      <c r="K356" t="b">
        <v>0</v>
      </c>
      <c r="L356" t="n">
        <v>11</v>
      </c>
      <c r="M356" t="inlineStr">
        <is>
          <t>FF000000</t>
        </is>
      </c>
      <c r="N356" t="inlineStr">
        <is>
          <t>00000000</t>
        </is>
      </c>
      <c r="O356" t="n">
        <v/>
      </c>
      <c r="P356" t="n">
        <v/>
      </c>
      <c r="R356" t="b">
        <v>1</v>
      </c>
      <c r="S356" t="n">
        <v/>
      </c>
      <c r="T356" t="n">
        <v/>
      </c>
      <c r="U356" t="n">
        <v/>
      </c>
      <c r="V356" t="b">
        <v>0</v>
      </c>
      <c r="W356" t="inlineStr"/>
      <c r="X356" t="n">
        <v/>
      </c>
    </row>
    <row r="357">
      <c r="A357" t="inlineStr">
        <is>
          <t>Financial Statements</t>
        </is>
      </c>
      <c r="B357" t="inlineStr">
        <is>
          <t>L29</t>
        </is>
      </c>
      <c r="C357" t="n">
        <v>29</v>
      </c>
      <c r="D357" t="n">
        <v>12</v>
      </c>
      <c r="E357" t="inlineStr">
        <is>
          <t>Input</t>
        </is>
      </c>
      <c r="F357" t="n">
        <v/>
      </c>
      <c r="H357" t="inlineStr"/>
      <c r="I357" t="inlineStr">
        <is>
          <t>0</t>
        </is>
      </c>
      <c r="J357" t="b">
        <v>0</v>
      </c>
      <c r="K357" t="b">
        <v>0</v>
      </c>
      <c r="L357" t="n">
        <v>11</v>
      </c>
      <c r="M357" t="inlineStr">
        <is>
          <t>FF000000</t>
        </is>
      </c>
      <c r="N357" t="inlineStr">
        <is>
          <t>00000000</t>
        </is>
      </c>
      <c r="O357" t="n">
        <v/>
      </c>
      <c r="P357" t="n">
        <v/>
      </c>
      <c r="R357" t="b">
        <v>0</v>
      </c>
      <c r="S357" t="n">
        <v/>
      </c>
      <c r="T357" t="n">
        <v/>
      </c>
      <c r="U357" t="n">
        <v/>
      </c>
      <c r="V357" t="b">
        <v>0</v>
      </c>
      <c r="W357" t="inlineStr"/>
      <c r="X357" t="n">
        <v/>
      </c>
    </row>
    <row r="358">
      <c r="A358" t="inlineStr">
        <is>
          <t>Financial Statements</t>
        </is>
      </c>
      <c r="B358" t="inlineStr">
        <is>
          <t>M29</t>
        </is>
      </c>
      <c r="C358" t="n">
        <v>29</v>
      </c>
      <c r="D358" t="n">
        <v>13</v>
      </c>
      <c r="E358" t="inlineStr">
        <is>
          <t>Input</t>
        </is>
      </c>
      <c r="F358" t="n">
        <v/>
      </c>
      <c r="H358" t="inlineStr"/>
      <c r="I358" t="inlineStr">
        <is>
          <t>0</t>
        </is>
      </c>
      <c r="J358" t="b">
        <v>0</v>
      </c>
      <c r="K358" t="b">
        <v>0</v>
      </c>
      <c r="L358" t="n">
        <v>11</v>
      </c>
      <c r="M358" t="inlineStr">
        <is>
          <t>FF000000</t>
        </is>
      </c>
      <c r="N358" t="inlineStr">
        <is>
          <t>00000000</t>
        </is>
      </c>
      <c r="O358" t="n">
        <v/>
      </c>
      <c r="P358" t="n">
        <v/>
      </c>
      <c r="R358" t="b">
        <v>0</v>
      </c>
      <c r="S358" t="n">
        <v/>
      </c>
      <c r="T358" t="n">
        <v/>
      </c>
      <c r="U358" t="n">
        <v/>
      </c>
      <c r="V358" t="b">
        <v>0</v>
      </c>
      <c r="W358" t="inlineStr"/>
      <c r="X358" t="n">
        <v/>
      </c>
    </row>
    <row r="359">
      <c r="A359" t="inlineStr">
        <is>
          <t>Financial Statements</t>
        </is>
      </c>
      <c r="B359" t="inlineStr">
        <is>
          <t>N29</t>
        </is>
      </c>
      <c r="C359" t="n">
        <v>29</v>
      </c>
      <c r="D359" t="n">
        <v>14</v>
      </c>
      <c r="E359" t="inlineStr">
        <is>
          <t>Input</t>
        </is>
      </c>
      <c r="F359" t="n">
        <v/>
      </c>
      <c r="H359" t="inlineStr"/>
      <c r="I359" t="inlineStr">
        <is>
          <t>0</t>
        </is>
      </c>
      <c r="J359" t="b">
        <v>0</v>
      </c>
      <c r="K359" t="b">
        <v>0</v>
      </c>
      <c r="L359" t="n">
        <v>11</v>
      </c>
      <c r="M359" t="inlineStr">
        <is>
          <t>FF000000</t>
        </is>
      </c>
      <c r="N359" t="inlineStr">
        <is>
          <t>00000000</t>
        </is>
      </c>
      <c r="O359" t="n">
        <v/>
      </c>
      <c r="P359" t="n">
        <v/>
      </c>
      <c r="R359" t="b">
        <v>0</v>
      </c>
      <c r="S359" t="n">
        <v/>
      </c>
      <c r="T359" t="n">
        <v/>
      </c>
      <c r="U359" t="n">
        <v/>
      </c>
      <c r="V359" t="b">
        <v>0</v>
      </c>
      <c r="W359" t="inlineStr"/>
      <c r="X359" t="n">
        <v/>
      </c>
    </row>
    <row r="360">
      <c r="A360" t="inlineStr">
        <is>
          <t>Financial Statements</t>
        </is>
      </c>
      <c r="B360" t="inlineStr">
        <is>
          <t>O29</t>
        </is>
      </c>
      <c r="C360" t="n">
        <v>29</v>
      </c>
      <c r="D360" t="n">
        <v>15</v>
      </c>
      <c r="E360" t="inlineStr">
        <is>
          <t>Calculation</t>
        </is>
      </c>
      <c r="F360" t="inlineStr">
        <is>
          <t>'=-E13</t>
        </is>
      </c>
      <c r="G360" t="n">
        <v>-98.53</v>
      </c>
      <c r="H360" t="inlineStr"/>
      <c r="I360" t="inlineStr">
        <is>
          <t>0</t>
        </is>
      </c>
      <c r="J360" t="b">
        <v>0</v>
      </c>
      <c r="K360" t="b">
        <v>0</v>
      </c>
      <c r="L360" t="n">
        <v>11</v>
      </c>
      <c r="M360" t="inlineStr">
        <is>
          <t>FF000000</t>
        </is>
      </c>
      <c r="N360" t="inlineStr">
        <is>
          <t>00000000</t>
        </is>
      </c>
      <c r="O360" t="n">
        <v/>
      </c>
      <c r="P360" t="n">
        <v/>
      </c>
      <c r="R360" t="b">
        <v>1</v>
      </c>
      <c r="S360" t="inlineStr">
        <is>
          <t>G000073</t>
        </is>
      </c>
      <c r="T360" t="inlineStr">
        <is>
          <t>Horizontal</t>
        </is>
      </c>
      <c r="U360" t="n">
        <v>5</v>
      </c>
      <c r="V360" t="b">
        <v>1</v>
      </c>
      <c r="W360" t="inlineStr">
        <is>
          <t>Financial Statements!O29:S29</t>
        </is>
      </c>
      <c r="X360">
        <f>-R[-16]C[-10]</f>
        <v/>
      </c>
    </row>
    <row r="361">
      <c r="A361" t="inlineStr">
        <is>
          <t>Financial Statements</t>
        </is>
      </c>
      <c r="B361" t="inlineStr">
        <is>
          <t>P29</t>
        </is>
      </c>
      <c r="C361" t="n">
        <v>29</v>
      </c>
      <c r="D361" t="n">
        <v>16</v>
      </c>
      <c r="E361" t="inlineStr">
        <is>
          <t>Calculation</t>
        </is>
      </c>
      <c r="F361" t="inlineStr">
        <is>
          <t>'=-F13</t>
        </is>
      </c>
      <c r="G361" t="n">
        <v>-98.53</v>
      </c>
      <c r="H361" t="inlineStr"/>
      <c r="I361" t="inlineStr">
        <is>
          <t>0</t>
        </is>
      </c>
      <c r="J361" t="b">
        <v>0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inlineStr">
        <is>
          <t>G000073</t>
        </is>
      </c>
      <c r="T361" t="inlineStr">
        <is>
          <t>Horizontal</t>
        </is>
      </c>
      <c r="U361" t="n">
        <v>5</v>
      </c>
      <c r="V361" t="b">
        <v>1</v>
      </c>
      <c r="W361" t="inlineStr">
        <is>
          <t>Financial Statements!O29:S29</t>
        </is>
      </c>
      <c r="X361">
        <f>-R[-16]C[-10]</f>
        <v/>
      </c>
    </row>
    <row r="362">
      <c r="A362" t="inlineStr">
        <is>
          <t>Financial Statements</t>
        </is>
      </c>
      <c r="B362" t="inlineStr">
        <is>
          <t>Q29</t>
        </is>
      </c>
      <c r="C362" t="n">
        <v>29</v>
      </c>
      <c r="D362" t="n">
        <v>17</v>
      </c>
      <c r="E362" t="inlineStr">
        <is>
          <t>Calculation</t>
        </is>
      </c>
      <c r="F362" t="inlineStr">
        <is>
          <t>'=-G13</t>
        </is>
      </c>
      <c r="G362" t="n">
        <v>-98.53</v>
      </c>
      <c r="H362" t="inlineStr"/>
      <c r="I362" t="inlineStr">
        <is>
          <t>0</t>
        </is>
      </c>
      <c r="J362" t="b">
        <v>0</v>
      </c>
      <c r="K362" t="b">
        <v>0</v>
      </c>
      <c r="L362" t="n">
        <v>11</v>
      </c>
      <c r="M362" t="inlineStr">
        <is>
          <t>FF000000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inlineStr">
        <is>
          <t>G000073</t>
        </is>
      </c>
      <c r="T362" t="inlineStr">
        <is>
          <t>Horizontal</t>
        </is>
      </c>
      <c r="U362" t="n">
        <v>5</v>
      </c>
      <c r="V362" t="b">
        <v>1</v>
      </c>
      <c r="W362" t="inlineStr">
        <is>
          <t>Financial Statements!O29:S29</t>
        </is>
      </c>
      <c r="X362">
        <f>-R[-16]C[-10]</f>
        <v/>
      </c>
    </row>
    <row r="363">
      <c r="A363" t="inlineStr">
        <is>
          <t>Financial Statements</t>
        </is>
      </c>
      <c r="B363" t="inlineStr">
        <is>
          <t>R29</t>
        </is>
      </c>
      <c r="C363" t="n">
        <v>29</v>
      </c>
      <c r="D363" t="n">
        <v>18</v>
      </c>
      <c r="E363" t="inlineStr">
        <is>
          <t>Calculation</t>
        </is>
      </c>
      <c r="F363" t="inlineStr">
        <is>
          <t>'=-H13</t>
        </is>
      </c>
      <c r="G363" t="n">
        <v>-98.53</v>
      </c>
      <c r="H363" t="inlineStr"/>
      <c r="I363" t="inlineStr">
        <is>
          <t>0</t>
        </is>
      </c>
      <c r="J363" t="b">
        <v>0</v>
      </c>
      <c r="K363" t="b">
        <v>0</v>
      </c>
      <c r="L363" t="n">
        <v>11</v>
      </c>
      <c r="M363" t="inlineStr">
        <is>
          <t>FF000000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G000073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Financial Statements!O29:S29</t>
        </is>
      </c>
      <c r="X363">
        <f>-R[-16]C[-10]</f>
        <v/>
      </c>
    </row>
    <row r="364">
      <c r="A364" t="inlineStr">
        <is>
          <t>Financial Statements</t>
        </is>
      </c>
      <c r="B364" t="inlineStr">
        <is>
          <t>S29</t>
        </is>
      </c>
      <c r="C364" t="n">
        <v>29</v>
      </c>
      <c r="D364" t="n">
        <v>19</v>
      </c>
      <c r="E364" t="inlineStr">
        <is>
          <t>Calculation</t>
        </is>
      </c>
      <c r="F364" t="inlineStr">
        <is>
          <t>'=-I13</t>
        </is>
      </c>
      <c r="G364" t="n">
        <v>-98.53</v>
      </c>
      <c r="H364" t="inlineStr"/>
      <c r="I364" t="inlineStr">
        <is>
          <t>0</t>
        </is>
      </c>
      <c r="J364" t="b">
        <v>0</v>
      </c>
      <c r="K364" t="b">
        <v>0</v>
      </c>
      <c r="L364" t="n">
        <v>11</v>
      </c>
      <c r="M364" t="inlineStr">
        <is>
          <t>FF000000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G000073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Financial Statements!O29:S29</t>
        </is>
      </c>
      <c r="X364">
        <f>-R[-16]C[-10]</f>
        <v/>
      </c>
    </row>
    <row r="365">
      <c r="A365" t="inlineStr">
        <is>
          <t>Financial Statements</t>
        </is>
      </c>
      <c r="B365" t="inlineStr">
        <is>
          <t>L30</t>
        </is>
      </c>
      <c r="C365" t="n">
        <v>30</v>
      </c>
      <c r="D365" t="n">
        <v>12</v>
      </c>
      <c r="E365" t="inlineStr">
        <is>
          <t>Input</t>
        </is>
      </c>
      <c r="F365" t="n">
        <v/>
      </c>
      <c r="H365" t="inlineStr"/>
      <c r="I365" t="inlineStr">
        <is>
          <t>0</t>
        </is>
      </c>
      <c r="J365" t="b">
        <v>0</v>
      </c>
      <c r="K365" t="b">
        <v>0</v>
      </c>
      <c r="L365" t="n">
        <v>11</v>
      </c>
      <c r="M365" t="inlineStr">
        <is>
          <t>FF000000</t>
        </is>
      </c>
      <c r="N365" t="inlineStr">
        <is>
          <t>00000000</t>
        </is>
      </c>
      <c r="O365" t="n">
        <v/>
      </c>
      <c r="P365" t="n">
        <v/>
      </c>
      <c r="R365" t="b">
        <v>0</v>
      </c>
      <c r="S365" t="n">
        <v/>
      </c>
      <c r="T365" t="n">
        <v/>
      </c>
      <c r="U365" t="n">
        <v/>
      </c>
      <c r="V365" t="b">
        <v>0</v>
      </c>
      <c r="W365" t="inlineStr"/>
      <c r="X365" t="n">
        <v/>
      </c>
    </row>
    <row r="366">
      <c r="A366" t="inlineStr">
        <is>
          <t>Financial Statements</t>
        </is>
      </c>
      <c r="B366" t="inlineStr">
        <is>
          <t>M30</t>
        </is>
      </c>
      <c r="C366" t="n">
        <v>30</v>
      </c>
      <c r="D366" t="n">
        <v>13</v>
      </c>
      <c r="E366" t="inlineStr">
        <is>
          <t>Input</t>
        </is>
      </c>
      <c r="F366" t="n">
        <v/>
      </c>
      <c r="H366" t="inlineStr"/>
      <c r="I366" t="inlineStr">
        <is>
          <t>0</t>
        </is>
      </c>
      <c r="J366" t="b">
        <v>0</v>
      </c>
      <c r="K366" t="b">
        <v>0</v>
      </c>
      <c r="L366" t="n">
        <v>11</v>
      </c>
      <c r="M366" t="inlineStr">
        <is>
          <t>FF000000</t>
        </is>
      </c>
      <c r="N366" t="inlineStr">
        <is>
          <t>00000000</t>
        </is>
      </c>
      <c r="O366" t="n">
        <v/>
      </c>
      <c r="P366" t="n">
        <v/>
      </c>
      <c r="R366" t="b">
        <v>0</v>
      </c>
      <c r="S366" t="n">
        <v/>
      </c>
      <c r="T366" t="n">
        <v/>
      </c>
      <c r="U366" t="n">
        <v/>
      </c>
      <c r="V366" t="b">
        <v>0</v>
      </c>
      <c r="W366" t="inlineStr"/>
      <c r="X366" t="n">
        <v/>
      </c>
    </row>
    <row r="367">
      <c r="A367" t="inlineStr">
        <is>
          <t>Financial Statements</t>
        </is>
      </c>
      <c r="B367" t="inlineStr">
        <is>
          <t>N30</t>
        </is>
      </c>
      <c r="C367" t="n">
        <v>30</v>
      </c>
      <c r="D367" t="n">
        <v>14</v>
      </c>
      <c r="E367" t="inlineStr">
        <is>
          <t>Input</t>
        </is>
      </c>
      <c r="F367" t="n">
        <v/>
      </c>
      <c r="H367" t="inlineStr"/>
      <c r="I367" t="inlineStr">
        <is>
          <t>0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0</v>
      </c>
      <c r="S367" t="n">
        <v/>
      </c>
      <c r="T367" t="n">
        <v/>
      </c>
      <c r="U367" t="n">
        <v/>
      </c>
      <c r="V367" t="b">
        <v>0</v>
      </c>
      <c r="W367" t="inlineStr"/>
      <c r="X367" t="n">
        <v/>
      </c>
    </row>
    <row r="368">
      <c r="A368" t="inlineStr">
        <is>
          <t>Financial Statements</t>
        </is>
      </c>
      <c r="B368" t="inlineStr">
        <is>
          <t>O30</t>
        </is>
      </c>
      <c r="C368" t="n">
        <v>30</v>
      </c>
      <c r="D368" t="n">
        <v>15</v>
      </c>
      <c r="E368" t="inlineStr">
        <is>
          <t>Calculation</t>
        </is>
      </c>
      <c r="F368" t="inlineStr">
        <is>
          <t>'=SUM(O26:O29)</t>
        </is>
      </c>
      <c r="G368" t="n">
        <v>-428.7759786511095</v>
      </c>
      <c r="H368" t="inlineStr"/>
      <c r="I368" t="inlineStr">
        <is>
          <t>0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inlineStr">
        <is>
          <t>G000074</t>
        </is>
      </c>
      <c r="T368" t="inlineStr">
        <is>
          <t>Horizontal</t>
        </is>
      </c>
      <c r="U368" t="n">
        <v>5</v>
      </c>
      <c r="V368" t="b">
        <v>1</v>
      </c>
      <c r="W368" t="inlineStr">
        <is>
          <t>Financial Statements!O30:S30</t>
        </is>
      </c>
      <c r="X368">
        <f>SUM(R[-4]C[0]:R[-1]C[0])</f>
        <v/>
      </c>
    </row>
    <row r="369">
      <c r="A369" t="inlineStr">
        <is>
          <t>Financial Statements</t>
        </is>
      </c>
      <c r="B369" t="inlineStr">
        <is>
          <t>P30</t>
        </is>
      </c>
      <c r="C369" t="n">
        <v>30</v>
      </c>
      <c r="D369" t="n">
        <v>16</v>
      </c>
      <c r="E369" t="inlineStr">
        <is>
          <t>Calculation</t>
        </is>
      </c>
      <c r="F369" t="inlineStr">
        <is>
          <t>'=SUM(P26:P29)</t>
        </is>
      </c>
      <c r="G369" t="n">
        <v>-451.4431989645153</v>
      </c>
      <c r="H369" t="inlineStr"/>
      <c r="I369" t="inlineStr">
        <is>
          <t>0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inlineStr">
        <is>
          <t>G000074</t>
        </is>
      </c>
      <c r="T369" t="inlineStr">
        <is>
          <t>Horizontal</t>
        </is>
      </c>
      <c r="U369" t="n">
        <v>5</v>
      </c>
      <c r="V369" t="b">
        <v>1</v>
      </c>
      <c r="W369" t="inlineStr">
        <is>
          <t>Financial Statements!O30:S30</t>
        </is>
      </c>
      <c r="X369">
        <f>SUM(R[-4]C[0]:R[-1]C[0])</f>
        <v/>
      </c>
    </row>
    <row r="370">
      <c r="A370" t="inlineStr">
        <is>
          <t>Financial Statements</t>
        </is>
      </c>
      <c r="B370" t="inlineStr">
        <is>
          <t>Q30</t>
        </is>
      </c>
      <c r="C370" t="n">
        <v>30</v>
      </c>
      <c r="D370" t="n">
        <v>17</v>
      </c>
      <c r="E370" t="inlineStr">
        <is>
          <t>Calculation</t>
        </is>
      </c>
      <c r="F370" t="inlineStr">
        <is>
          <t>'=SUM(Q26:Q29)</t>
        </is>
      </c>
      <c r="G370" t="n">
        <v>-472.5269089806679</v>
      </c>
      <c r="H370" t="inlineStr"/>
      <c r="I370" t="inlineStr">
        <is>
          <t>0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G000074</t>
        </is>
      </c>
      <c r="T370" t="inlineStr">
        <is>
          <t>Horizontal</t>
        </is>
      </c>
      <c r="U370" t="n">
        <v>5</v>
      </c>
      <c r="V370" t="b">
        <v>1</v>
      </c>
      <c r="W370" t="inlineStr">
        <is>
          <t>Financial Statements!O30:S30</t>
        </is>
      </c>
      <c r="X370">
        <f>SUM(R[-4]C[0]:R[-1]C[0])</f>
        <v/>
      </c>
    </row>
    <row r="371">
      <c r="A371" t="inlineStr">
        <is>
          <t>Financial Statements</t>
        </is>
      </c>
      <c r="B371" t="inlineStr">
        <is>
          <t>R30</t>
        </is>
      </c>
      <c r="C371" t="n">
        <v>30</v>
      </c>
      <c r="D371" t="n">
        <v>18</v>
      </c>
      <c r="E371" t="inlineStr">
        <is>
          <t>Calculation</t>
        </is>
      </c>
      <c r="F371" t="inlineStr">
        <is>
          <t>'=SUM(R26:R29)</t>
        </is>
      </c>
      <c r="G371" t="n">
        <v>-491.9738960047458</v>
      </c>
      <c r="H371" t="inlineStr"/>
      <c r="I371" t="inlineStr">
        <is>
          <t>0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G000074</t>
        </is>
      </c>
      <c r="T371" t="inlineStr">
        <is>
          <t>Horizontal</t>
        </is>
      </c>
      <c r="U371" t="n">
        <v>5</v>
      </c>
      <c r="V371" t="b">
        <v>1</v>
      </c>
      <c r="W371" t="inlineStr">
        <is>
          <t>Financial Statements!O30:S30</t>
        </is>
      </c>
      <c r="X371">
        <f>SUM(R[-4]C[0]:R[-1]C[0])</f>
        <v/>
      </c>
    </row>
    <row r="372">
      <c r="A372" t="inlineStr">
        <is>
          <t>Financial Statements</t>
        </is>
      </c>
      <c r="B372" t="inlineStr">
        <is>
          <t>S30</t>
        </is>
      </c>
      <c r="C372" t="n">
        <v>30</v>
      </c>
      <c r="D372" t="n">
        <v>19</v>
      </c>
      <c r="E372" t="inlineStr">
        <is>
          <t>Calculation</t>
        </is>
      </c>
      <c r="F372" t="inlineStr">
        <is>
          <t>'=SUM(S26:S29)</t>
        </is>
      </c>
      <c r="G372" t="n">
        <v>-509.6965285118231</v>
      </c>
      <c r="H372" t="inlineStr"/>
      <c r="I372" t="inlineStr">
        <is>
          <t>0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G000074</t>
        </is>
      </c>
      <c r="T372" t="inlineStr">
        <is>
          <t>Horizontal</t>
        </is>
      </c>
      <c r="U372" t="n">
        <v>5</v>
      </c>
      <c r="V372" t="b">
        <v>1</v>
      </c>
      <c r="W372" t="inlineStr">
        <is>
          <t>Financial Statements!O30:S30</t>
        </is>
      </c>
      <c r="X372">
        <f>SUM(R[-4]C[0]:R[-1]C[0])</f>
        <v/>
      </c>
    </row>
    <row r="373">
      <c r="A373" t="inlineStr">
        <is>
          <t>Financial Statements</t>
        </is>
      </c>
      <c r="B373" t="inlineStr">
        <is>
          <t>K32</t>
        </is>
      </c>
      <c r="C373" t="n">
        <v>32</v>
      </c>
      <c r="D373" t="n">
        <v>11</v>
      </c>
      <c r="E373" t="inlineStr">
        <is>
          <t>Input</t>
        </is>
      </c>
      <c r="F373" t="n">
        <v/>
      </c>
      <c r="G373" t="inlineStr">
        <is>
          <t>Opening bal</t>
        </is>
      </c>
      <c r="H373" t="inlineStr"/>
      <c r="I373" t="inlineStr">
        <is>
          <t>General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n">
        <v/>
      </c>
      <c r="T373" t="n">
        <v/>
      </c>
      <c r="U373" t="n">
        <v/>
      </c>
      <c r="V373" t="b">
        <v>0</v>
      </c>
      <c r="W373" t="inlineStr"/>
      <c r="X373" t="n">
        <v/>
      </c>
    </row>
    <row r="374">
      <c r="A374" t="inlineStr">
        <is>
          <t>Financial Statements</t>
        </is>
      </c>
      <c r="B374" t="inlineStr">
        <is>
          <t>N32</t>
        </is>
      </c>
      <c r="C374" t="n">
        <v>32</v>
      </c>
      <c r="D374" t="n">
        <v>14</v>
      </c>
      <c r="E374" t="inlineStr">
        <is>
          <t>Input</t>
        </is>
      </c>
      <c r="F374" t="n">
        <v/>
      </c>
      <c r="G374" t="n">
        <v>1810</v>
      </c>
      <c r="H374" t="inlineStr"/>
      <c r="I374" t="inlineStr">
        <is>
          <t>General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n">
        <v/>
      </c>
      <c r="T374" t="n">
        <v/>
      </c>
      <c r="U374" t="n">
        <v/>
      </c>
      <c r="V374" t="b">
        <v>0</v>
      </c>
      <c r="W374" t="inlineStr"/>
      <c r="X374" t="n">
        <v/>
      </c>
    </row>
    <row r="375">
      <c r="A375" t="inlineStr">
        <is>
          <t>Financial Statements</t>
        </is>
      </c>
      <c r="B375" t="inlineStr">
        <is>
          <t>O32</t>
        </is>
      </c>
      <c r="C375" t="n">
        <v>32</v>
      </c>
      <c r="D375" t="n">
        <v>15</v>
      </c>
      <c r="E375" t="inlineStr">
        <is>
          <t>Calculation</t>
        </is>
      </c>
      <c r="F375" t="inlineStr">
        <is>
          <t>'=N34</t>
        </is>
      </c>
      <c r="G375" t="n">
        <v>2559.11</v>
      </c>
      <c r="H375" t="inlineStr"/>
      <c r="I375" t="inlineStr">
        <is>
          <t>0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inlineStr">
        <is>
          <t>G000075</t>
        </is>
      </c>
      <c r="T375" t="inlineStr">
        <is>
          <t>Horizontal</t>
        </is>
      </c>
      <c r="U375" t="n">
        <v>5</v>
      </c>
      <c r="V375" t="b">
        <v>1</v>
      </c>
      <c r="W375" t="inlineStr">
        <is>
          <t>Financial Statements!O32:S32</t>
        </is>
      </c>
      <c r="X375">
        <f>R[2]C[-1]</f>
        <v/>
      </c>
    </row>
    <row r="376">
      <c r="A376" t="inlineStr">
        <is>
          <t>Financial Statements</t>
        </is>
      </c>
      <c r="B376" t="inlineStr">
        <is>
          <t>P32</t>
        </is>
      </c>
      <c r="C376" t="n">
        <v>32</v>
      </c>
      <c r="D376" t="n">
        <v>16</v>
      </c>
      <c r="E376" t="inlineStr">
        <is>
          <t>Calculation</t>
        </is>
      </c>
      <c r="F376" t="inlineStr">
        <is>
          <t>'=O34</t>
        </is>
      </c>
      <c r="G376" t="n">
        <v>3143.421708963787</v>
      </c>
      <c r="H376" t="inlineStr"/>
      <c r="I376" t="inlineStr">
        <is>
          <t>0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inlineStr">
        <is>
          <t>G000075</t>
        </is>
      </c>
      <c r="T376" t="inlineStr">
        <is>
          <t>Horizontal</t>
        </is>
      </c>
      <c r="U376" t="n">
        <v>5</v>
      </c>
      <c r="V376" t="b">
        <v>1</v>
      </c>
      <c r="W376" t="inlineStr">
        <is>
          <t>Financial Statements!O32:S32</t>
        </is>
      </c>
      <c r="X376">
        <f>R[2]C[-1]</f>
        <v/>
      </c>
    </row>
    <row r="377">
      <c r="A377" t="inlineStr">
        <is>
          <t>Financial Statements</t>
        </is>
      </c>
      <c r="B377" t="inlineStr">
        <is>
          <t>Q32</t>
        </is>
      </c>
      <c r="C377" t="n">
        <v>32</v>
      </c>
      <c r="D377" t="n">
        <v>17</v>
      </c>
      <c r="E377" t="inlineStr">
        <is>
          <t>Calculation</t>
        </is>
      </c>
      <c r="F377" t="inlineStr">
        <is>
          <t>'=P34</t>
        </is>
      </c>
      <c r="G377" t="n">
        <v>3888.890718034904</v>
      </c>
      <c r="H377" t="inlineStr"/>
      <c r="I377" t="inlineStr">
        <is>
          <t>0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inlineStr">
        <is>
          <t>G000075</t>
        </is>
      </c>
      <c r="T377" t="inlineStr">
        <is>
          <t>Horizontal</t>
        </is>
      </c>
      <c r="U377" t="n">
        <v>5</v>
      </c>
      <c r="V377" t="b">
        <v>1</v>
      </c>
      <c r="W377" t="inlineStr">
        <is>
          <t>Financial Statements!O32:S32</t>
        </is>
      </c>
      <c r="X377">
        <f>R[2]C[-1]</f>
        <v/>
      </c>
    </row>
    <row r="378">
      <c r="A378" t="inlineStr">
        <is>
          <t>Financial Statements</t>
        </is>
      </c>
      <c r="B378" t="inlineStr">
        <is>
          <t>R32</t>
        </is>
      </c>
      <c r="C378" t="n">
        <v>32</v>
      </c>
      <c r="D378" t="n">
        <v>18</v>
      </c>
      <c r="E378" t="inlineStr">
        <is>
          <t>Calculation</t>
        </is>
      </c>
      <c r="F378" t="inlineStr">
        <is>
          <t>'=Q34</t>
        </is>
      </c>
      <c r="G378" t="n">
        <v>4626.195635123337</v>
      </c>
      <c r="H378" t="inlineStr"/>
      <c r="I378" t="inlineStr">
        <is>
          <t>0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inlineStr">
        <is>
          <t>G000075</t>
        </is>
      </c>
      <c r="T378" t="inlineStr">
        <is>
          <t>Horizontal</t>
        </is>
      </c>
      <c r="U378" t="n">
        <v>5</v>
      </c>
      <c r="V378" t="b">
        <v>1</v>
      </c>
      <c r="W378" t="inlineStr">
        <is>
          <t>Financial Statements!O32:S32</t>
        </is>
      </c>
      <c r="X378">
        <f>R[2]C[-1]</f>
        <v/>
      </c>
    </row>
    <row r="379">
      <c r="A379" t="inlineStr">
        <is>
          <t>Financial Statements</t>
        </is>
      </c>
      <c r="B379" t="inlineStr">
        <is>
          <t>S32</t>
        </is>
      </c>
      <c r="C379" t="n">
        <v>32</v>
      </c>
      <c r="D379" t="n">
        <v>19</v>
      </c>
      <c r="E379" t="inlineStr">
        <is>
          <t>Calculation</t>
        </is>
      </c>
      <c r="F379" t="inlineStr">
        <is>
          <t>'=R34</t>
        </is>
      </c>
      <c r="G379" t="n">
        <v>5354.223003271239</v>
      </c>
      <c r="H379" t="inlineStr"/>
      <c r="I379" t="inlineStr">
        <is>
          <t>0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inlineStr">
        <is>
          <t>G000075</t>
        </is>
      </c>
      <c r="T379" t="inlineStr">
        <is>
          <t>Horizontal</t>
        </is>
      </c>
      <c r="U379" t="n">
        <v>5</v>
      </c>
      <c r="V379" t="b">
        <v>1</v>
      </c>
      <c r="W379" t="inlineStr">
        <is>
          <t>Financial Statements!O32:S32</t>
        </is>
      </c>
      <c r="X379">
        <f>R[2]C[-1]</f>
        <v/>
      </c>
    </row>
    <row r="380">
      <c r="A380" t="inlineStr">
        <is>
          <t>Financial Statements</t>
        </is>
      </c>
      <c r="B380" t="inlineStr">
        <is>
          <t>K33</t>
        </is>
      </c>
      <c r="C380" t="n">
        <v>33</v>
      </c>
      <c r="D380" t="n">
        <v>11</v>
      </c>
      <c r="E380" t="inlineStr">
        <is>
          <t>Input</t>
        </is>
      </c>
      <c r="F380" t="n">
        <v/>
      </c>
      <c r="G380" t="inlineStr">
        <is>
          <t>Cash in</t>
        </is>
      </c>
      <c r="H380" t="inlineStr"/>
      <c r="I380" t="inlineStr">
        <is>
          <t>General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n">
        <v/>
      </c>
      <c r="T380" t="n">
        <v/>
      </c>
      <c r="U380" t="n">
        <v/>
      </c>
      <c r="V380" t="b">
        <v>0</v>
      </c>
      <c r="W380" t="inlineStr"/>
      <c r="X380" t="n">
        <v/>
      </c>
    </row>
    <row r="381">
      <c r="A381" t="inlineStr">
        <is>
          <t>Financial Statements</t>
        </is>
      </c>
      <c r="B381" t="inlineStr">
        <is>
          <t>N33</t>
        </is>
      </c>
      <c r="C381" t="n">
        <v>33</v>
      </c>
      <c r="D381" t="n">
        <v>14</v>
      </c>
      <c r="E381" t="inlineStr">
        <is>
          <t>Input</t>
        </is>
      </c>
      <c r="F381" t="n">
        <v/>
      </c>
      <c r="G381" t="n">
        <v>749.11</v>
      </c>
      <c r="H381" t="inlineStr"/>
      <c r="I381" t="inlineStr">
        <is>
          <t>_-* #,##0_-;\-* #,##0_-;_-* "-"??_-;_-@_-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n">
        <v/>
      </c>
      <c r="T381" t="n">
        <v/>
      </c>
      <c r="U381" t="n">
        <v/>
      </c>
      <c r="V381" t="b">
        <v>0</v>
      </c>
      <c r="W381" t="inlineStr"/>
      <c r="X381" t="n">
        <v/>
      </c>
    </row>
    <row r="382">
      <c r="A382" t="inlineStr">
        <is>
          <t>Financial Statements</t>
        </is>
      </c>
      <c r="B382" t="inlineStr">
        <is>
          <t>O33</t>
        </is>
      </c>
      <c r="C382" t="n">
        <v>33</v>
      </c>
      <c r="D382" t="n">
        <v>15</v>
      </c>
      <c r="E382" t="inlineStr">
        <is>
          <t>Calculation</t>
        </is>
      </c>
      <c r="F382" t="inlineStr">
        <is>
          <t>'=O21+O24+O30</t>
        </is>
      </c>
      <c r="G382" t="n">
        <v>584.3117089637869</v>
      </c>
      <c r="H382" t="inlineStr"/>
      <c r="I382" t="inlineStr">
        <is>
          <t>_-* #,##0_-;\-* #,##0_-;_-* "-"??_-;_-@_-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inlineStr">
        <is>
          <t>G000076</t>
        </is>
      </c>
      <c r="T382" t="inlineStr">
        <is>
          <t>Horizontal</t>
        </is>
      </c>
      <c r="U382" t="n">
        <v>5</v>
      </c>
      <c r="V382" t="b">
        <v>1</v>
      </c>
      <c r="W382" t="inlineStr">
        <is>
          <t>Financial Statements!O33:S33</t>
        </is>
      </c>
      <c r="X382">
        <f>R[-12]C[0]+R[-9]C[0]+R[-3]C[0]</f>
        <v/>
      </c>
    </row>
    <row r="383">
      <c r="A383" t="inlineStr">
        <is>
          <t>Financial Statements</t>
        </is>
      </c>
      <c r="B383" t="inlineStr">
        <is>
          <t>P33</t>
        </is>
      </c>
      <c r="C383" t="n">
        <v>33</v>
      </c>
      <c r="D383" t="n">
        <v>16</v>
      </c>
      <c r="E383" t="inlineStr">
        <is>
          <t>Calculation</t>
        </is>
      </c>
      <c r="F383" t="inlineStr">
        <is>
          <t>'=P21+P24+P30</t>
        </is>
      </c>
      <c r="G383" t="n">
        <v>745.4690090711168</v>
      </c>
      <c r="H383" t="inlineStr"/>
      <c r="I383" t="inlineStr">
        <is>
          <t>_-* #,##0_-;\-* #,##0_-;_-* "-"??_-;_-@_-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inlineStr">
        <is>
          <t>G000076</t>
        </is>
      </c>
      <c r="T383" t="inlineStr">
        <is>
          <t>Horizontal</t>
        </is>
      </c>
      <c r="U383" t="n">
        <v>5</v>
      </c>
      <c r="V383" t="b">
        <v>1</v>
      </c>
      <c r="W383" t="inlineStr">
        <is>
          <t>Financial Statements!O33:S33</t>
        </is>
      </c>
      <c r="X383">
        <f>R[-12]C[0]+R[-9]C[0]+R[-3]C[0]</f>
        <v/>
      </c>
    </row>
    <row r="384">
      <c r="A384" t="inlineStr">
        <is>
          <t>Financial Statements</t>
        </is>
      </c>
      <c r="B384" t="inlineStr">
        <is>
          <t>Q33</t>
        </is>
      </c>
      <c r="C384" t="n">
        <v>33</v>
      </c>
      <c r="D384" t="n">
        <v>17</v>
      </c>
      <c r="E384" t="inlineStr">
        <is>
          <t>Calculation</t>
        </is>
      </c>
      <c r="F384" t="inlineStr">
        <is>
          <t>'=Q21+Q24+Q30</t>
        </is>
      </c>
      <c r="G384" t="n">
        <v>737.3049170884326</v>
      </c>
      <c r="H384" t="inlineStr"/>
      <c r="I384" t="inlineStr">
        <is>
          <t>_-* #,##0_-;\-* #,##0_-;_-* "-"??_-;_-@_-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G000076</t>
        </is>
      </c>
      <c r="T384" t="inlineStr">
        <is>
          <t>Horizontal</t>
        </is>
      </c>
      <c r="U384" t="n">
        <v>5</v>
      </c>
      <c r="V384" t="b">
        <v>1</v>
      </c>
      <c r="W384" t="inlineStr">
        <is>
          <t>Financial Statements!O33:S33</t>
        </is>
      </c>
      <c r="X384">
        <f>R[-12]C[0]+R[-9]C[0]+R[-3]C[0]</f>
        <v/>
      </c>
    </row>
    <row r="385">
      <c r="A385" t="inlineStr">
        <is>
          <t>Financial Statements</t>
        </is>
      </c>
      <c r="B385" t="inlineStr">
        <is>
          <t>R33</t>
        </is>
      </c>
      <c r="C385" t="n">
        <v>33</v>
      </c>
      <c r="D385" t="n">
        <v>18</v>
      </c>
      <c r="E385" t="inlineStr">
        <is>
          <t>Calculation</t>
        </is>
      </c>
      <c r="F385" t="inlineStr">
        <is>
          <t>'=R21+R24+R30</t>
        </is>
      </c>
      <c r="G385" t="n">
        <v>728.0273681479019</v>
      </c>
      <c r="H385" t="inlineStr"/>
      <c r="I385" t="inlineStr">
        <is>
          <t>_-* #,##0_-;\-* #,##0_-;_-* "-"??_-;_-@_-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G000076</t>
        </is>
      </c>
      <c r="T385" t="inlineStr">
        <is>
          <t>Horizontal</t>
        </is>
      </c>
      <c r="U385" t="n">
        <v>5</v>
      </c>
      <c r="V385" t="b">
        <v>1</v>
      </c>
      <c r="W385" t="inlineStr">
        <is>
          <t>Financial Statements!O33:S33</t>
        </is>
      </c>
      <c r="X385">
        <f>R[-12]C[0]+R[-9]C[0]+R[-3]C[0]</f>
        <v/>
      </c>
    </row>
    <row r="386">
      <c r="A386" t="inlineStr">
        <is>
          <t>Financial Statements</t>
        </is>
      </c>
      <c r="B386" t="inlineStr">
        <is>
          <t>S33</t>
        </is>
      </c>
      <c r="C386" t="n">
        <v>33</v>
      </c>
      <c r="D386" t="n">
        <v>19</v>
      </c>
      <c r="E386" t="inlineStr">
        <is>
          <t>Calculation</t>
        </is>
      </c>
      <c r="F386" t="inlineStr">
        <is>
          <t>'=S21+S24+S30</t>
        </is>
      </c>
      <c r="G386" t="n">
        <v>717.072345384845</v>
      </c>
      <c r="H386" t="inlineStr"/>
      <c r="I386" t="inlineStr">
        <is>
          <t>_-* #,##0_-;\-* #,##0_-;_-* "-"??_-;_-@_-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G000076</t>
        </is>
      </c>
      <c r="T386" t="inlineStr">
        <is>
          <t>Horizontal</t>
        </is>
      </c>
      <c r="U386" t="n">
        <v>5</v>
      </c>
      <c r="V386" t="b">
        <v>1</v>
      </c>
      <c r="W386" t="inlineStr">
        <is>
          <t>Financial Statements!O33:S33</t>
        </is>
      </c>
      <c r="X386">
        <f>R[-12]C[0]+R[-9]C[0]+R[-3]C[0]</f>
        <v/>
      </c>
    </row>
    <row r="387">
      <c r="A387" t="inlineStr">
        <is>
          <t>Financial Statements</t>
        </is>
      </c>
      <c r="B387" t="inlineStr">
        <is>
          <t>K34</t>
        </is>
      </c>
      <c r="C387" t="n">
        <v>34</v>
      </c>
      <c r="D387" t="n">
        <v>11</v>
      </c>
      <c r="E387" t="inlineStr">
        <is>
          <t>Input</t>
        </is>
      </c>
      <c r="F387" t="n">
        <v/>
      </c>
      <c r="G387" t="inlineStr">
        <is>
          <t>Closing bal</t>
        </is>
      </c>
      <c r="H387" t="inlineStr"/>
      <c r="I387" t="inlineStr">
        <is>
          <t>General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n">
        <v/>
      </c>
      <c r="T387" t="n">
        <v/>
      </c>
      <c r="U387" t="n">
        <v/>
      </c>
      <c r="V387" t="b">
        <v>0</v>
      </c>
      <c r="W387" t="inlineStr"/>
      <c r="X387" t="n">
        <v/>
      </c>
    </row>
    <row r="388">
      <c r="A388" t="inlineStr">
        <is>
          <t>Financial Statements</t>
        </is>
      </c>
      <c r="B388" t="inlineStr">
        <is>
          <t>N34</t>
        </is>
      </c>
      <c r="C388" t="n">
        <v>34</v>
      </c>
      <c r="D388" t="n">
        <v>14</v>
      </c>
      <c r="E388" t="inlineStr">
        <is>
          <t>Calculation</t>
        </is>
      </c>
      <c r="F388" t="inlineStr">
        <is>
          <t>'=N32+N33</t>
        </is>
      </c>
      <c r="G388" t="n">
        <v>2559.11</v>
      </c>
      <c r="H388" t="inlineStr"/>
      <c r="I388" t="inlineStr">
        <is>
          <t>0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G000077</t>
        </is>
      </c>
      <c r="T388" t="inlineStr">
        <is>
          <t>Horizontal</t>
        </is>
      </c>
      <c r="U388" t="n">
        <v>6</v>
      </c>
      <c r="V388" t="b">
        <v>1</v>
      </c>
      <c r="W388" t="inlineStr">
        <is>
          <t>Financial Statements!N34:S34</t>
        </is>
      </c>
      <c r="X388">
        <f>R[-2]C[0]+R[-1]C[0]</f>
        <v/>
      </c>
    </row>
    <row r="389">
      <c r="A389" t="inlineStr">
        <is>
          <t>Financial Statements</t>
        </is>
      </c>
      <c r="B389" t="inlineStr">
        <is>
          <t>O34</t>
        </is>
      </c>
      <c r="C389" t="n">
        <v>34</v>
      </c>
      <c r="D389" t="n">
        <v>15</v>
      </c>
      <c r="E389" t="inlineStr">
        <is>
          <t>Calculation</t>
        </is>
      </c>
      <c r="F389" t="inlineStr">
        <is>
          <t>'=O32+O33</t>
        </is>
      </c>
      <c r="G389" t="n">
        <v>3143.421708963787</v>
      </c>
      <c r="H389" t="inlineStr"/>
      <c r="I389" t="inlineStr">
        <is>
          <t>0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inlineStr">
        <is>
          <t>G000077</t>
        </is>
      </c>
      <c r="T389" t="inlineStr">
        <is>
          <t>Horizontal</t>
        </is>
      </c>
      <c r="U389" t="n">
        <v>6</v>
      </c>
      <c r="V389" t="b">
        <v>1</v>
      </c>
      <c r="W389" t="inlineStr">
        <is>
          <t>Financial Statements!N34:S34</t>
        </is>
      </c>
      <c r="X389">
        <f>R[-2]C[0]+R[-1]C[0]</f>
        <v/>
      </c>
    </row>
    <row r="390">
      <c r="A390" t="inlineStr">
        <is>
          <t>Financial Statements</t>
        </is>
      </c>
      <c r="B390" t="inlineStr">
        <is>
          <t>P34</t>
        </is>
      </c>
      <c r="C390" t="n">
        <v>34</v>
      </c>
      <c r="D390" t="n">
        <v>16</v>
      </c>
      <c r="E390" t="inlineStr">
        <is>
          <t>Calculation</t>
        </is>
      </c>
      <c r="F390" t="inlineStr">
        <is>
          <t>'=P32+P33</t>
        </is>
      </c>
      <c r="G390" t="n">
        <v>3888.890718034904</v>
      </c>
      <c r="H390" t="inlineStr"/>
      <c r="I390" t="inlineStr">
        <is>
          <t>0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inlineStr">
        <is>
          <t>G000077</t>
        </is>
      </c>
      <c r="T390" t="inlineStr">
        <is>
          <t>Horizontal</t>
        </is>
      </c>
      <c r="U390" t="n">
        <v>6</v>
      </c>
      <c r="V390" t="b">
        <v>1</v>
      </c>
      <c r="W390" t="inlineStr">
        <is>
          <t>Financial Statements!N34:S34</t>
        </is>
      </c>
      <c r="X390">
        <f>R[-2]C[0]+R[-1]C[0]</f>
        <v/>
      </c>
    </row>
    <row r="391">
      <c r="A391" t="inlineStr">
        <is>
          <t>Financial Statements</t>
        </is>
      </c>
      <c r="B391" t="inlineStr">
        <is>
          <t>Q34</t>
        </is>
      </c>
      <c r="C391" t="n">
        <v>34</v>
      </c>
      <c r="D391" t="n">
        <v>17</v>
      </c>
      <c r="E391" t="inlineStr">
        <is>
          <t>Calculation</t>
        </is>
      </c>
      <c r="F391" t="inlineStr">
        <is>
          <t>'=Q32+Q33</t>
        </is>
      </c>
      <c r="G391" t="n">
        <v>4626.195635123337</v>
      </c>
      <c r="H391" t="inlineStr"/>
      <c r="I391" t="inlineStr">
        <is>
          <t>0</t>
        </is>
      </c>
      <c r="J391" t="b">
        <v>0</v>
      </c>
      <c r="K391" t="b">
        <v>0</v>
      </c>
      <c r="L391" t="n">
        <v>11</v>
      </c>
      <c r="M391" t="inlineStr">
        <is>
          <t>FF000000</t>
        </is>
      </c>
      <c r="N391" t="inlineStr">
        <is>
          <t>00000000</t>
        </is>
      </c>
      <c r="O391" t="n">
        <v/>
      </c>
      <c r="P391" t="n">
        <v/>
      </c>
      <c r="R391" t="b">
        <v>1</v>
      </c>
      <c r="S391" t="inlineStr">
        <is>
          <t>G000077</t>
        </is>
      </c>
      <c r="T391" t="inlineStr">
        <is>
          <t>Horizontal</t>
        </is>
      </c>
      <c r="U391" t="n">
        <v>6</v>
      </c>
      <c r="V391" t="b">
        <v>1</v>
      </c>
      <c r="W391" t="inlineStr">
        <is>
          <t>Financial Statements!N34:S34</t>
        </is>
      </c>
      <c r="X391">
        <f>R[-2]C[0]+R[-1]C[0]</f>
        <v/>
      </c>
    </row>
    <row r="392">
      <c r="A392" t="inlineStr">
        <is>
          <t>Financial Statements</t>
        </is>
      </c>
      <c r="B392" t="inlineStr">
        <is>
          <t>R34</t>
        </is>
      </c>
      <c r="C392" t="n">
        <v>34</v>
      </c>
      <c r="D392" t="n">
        <v>18</v>
      </c>
      <c r="E392" t="inlineStr">
        <is>
          <t>Calculation</t>
        </is>
      </c>
      <c r="F392" t="inlineStr">
        <is>
          <t>'=R32+R33</t>
        </is>
      </c>
      <c r="G392" t="n">
        <v>5354.223003271239</v>
      </c>
      <c r="H392" t="inlineStr"/>
      <c r="I392" t="inlineStr">
        <is>
          <t>0</t>
        </is>
      </c>
      <c r="J392" t="b">
        <v>0</v>
      </c>
      <c r="K392" t="b">
        <v>0</v>
      </c>
      <c r="L392" t="n">
        <v>11</v>
      </c>
      <c r="M392" t="inlineStr">
        <is>
          <t>FF000000</t>
        </is>
      </c>
      <c r="N392" t="inlineStr">
        <is>
          <t>00000000</t>
        </is>
      </c>
      <c r="O392" t="n">
        <v/>
      </c>
      <c r="P392" t="n">
        <v/>
      </c>
      <c r="R392" t="b">
        <v>1</v>
      </c>
      <c r="S392" t="inlineStr">
        <is>
          <t>G000077</t>
        </is>
      </c>
      <c r="T392" t="inlineStr">
        <is>
          <t>Horizontal</t>
        </is>
      </c>
      <c r="U392" t="n">
        <v>6</v>
      </c>
      <c r="V392" t="b">
        <v>1</v>
      </c>
      <c r="W392" t="inlineStr">
        <is>
          <t>Financial Statements!N34:S34</t>
        </is>
      </c>
      <c r="X392">
        <f>R[-2]C[0]+R[-1]C[0]</f>
        <v/>
      </c>
    </row>
    <row r="393">
      <c r="A393" t="inlineStr">
        <is>
          <t>Financial Statements</t>
        </is>
      </c>
      <c r="B393" t="inlineStr">
        <is>
          <t>S34</t>
        </is>
      </c>
      <c r="C393" t="n">
        <v>34</v>
      </c>
      <c r="D393" t="n">
        <v>19</v>
      </c>
      <c r="E393" t="inlineStr">
        <is>
          <t>Calculation</t>
        </is>
      </c>
      <c r="F393" t="inlineStr">
        <is>
          <t>'=S32+S33</t>
        </is>
      </c>
      <c r="G393" t="n">
        <v>6071.295348656084</v>
      </c>
      <c r="H393" t="inlineStr"/>
      <c r="I393" t="inlineStr">
        <is>
          <t>0</t>
        </is>
      </c>
      <c r="J393" t="b">
        <v>0</v>
      </c>
      <c r="K393" t="b">
        <v>0</v>
      </c>
      <c r="L393" t="n">
        <v>11</v>
      </c>
      <c r="M393" t="inlineStr">
        <is>
          <t>FF000000</t>
        </is>
      </c>
      <c r="N393" t="inlineStr">
        <is>
          <t>00000000</t>
        </is>
      </c>
      <c r="O393" t="n">
        <v/>
      </c>
      <c r="P393" t="n">
        <v/>
      </c>
      <c r="R393" t="b">
        <v>1</v>
      </c>
      <c r="S393" t="inlineStr">
        <is>
          <t>G000077</t>
        </is>
      </c>
      <c r="T393" t="inlineStr">
        <is>
          <t>Horizontal</t>
        </is>
      </c>
      <c r="U393" t="n">
        <v>6</v>
      </c>
      <c r="V393" t="b">
        <v>1</v>
      </c>
      <c r="W393" t="inlineStr">
        <is>
          <t>Financial Statements!N34:S34</t>
        </is>
      </c>
      <c r="X393">
        <f>R[-2]C[0]+R[-1]C[0]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Asset schedule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Freehold Non Mining Land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n">
        <v/>
      </c>
      <c r="P2" t="n">
        <v/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Asset schedule</t>
        </is>
      </c>
      <c r="B3" t="inlineStr">
        <is>
          <t>B1</t>
        </is>
      </c>
      <c r="C3" t="n">
        <v>1</v>
      </c>
      <c r="D3" t="n">
        <v>2</v>
      </c>
      <c r="E3" t="inlineStr">
        <is>
          <t>Input</t>
        </is>
      </c>
      <c r="F3" t="n">
        <v/>
      </c>
      <c r="G3" t="n">
        <v>2015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Asset schedule</t>
        </is>
      </c>
      <c r="B4" t="inlineStr">
        <is>
          <t>C1</t>
        </is>
      </c>
      <c r="C4" t="n">
        <v>1</v>
      </c>
      <c r="D4" t="n">
        <v>3</v>
      </c>
      <c r="E4" t="inlineStr">
        <is>
          <t>Input</t>
        </is>
      </c>
      <c r="F4" t="n">
        <v/>
      </c>
      <c r="G4" t="n">
        <v>2016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Asset schedule</t>
        </is>
      </c>
      <c r="B5" t="inlineStr">
        <is>
          <t>D1</t>
        </is>
      </c>
      <c r="C5" t="n">
        <v>1</v>
      </c>
      <c r="D5" t="n">
        <v>4</v>
      </c>
      <c r="E5" t="inlineStr">
        <is>
          <t>Input</t>
        </is>
      </c>
      <c r="F5" t="n">
        <v/>
      </c>
      <c r="G5" t="n">
        <v>2017</v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Asset schedule</t>
        </is>
      </c>
      <c r="B6" t="inlineStr">
        <is>
          <t>E1</t>
        </is>
      </c>
      <c r="C6" t="n">
        <v>1</v>
      </c>
      <c r="D6" t="n">
        <v>5</v>
      </c>
      <c r="E6" t="inlineStr">
        <is>
          <t>Input</t>
        </is>
      </c>
      <c r="F6" t="n">
        <v/>
      </c>
      <c r="G6" t="inlineStr">
        <is>
          <t>2018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Asset schedule</t>
        </is>
      </c>
      <c r="B7" t="inlineStr">
        <is>
          <t>F1</t>
        </is>
      </c>
      <c r="C7" t="n">
        <v>1</v>
      </c>
      <c r="D7" t="n">
        <v>6</v>
      </c>
      <c r="E7" t="inlineStr">
        <is>
          <t>Input</t>
        </is>
      </c>
      <c r="F7" t="n">
        <v/>
      </c>
      <c r="G7" t="inlineStr">
        <is>
          <t>2019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Asset schedule</t>
        </is>
      </c>
      <c r="B8" t="inlineStr">
        <is>
          <t>G1</t>
        </is>
      </c>
      <c r="C8" t="n">
        <v>1</v>
      </c>
      <c r="D8" t="n">
        <v>7</v>
      </c>
      <c r="E8" t="inlineStr">
        <is>
          <t>Input</t>
        </is>
      </c>
      <c r="F8" t="n">
        <v/>
      </c>
      <c r="G8" t="inlineStr">
        <is>
          <t>2020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Asset schedule</t>
        </is>
      </c>
      <c r="B9" t="inlineStr">
        <is>
          <t>H1</t>
        </is>
      </c>
      <c r="C9" t="n">
        <v>1</v>
      </c>
      <c r="D9" t="n">
        <v>8</v>
      </c>
      <c r="E9" t="inlineStr">
        <is>
          <t>Input</t>
        </is>
      </c>
      <c r="F9" t="n">
        <v/>
      </c>
      <c r="G9" t="inlineStr">
        <is>
          <t>2021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Asset schedule</t>
        </is>
      </c>
      <c r="B10" t="inlineStr">
        <is>
          <t>I1</t>
        </is>
      </c>
      <c r="C10" t="n">
        <v>1</v>
      </c>
      <c r="D10" t="n">
        <v>9</v>
      </c>
      <c r="E10" t="inlineStr">
        <is>
          <t>Input</t>
        </is>
      </c>
      <c r="F10" t="n">
        <v/>
      </c>
      <c r="G10" t="inlineStr">
        <is>
          <t>2022 F</t>
        </is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Values must be of type &lt;class 'str'&gt;</t>
        </is>
      </c>
      <c r="N10" t="inlineStr">
        <is>
          <t>Values must be of type &lt;class 'str'&gt;</t>
        </is>
      </c>
      <c r="O10" t="inlineStr">
        <is>
          <t>center</t>
        </is>
      </c>
      <c r="P10" t="inlineStr">
        <is>
          <t>center</t>
        </is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Asset schedule</t>
        </is>
      </c>
      <c r="B11" t="inlineStr">
        <is>
          <t>O1</t>
        </is>
      </c>
      <c r="C11" t="n">
        <v>1</v>
      </c>
      <c r="D11" t="n">
        <v>15</v>
      </c>
      <c r="E11" t="inlineStr">
        <is>
          <t>Input</t>
        </is>
      </c>
      <c r="F11" t="n">
        <v/>
      </c>
      <c r="G11" t="n">
        <v>2017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Values must be of type &lt;class 'str'&gt;</t>
        </is>
      </c>
      <c r="N11" t="inlineStr">
        <is>
          <t>Values must be of type &lt;class 'str'&gt;</t>
        </is>
      </c>
      <c r="O11" t="inlineStr">
        <is>
          <t>center</t>
        </is>
      </c>
      <c r="P11" t="inlineStr">
        <is>
          <t>center</t>
        </is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Asset schedule</t>
        </is>
      </c>
      <c r="B12" t="inlineStr">
        <is>
          <t>P1</t>
        </is>
      </c>
      <c r="C12" t="n">
        <v>1</v>
      </c>
      <c r="D12" t="n">
        <v>16</v>
      </c>
      <c r="E12" t="inlineStr">
        <is>
          <t>Input</t>
        </is>
      </c>
      <c r="F12" t="n">
        <v/>
      </c>
      <c r="G12" t="inlineStr">
        <is>
          <t>2018 F</t>
        </is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Values must be of type &lt;class 'str'&gt;</t>
        </is>
      </c>
      <c r="N12" t="inlineStr">
        <is>
          <t>Values must be of type &lt;class 'str'&gt;</t>
        </is>
      </c>
      <c r="O12" t="inlineStr">
        <is>
          <t>center</t>
        </is>
      </c>
      <c r="P12" t="inlineStr">
        <is>
          <t>center</t>
        </is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Asset schedule</t>
        </is>
      </c>
      <c r="B13" t="inlineStr">
        <is>
          <t>Q1</t>
        </is>
      </c>
      <c r="C13" t="n">
        <v>1</v>
      </c>
      <c r="D13" t="n">
        <v>17</v>
      </c>
      <c r="E13" t="inlineStr">
        <is>
          <t>Input</t>
        </is>
      </c>
      <c r="F13" t="n">
        <v/>
      </c>
      <c r="G13" t="inlineStr">
        <is>
          <t>2019 F</t>
        </is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Values must be of type &lt;class 'str'&gt;</t>
        </is>
      </c>
      <c r="N13" t="inlineStr">
        <is>
          <t>Values must be of type &lt;class 'str'&gt;</t>
        </is>
      </c>
      <c r="O13" t="inlineStr">
        <is>
          <t>center</t>
        </is>
      </c>
      <c r="P13" t="inlineStr">
        <is>
          <t>center</t>
        </is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Asset schedule</t>
        </is>
      </c>
      <c r="B14" t="inlineStr">
        <is>
          <t>R1</t>
        </is>
      </c>
      <c r="C14" t="n">
        <v>1</v>
      </c>
      <c r="D14" t="n">
        <v>18</v>
      </c>
      <c r="E14" t="inlineStr">
        <is>
          <t>Input</t>
        </is>
      </c>
      <c r="F14" t="n">
        <v/>
      </c>
      <c r="G14" t="inlineStr">
        <is>
          <t>2020 F</t>
        </is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Values must be of type &lt;class 'str'&gt;</t>
        </is>
      </c>
      <c r="N14" t="inlineStr">
        <is>
          <t>Values must be of type &lt;class 'str'&gt;</t>
        </is>
      </c>
      <c r="O14" t="inlineStr">
        <is>
          <t>center</t>
        </is>
      </c>
      <c r="P14" t="inlineStr">
        <is>
          <t>center</t>
        </is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Asset schedule</t>
        </is>
      </c>
      <c r="B15" t="inlineStr">
        <is>
          <t>S1</t>
        </is>
      </c>
      <c r="C15" t="n">
        <v>1</v>
      </c>
      <c r="D15" t="n">
        <v>19</v>
      </c>
      <c r="E15" t="inlineStr">
        <is>
          <t>Input</t>
        </is>
      </c>
      <c r="F15" t="n">
        <v/>
      </c>
      <c r="G15" t="inlineStr">
        <is>
          <t>2021 F</t>
        </is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Values must be of type &lt;class 'str'&gt;</t>
        </is>
      </c>
      <c r="N15" t="inlineStr">
        <is>
          <t>Values must be of type &lt;class 'str'&gt;</t>
        </is>
      </c>
      <c r="O15" t="inlineStr">
        <is>
          <t>center</t>
        </is>
      </c>
      <c r="P15" t="inlineStr">
        <is>
          <t>center</t>
        </is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Asset schedule</t>
        </is>
      </c>
      <c r="B16" t="inlineStr">
        <is>
          <t>T1</t>
        </is>
      </c>
      <c r="C16" t="n">
        <v>1</v>
      </c>
      <c r="D16" t="n">
        <v>20</v>
      </c>
      <c r="E16" t="inlineStr">
        <is>
          <t>Input</t>
        </is>
      </c>
      <c r="F16" t="n">
        <v/>
      </c>
      <c r="G16" t="inlineStr">
        <is>
          <t>2022 F</t>
        </is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Values must be of type &lt;class 'str'&gt;</t>
        </is>
      </c>
      <c r="N16" t="inlineStr">
        <is>
          <t>Values must be of type &lt;class 'str'&gt;</t>
        </is>
      </c>
      <c r="O16" t="inlineStr">
        <is>
          <t>center</t>
        </is>
      </c>
      <c r="P16" t="inlineStr">
        <is>
          <t>center</t>
        </is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Asset schedule</t>
        </is>
      </c>
      <c r="B17" t="inlineStr">
        <is>
          <t>A2</t>
        </is>
      </c>
      <c r="C17" t="n">
        <v>2</v>
      </c>
      <c r="D17" t="n">
        <v>1</v>
      </c>
      <c r="E17" t="inlineStr">
        <is>
          <t>Input</t>
        </is>
      </c>
      <c r="F17" t="n">
        <v/>
      </c>
      <c r="G17" t="inlineStr">
        <is>
          <t>Opening balance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Asset schedule</t>
        </is>
      </c>
      <c r="B18" t="inlineStr">
        <is>
          <t>D2</t>
        </is>
      </c>
      <c r="C18" t="n">
        <v>2</v>
      </c>
      <c r="D18" t="n">
        <v>4</v>
      </c>
      <c r="E18" t="inlineStr">
        <is>
          <t>Input</t>
        </is>
      </c>
      <c r="F18" t="n">
        <v/>
      </c>
      <c r="G18" t="n">
        <v>130.61</v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Asset schedule</t>
        </is>
      </c>
      <c r="B19" t="inlineStr">
        <is>
          <t>E2</t>
        </is>
      </c>
      <c r="C19" t="n">
        <v>2</v>
      </c>
      <c r="D19" t="n">
        <v>5</v>
      </c>
      <c r="E19" t="inlineStr">
        <is>
          <t>Calculation</t>
        </is>
      </c>
      <c r="F19" t="inlineStr">
        <is>
          <t>'=D6</t>
        </is>
      </c>
      <c r="G19" t="n">
        <v>130.61</v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inlineStr">
        <is>
          <t>G000078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Asset schedule!E2:I2</t>
        </is>
      </c>
      <c r="X19">
        <f>R[4]C[-1]</f>
        <v/>
      </c>
    </row>
    <row r="20">
      <c r="A20" t="inlineStr">
        <is>
          <t>Asset schedule</t>
        </is>
      </c>
      <c r="B20" t="inlineStr">
        <is>
          <t>F2</t>
        </is>
      </c>
      <c r="C20" t="n">
        <v>2</v>
      </c>
      <c r="D20" t="n">
        <v>6</v>
      </c>
      <c r="E20" t="inlineStr">
        <is>
          <t>Calculation</t>
        </is>
      </c>
      <c r="F20" t="inlineStr">
        <is>
          <t>'=E6</t>
        </is>
      </c>
      <c r="G20" t="n">
        <v>130.61</v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G000078</t>
        </is>
      </c>
      <c r="T20" t="inlineStr">
        <is>
          <t>Horizontal</t>
        </is>
      </c>
      <c r="U20" t="n">
        <v>5</v>
      </c>
      <c r="V20" t="b">
        <v>1</v>
      </c>
      <c r="W20" t="inlineStr">
        <is>
          <t>Asset schedule!E2:I2</t>
        </is>
      </c>
      <c r="X20">
        <f>R[4]C[-1]</f>
        <v/>
      </c>
    </row>
    <row r="21">
      <c r="A21" t="inlineStr">
        <is>
          <t>Asset schedule</t>
        </is>
      </c>
      <c r="B21" t="inlineStr">
        <is>
          <t>G2</t>
        </is>
      </c>
      <c r="C21" t="n">
        <v>2</v>
      </c>
      <c r="D21" t="n">
        <v>7</v>
      </c>
      <c r="E21" t="inlineStr">
        <is>
          <t>Calculation</t>
        </is>
      </c>
      <c r="F21" t="inlineStr">
        <is>
          <t>'=F6</t>
        </is>
      </c>
      <c r="G21" t="n">
        <v>130.61</v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G000078</t>
        </is>
      </c>
      <c r="T21" t="inlineStr">
        <is>
          <t>Horizontal</t>
        </is>
      </c>
      <c r="U21" t="n">
        <v>5</v>
      </c>
      <c r="V21" t="b">
        <v>1</v>
      </c>
      <c r="W21" t="inlineStr">
        <is>
          <t>Asset schedule!E2:I2</t>
        </is>
      </c>
      <c r="X21">
        <f>R[4]C[-1]</f>
        <v/>
      </c>
    </row>
    <row r="22">
      <c r="A22" t="inlineStr">
        <is>
          <t>Asset schedule</t>
        </is>
      </c>
      <c r="B22" t="inlineStr">
        <is>
          <t>H2</t>
        </is>
      </c>
      <c r="C22" t="n">
        <v>2</v>
      </c>
      <c r="D22" t="n">
        <v>8</v>
      </c>
      <c r="E22" t="inlineStr">
        <is>
          <t>Calculation</t>
        </is>
      </c>
      <c r="F22" t="inlineStr">
        <is>
          <t>'=G6</t>
        </is>
      </c>
      <c r="G22" t="n">
        <v>130.61</v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G000078</t>
        </is>
      </c>
      <c r="T22" t="inlineStr">
        <is>
          <t>Horizontal</t>
        </is>
      </c>
      <c r="U22" t="n">
        <v>5</v>
      </c>
      <c r="V22" t="b">
        <v>1</v>
      </c>
      <c r="W22" t="inlineStr">
        <is>
          <t>Asset schedule!E2:I2</t>
        </is>
      </c>
      <c r="X22">
        <f>R[4]C[-1]</f>
        <v/>
      </c>
    </row>
    <row r="23">
      <c r="A23" t="inlineStr">
        <is>
          <t>Asset schedule</t>
        </is>
      </c>
      <c r="B23" t="inlineStr">
        <is>
          <t>I2</t>
        </is>
      </c>
      <c r="C23" t="n">
        <v>2</v>
      </c>
      <c r="D23" t="n">
        <v>9</v>
      </c>
      <c r="E23" t="inlineStr">
        <is>
          <t>Calculation</t>
        </is>
      </c>
      <c r="F23" t="inlineStr">
        <is>
          <t>'=H6</t>
        </is>
      </c>
      <c r="G23" t="n">
        <v>130.61</v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G000078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Asset schedule!E2:I2</t>
        </is>
      </c>
      <c r="X23">
        <f>R[4]C[-1]</f>
        <v/>
      </c>
    </row>
    <row r="24">
      <c r="A24" t="inlineStr">
        <is>
          <t>Asset schedule</t>
        </is>
      </c>
      <c r="B24" t="inlineStr">
        <is>
          <t>L2</t>
        </is>
      </c>
      <c r="C24" t="n">
        <v>2</v>
      </c>
      <c r="D24" t="n">
        <v>12</v>
      </c>
      <c r="E24" t="inlineStr">
        <is>
          <t>Input</t>
        </is>
      </c>
      <c r="F24" t="n">
        <v/>
      </c>
      <c r="G24" t="inlineStr">
        <is>
          <t>Capex</t>
        </is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Asset schedule</t>
        </is>
      </c>
      <c r="B25" t="inlineStr">
        <is>
          <t>O2</t>
        </is>
      </c>
      <c r="C25" t="n">
        <v>2</v>
      </c>
      <c r="D25" t="n">
        <v>15</v>
      </c>
      <c r="E25" t="inlineStr">
        <is>
          <t>Calculation</t>
        </is>
      </c>
      <c r="F25" t="inlineStr">
        <is>
          <t>'=SUM(O5:O15)</t>
        </is>
      </c>
      <c r="G25" t="n">
        <v>377.9</v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>
        <f>SUM(R[3]C[0]:R[13]C[0])</f>
        <v/>
      </c>
    </row>
    <row r="26">
      <c r="A26" t="inlineStr">
        <is>
          <t>Asset schedule</t>
        </is>
      </c>
      <c r="B26" t="inlineStr">
        <is>
          <t>P2</t>
        </is>
      </c>
      <c r="C26" t="n">
        <v>2</v>
      </c>
      <c r="D26" t="n">
        <v>16</v>
      </c>
      <c r="E26" t="inlineStr">
        <is>
          <t>Calculation</t>
        </is>
      </c>
      <c r="F26" t="inlineStr">
        <is>
          <t>'='Financial Statements'!E2*'Asset schedule'!P3</t>
        </is>
      </c>
      <c r="G26" t="n">
        <v>406.8404430379748</v>
      </c>
      <c r="H26" t="inlineStr"/>
      <c r="I26" t="inlineStr">
        <is>
          <t>0.0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G000089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Asset schedule!P2:T2</t>
        </is>
      </c>
      <c r="X26">
        <f>'Financial Statements'!R[0]C[-11]*R[1]C[0]</f>
        <v/>
      </c>
    </row>
    <row r="27">
      <c r="A27" t="inlineStr">
        <is>
          <t>Asset schedule</t>
        </is>
      </c>
      <c r="B27" t="inlineStr">
        <is>
          <t>Q2</t>
        </is>
      </c>
      <c r="C27" t="n">
        <v>2</v>
      </c>
      <c r="D27" t="n">
        <v>17</v>
      </c>
      <c r="E27" t="inlineStr">
        <is>
          <t>Calculation</t>
        </is>
      </c>
      <c r="F27" t="inlineStr">
        <is>
          <t>'='Financial Statements'!F2*'Asset schedule'!Q3</t>
        </is>
      </c>
      <c r="G27" t="n">
        <v>437.730180379747</v>
      </c>
      <c r="H27" t="inlineStr"/>
      <c r="I27" t="inlineStr">
        <is>
          <t>0.0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G000089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Asset schedule!P2:T2</t>
        </is>
      </c>
      <c r="X27">
        <f>'Financial Statements'!R[0]C[-11]*R[1]C[0]</f>
        <v/>
      </c>
    </row>
    <row r="28">
      <c r="A28" t="inlineStr">
        <is>
          <t>Asset schedule</t>
        </is>
      </c>
      <c r="B28" t="inlineStr">
        <is>
          <t>R2</t>
        </is>
      </c>
      <c r="C28" t="n">
        <v>2</v>
      </c>
      <c r="D28" t="n">
        <v>18</v>
      </c>
      <c r="E28" t="inlineStr">
        <is>
          <t>Calculation</t>
        </is>
      </c>
      <c r="F28" t="inlineStr">
        <is>
          <t>'='Financial Statements'!G2*'Asset schedule'!R3</t>
        </is>
      </c>
      <c r="G28" t="n">
        <v>470.6917903481014</v>
      </c>
      <c r="H28" t="inlineStr"/>
      <c r="I28" t="inlineStr">
        <is>
          <t>0.0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inlineStr">
        <is>
          <t>G000089</t>
        </is>
      </c>
      <c r="T28" t="inlineStr">
        <is>
          <t>Horizontal</t>
        </is>
      </c>
      <c r="U28" t="n">
        <v>5</v>
      </c>
      <c r="V28" t="b">
        <v>1</v>
      </c>
      <c r="W28" t="inlineStr">
        <is>
          <t>Asset schedule!P2:T2</t>
        </is>
      </c>
      <c r="X28">
        <f>'Financial Statements'!R[0]C[-11]*R[1]C[0]</f>
        <v/>
      </c>
    </row>
    <row r="29">
      <c r="A29" t="inlineStr">
        <is>
          <t>Asset schedule</t>
        </is>
      </c>
      <c r="B29" t="inlineStr">
        <is>
          <t>S2</t>
        </is>
      </c>
      <c r="C29" t="n">
        <v>2</v>
      </c>
      <c r="D29" t="n">
        <v>19</v>
      </c>
      <c r="E29" t="inlineStr">
        <is>
          <t>Calculation</t>
        </is>
      </c>
      <c r="F29" t="inlineStr">
        <is>
          <t>'='Financial Statements'!H2*'Asset schedule'!S3</t>
        </is>
      </c>
      <c r="G29" t="n">
        <v>505.8552358623419</v>
      </c>
      <c r="H29" t="inlineStr"/>
      <c r="I29" t="inlineStr">
        <is>
          <t>0.0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inlineStr">
        <is>
          <t>G000089</t>
        </is>
      </c>
      <c r="T29" t="inlineStr">
        <is>
          <t>Horizontal</t>
        </is>
      </c>
      <c r="U29" t="n">
        <v>5</v>
      </c>
      <c r="V29" t="b">
        <v>1</v>
      </c>
      <c r="W29" t="inlineStr">
        <is>
          <t>Asset schedule!P2:T2</t>
        </is>
      </c>
      <c r="X29">
        <f>'Financial Statements'!R[0]C[-11]*R[1]C[0]</f>
        <v/>
      </c>
    </row>
    <row r="30">
      <c r="A30" t="inlineStr">
        <is>
          <t>Asset schedule</t>
        </is>
      </c>
      <c r="B30" t="inlineStr">
        <is>
          <t>T2</t>
        </is>
      </c>
      <c r="C30" t="n">
        <v>2</v>
      </c>
      <c r="D30" t="n">
        <v>20</v>
      </c>
      <c r="E30" t="inlineStr">
        <is>
          <t>Calculation</t>
        </is>
      </c>
      <c r="F30" t="inlineStr">
        <is>
          <t>'='Financial Statements'!I2*'Asset schedule'!T3</t>
        </is>
      </c>
      <c r="G30" t="n">
        <v>543.3582964521364</v>
      </c>
      <c r="H30" t="inlineStr"/>
      <c r="I30" t="inlineStr">
        <is>
          <t>0.0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inlineStr">
        <is>
          <t>G000089</t>
        </is>
      </c>
      <c r="T30" t="inlineStr">
        <is>
          <t>Horizontal</t>
        </is>
      </c>
      <c r="U30" t="n">
        <v>5</v>
      </c>
      <c r="V30" t="b">
        <v>1</v>
      </c>
      <c r="W30" t="inlineStr">
        <is>
          <t>Asset schedule!P2:T2</t>
        </is>
      </c>
      <c r="X30">
        <f>'Financial Statements'!R[0]C[-11]*R[1]C[0]</f>
        <v/>
      </c>
    </row>
    <row r="31">
      <c r="A31" t="inlineStr">
        <is>
          <t>Asset schedule</t>
        </is>
      </c>
      <c r="B31" t="inlineStr">
        <is>
          <t>A3</t>
        </is>
      </c>
      <c r="C31" t="n">
        <v>3</v>
      </c>
      <c r="D31" t="n">
        <v>1</v>
      </c>
      <c r="E31" t="inlineStr">
        <is>
          <t>Input</t>
        </is>
      </c>
      <c r="F31" t="n">
        <v/>
      </c>
      <c r="G31" t="inlineStr">
        <is>
          <t>Add: purchase during the year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Asset schedule</t>
        </is>
      </c>
      <c r="B32" t="inlineStr">
        <is>
          <t>D3</t>
        </is>
      </c>
      <c r="C32" t="n">
        <v>3</v>
      </c>
      <c r="D32" t="n">
        <v>4</v>
      </c>
      <c r="E32" t="inlineStr">
        <is>
          <t>Input</t>
        </is>
      </c>
      <c r="F32" t="n">
        <v/>
      </c>
      <c r="G32" t="n">
        <v>0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Asset schedule</t>
        </is>
      </c>
      <c r="B33" t="inlineStr">
        <is>
          <t>E3</t>
        </is>
      </c>
      <c r="C33" t="n">
        <v>3</v>
      </c>
      <c r="D33" t="n">
        <v>5</v>
      </c>
      <c r="E33" t="inlineStr">
        <is>
          <t>Calculation</t>
        </is>
      </c>
      <c r="F33" t="inlineStr">
        <is>
          <t>'=INDEX($L$4:$T$15,MATCH($A1,$L$4:$L$15,0),MATCH(E1,$L$4:$T$4,0))</t>
        </is>
      </c>
      <c r="G33" t="n">
        <v>0</v>
      </c>
      <c r="H33" t="inlineStr"/>
      <c r="I33" t="inlineStr">
        <is>
          <t>0.0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G000090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Asset schedule!E3:I3</t>
        </is>
      </c>
      <c r="X33">
        <f>INDEX(R4C12:R15C20,MATCH(R[-2]C1,R4C12:R15C12,0),MATCH(R[-2]C[0],R4C12:R4C20,0))</f>
        <v/>
      </c>
    </row>
    <row r="34">
      <c r="A34" t="inlineStr">
        <is>
          <t>Asset schedule</t>
        </is>
      </c>
      <c r="B34" t="inlineStr">
        <is>
          <t>F3</t>
        </is>
      </c>
      <c r="C34" t="n">
        <v>3</v>
      </c>
      <c r="D34" t="n">
        <v>6</v>
      </c>
      <c r="E34" t="inlineStr">
        <is>
          <t>Calculation</t>
        </is>
      </c>
      <c r="F34" t="inlineStr">
        <is>
          <t>'=INDEX($L$4:$T$15,MATCH($A1,$L$4:$L$15,0),MATCH(F1,$L$4:$T$4,0))</t>
        </is>
      </c>
      <c r="G34" t="n">
        <v>0</v>
      </c>
      <c r="H34" t="inlineStr"/>
      <c r="I34" t="inlineStr">
        <is>
          <t>0.0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G000090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Asset schedule!E3:I3</t>
        </is>
      </c>
      <c r="X34">
        <f>INDEX(R4C12:R15C20,MATCH(R[-2]C1,R4C12:R15C12,0),MATCH(R[-2]C[0],R4C12:R4C20,0))</f>
        <v/>
      </c>
    </row>
    <row r="35">
      <c r="A35" t="inlineStr">
        <is>
          <t>Asset schedule</t>
        </is>
      </c>
      <c r="B35" t="inlineStr">
        <is>
          <t>G3</t>
        </is>
      </c>
      <c r="C35" t="n">
        <v>3</v>
      </c>
      <c r="D35" t="n">
        <v>7</v>
      </c>
      <c r="E35" t="inlineStr">
        <is>
          <t>Calculation</t>
        </is>
      </c>
      <c r="F35" t="inlineStr">
        <is>
          <t>'=INDEX($L$4:$T$15,MATCH($A1,$L$4:$L$15,0),MATCH(G1,$L$4:$T$4,0))</t>
        </is>
      </c>
      <c r="G35" t="n">
        <v>0</v>
      </c>
      <c r="H35" t="inlineStr"/>
      <c r="I35" t="inlineStr">
        <is>
          <t>0.0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G000090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Asset schedule!E3:I3</t>
        </is>
      </c>
      <c r="X35">
        <f>INDEX(R4C12:R15C20,MATCH(R[-2]C1,R4C12:R15C12,0),MATCH(R[-2]C[0],R4C12:R4C20,0))</f>
        <v/>
      </c>
    </row>
    <row r="36">
      <c r="A36" t="inlineStr">
        <is>
          <t>Asset schedule</t>
        </is>
      </c>
      <c r="B36" t="inlineStr">
        <is>
          <t>H3</t>
        </is>
      </c>
      <c r="C36" t="n">
        <v>3</v>
      </c>
      <c r="D36" t="n">
        <v>8</v>
      </c>
      <c r="E36" t="inlineStr">
        <is>
          <t>Calculation</t>
        </is>
      </c>
      <c r="F36" t="inlineStr">
        <is>
          <t>'=INDEX($L$4:$T$15,MATCH($A1,$L$4:$L$15,0),MATCH(H1,$L$4:$T$4,0))</t>
        </is>
      </c>
      <c r="G36" t="n">
        <v>0</v>
      </c>
      <c r="H36" t="inlineStr"/>
      <c r="I36" t="inlineStr">
        <is>
          <t>0.0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G000090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Asset schedule!E3:I3</t>
        </is>
      </c>
      <c r="X36">
        <f>INDEX(R4C12:R15C20,MATCH(R[-2]C1,R4C12:R15C12,0),MATCH(R[-2]C[0],R4C12:R4C20,0))</f>
        <v/>
      </c>
    </row>
    <row r="37">
      <c r="A37" t="inlineStr">
        <is>
          <t>Asset schedule</t>
        </is>
      </c>
      <c r="B37" t="inlineStr">
        <is>
          <t>I3</t>
        </is>
      </c>
      <c r="C37" t="n">
        <v>3</v>
      </c>
      <c r="D37" t="n">
        <v>9</v>
      </c>
      <c r="E37" t="inlineStr">
        <is>
          <t>Calculation</t>
        </is>
      </c>
      <c r="F37" t="inlineStr">
        <is>
          <t>'=INDEX($L$4:$T$15,MATCH($A1,$L$4:$L$15,0),MATCH(I1,$L$4:$T$4,0))</t>
        </is>
      </c>
      <c r="G37" t="n">
        <v>0</v>
      </c>
      <c r="H37" t="inlineStr"/>
      <c r="I37" t="inlineStr">
        <is>
          <t>0.0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inlineStr">
        <is>
          <t>G000090</t>
        </is>
      </c>
      <c r="T37" t="inlineStr">
        <is>
          <t>Horizontal</t>
        </is>
      </c>
      <c r="U37" t="n">
        <v>5</v>
      </c>
      <c r="V37" t="b">
        <v>1</v>
      </c>
      <c r="W37" t="inlineStr">
        <is>
          <t>Asset schedule!E3:I3</t>
        </is>
      </c>
      <c r="X37">
        <f>INDEX(R4C12:R15C20,MATCH(R[-2]C1,R4C12:R15C12,0),MATCH(R[-2]C[0],R4C12:R4C20,0))</f>
        <v/>
      </c>
    </row>
    <row r="38">
      <c r="A38" t="inlineStr">
        <is>
          <t>Asset schedule</t>
        </is>
      </c>
      <c r="B38" t="inlineStr">
        <is>
          <t>L3</t>
        </is>
      </c>
      <c r="C38" t="n">
        <v>3</v>
      </c>
      <c r="D38" t="n">
        <v>12</v>
      </c>
      <c r="E38" t="inlineStr">
        <is>
          <t>Input</t>
        </is>
      </c>
      <c r="F38" t="n">
        <v/>
      </c>
      <c r="G38" t="inlineStr">
        <is>
          <t>Capex as % of revenue</t>
        </is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Asset schedule</t>
        </is>
      </c>
      <c r="B39" t="inlineStr">
        <is>
          <t>O3</t>
        </is>
      </c>
      <c r="C39" t="n">
        <v>3</v>
      </c>
      <c r="D39" t="n">
        <v>15</v>
      </c>
      <c r="E39" t="inlineStr">
        <is>
          <t>Calculation</t>
        </is>
      </c>
      <c r="F39" t="inlineStr">
        <is>
          <t>'=O2/'Financial Statements'!D2</t>
        </is>
      </c>
      <c r="G39" t="n">
        <v>0.02817294115366666</v>
      </c>
      <c r="H39" t="inlineStr"/>
      <c r="I39" t="inlineStr">
        <is>
          <t>0.0%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>
        <f>R[-1]C[0]/'Financial Statements'!R[-1]C[-11]</f>
        <v/>
      </c>
    </row>
    <row r="40">
      <c r="A40" t="inlineStr">
        <is>
          <t>Asset schedule</t>
        </is>
      </c>
      <c r="B40" t="inlineStr">
        <is>
          <t>P3</t>
        </is>
      </c>
      <c r="C40" t="n">
        <v>3</v>
      </c>
      <c r="D40" t="n">
        <v>16</v>
      </c>
      <c r="E40" t="inlineStr">
        <is>
          <t>Calculation</t>
        </is>
      </c>
      <c r="F40" t="inlineStr">
        <is>
          <t>'=O3</t>
        </is>
      </c>
      <c r="G40" t="n">
        <v>0.02817294115366666</v>
      </c>
      <c r="H40" t="inlineStr"/>
      <c r="I40" t="inlineStr">
        <is>
          <t>0.0%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inlineStr">
        <is>
          <t>G000101</t>
        </is>
      </c>
      <c r="T40" t="inlineStr">
        <is>
          <t>Horizontal</t>
        </is>
      </c>
      <c r="U40" t="n">
        <v>5</v>
      </c>
      <c r="V40" t="b">
        <v>1</v>
      </c>
      <c r="W40" t="inlineStr">
        <is>
          <t>Asset schedule!P3:T3</t>
        </is>
      </c>
      <c r="X40">
        <f>R[0]C[-1]</f>
        <v/>
      </c>
    </row>
    <row r="41">
      <c r="A41" t="inlineStr">
        <is>
          <t>Asset schedule</t>
        </is>
      </c>
      <c r="B41" t="inlineStr">
        <is>
          <t>Q3</t>
        </is>
      </c>
      <c r="C41" t="n">
        <v>3</v>
      </c>
      <c r="D41" t="n">
        <v>17</v>
      </c>
      <c r="E41" t="inlineStr">
        <is>
          <t>Calculation</t>
        </is>
      </c>
      <c r="F41" t="inlineStr">
        <is>
          <t>'=P3</t>
        </is>
      </c>
      <c r="G41" t="n">
        <v>0.02817294115366666</v>
      </c>
      <c r="H41" t="inlineStr"/>
      <c r="I41" t="inlineStr">
        <is>
          <t>0.0%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inlineStr">
        <is>
          <t>G000101</t>
        </is>
      </c>
      <c r="T41" t="inlineStr">
        <is>
          <t>Horizontal</t>
        </is>
      </c>
      <c r="U41" t="n">
        <v>5</v>
      </c>
      <c r="V41" t="b">
        <v>1</v>
      </c>
      <c r="W41" t="inlineStr">
        <is>
          <t>Asset schedule!P3:T3</t>
        </is>
      </c>
      <c r="X41">
        <f>R[0]C[-1]</f>
        <v/>
      </c>
    </row>
    <row r="42">
      <c r="A42" t="inlineStr">
        <is>
          <t>Asset schedule</t>
        </is>
      </c>
      <c r="B42" t="inlineStr">
        <is>
          <t>R3</t>
        </is>
      </c>
      <c r="C42" t="n">
        <v>3</v>
      </c>
      <c r="D42" t="n">
        <v>18</v>
      </c>
      <c r="E42" t="inlineStr">
        <is>
          <t>Calculation</t>
        </is>
      </c>
      <c r="F42" t="inlineStr">
        <is>
          <t>'=Q3</t>
        </is>
      </c>
      <c r="G42" t="n">
        <v>0.02817294115366666</v>
      </c>
      <c r="H42" t="inlineStr"/>
      <c r="I42" t="inlineStr">
        <is>
          <t>0.0%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G000101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Asset schedule!P3:T3</t>
        </is>
      </c>
      <c r="X42">
        <f>R[0]C[-1]</f>
        <v/>
      </c>
    </row>
    <row r="43">
      <c r="A43" t="inlineStr">
        <is>
          <t>Asset schedule</t>
        </is>
      </c>
      <c r="B43" t="inlineStr">
        <is>
          <t>S3</t>
        </is>
      </c>
      <c r="C43" t="n">
        <v>3</v>
      </c>
      <c r="D43" t="n">
        <v>19</v>
      </c>
      <c r="E43" t="inlineStr">
        <is>
          <t>Calculation</t>
        </is>
      </c>
      <c r="F43" t="inlineStr">
        <is>
          <t>'=R3</t>
        </is>
      </c>
      <c r="G43" t="n">
        <v>0.02817294115366666</v>
      </c>
      <c r="H43" t="inlineStr"/>
      <c r="I43" t="inlineStr">
        <is>
          <t>0.0%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inlineStr">
        <is>
          <t>G000101</t>
        </is>
      </c>
      <c r="T43" t="inlineStr">
        <is>
          <t>Horizontal</t>
        </is>
      </c>
      <c r="U43" t="n">
        <v>5</v>
      </c>
      <c r="V43" t="b">
        <v>1</v>
      </c>
      <c r="W43" t="inlineStr">
        <is>
          <t>Asset schedule!P3:T3</t>
        </is>
      </c>
      <c r="X43">
        <f>R[0]C[-1]</f>
        <v/>
      </c>
    </row>
    <row r="44">
      <c r="A44" t="inlineStr">
        <is>
          <t>Asset schedule</t>
        </is>
      </c>
      <c r="B44" t="inlineStr">
        <is>
          <t>T3</t>
        </is>
      </c>
      <c r="C44" t="n">
        <v>3</v>
      </c>
      <c r="D44" t="n">
        <v>20</v>
      </c>
      <c r="E44" t="inlineStr">
        <is>
          <t>Calculation</t>
        </is>
      </c>
      <c r="F44" t="inlineStr">
        <is>
          <t>'=S3</t>
        </is>
      </c>
      <c r="G44" t="n">
        <v>0.02817294115366666</v>
      </c>
      <c r="H44" t="inlineStr"/>
      <c r="I44" t="inlineStr">
        <is>
          <t>0.0%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G000101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Asset schedule!P3:T3</t>
        </is>
      </c>
      <c r="X44">
        <f>R[0]C[-1]</f>
        <v/>
      </c>
    </row>
    <row r="45">
      <c r="A45" t="inlineStr">
        <is>
          <t>Asset schedule</t>
        </is>
      </c>
      <c r="B45" t="inlineStr">
        <is>
          <t>A4</t>
        </is>
      </c>
      <c r="C45" t="n">
        <v>4</v>
      </c>
      <c r="D45" t="n">
        <v>1</v>
      </c>
      <c r="E45" t="inlineStr">
        <is>
          <t>Input</t>
        </is>
      </c>
      <c r="F45" t="n">
        <v/>
      </c>
      <c r="G45" t="inlineStr">
        <is>
          <t>Less: Sale during the year</t>
        </is>
      </c>
      <c r="H45" t="inlineStr"/>
      <c r="I45" t="inlineStr">
        <is>
          <t>General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Asset schedule</t>
        </is>
      </c>
      <c r="B46" t="inlineStr">
        <is>
          <t>D4</t>
        </is>
      </c>
      <c r="C46" t="n">
        <v>4</v>
      </c>
      <c r="D46" t="n">
        <v>4</v>
      </c>
      <c r="E46" t="inlineStr">
        <is>
          <t>Input</t>
        </is>
      </c>
      <c r="F46" t="n">
        <v/>
      </c>
      <c r="G46" t="n">
        <v>0</v>
      </c>
      <c r="H46" t="inlineStr"/>
      <c r="I46" t="inlineStr">
        <is>
          <t>General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Asset schedule</t>
        </is>
      </c>
      <c r="B47" t="inlineStr">
        <is>
          <t>E4</t>
        </is>
      </c>
      <c r="C47" t="n">
        <v>4</v>
      </c>
      <c r="D47" t="n">
        <v>5</v>
      </c>
      <c r="E47" t="inlineStr">
        <is>
          <t>Input</t>
        </is>
      </c>
      <c r="F47" t="n">
        <v/>
      </c>
      <c r="G47" t="n">
        <v>0</v>
      </c>
      <c r="H47" t="inlineStr"/>
      <c r="I47" t="inlineStr">
        <is>
          <t>General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Asset schedule</t>
        </is>
      </c>
      <c r="B48" t="inlineStr">
        <is>
          <t>F4</t>
        </is>
      </c>
      <c r="C48" t="n">
        <v>4</v>
      </c>
      <c r="D48" t="n">
        <v>6</v>
      </c>
      <c r="E48" t="inlineStr">
        <is>
          <t>Input</t>
        </is>
      </c>
      <c r="F48" t="n">
        <v/>
      </c>
      <c r="G48" t="n">
        <v>0</v>
      </c>
      <c r="H48" t="inlineStr"/>
      <c r="I48" t="inlineStr">
        <is>
          <t>General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Asset schedule</t>
        </is>
      </c>
      <c r="B49" t="inlineStr">
        <is>
          <t>G4</t>
        </is>
      </c>
      <c r="C49" t="n">
        <v>4</v>
      </c>
      <c r="D49" t="n">
        <v>7</v>
      </c>
      <c r="E49" t="inlineStr">
        <is>
          <t>Input</t>
        </is>
      </c>
      <c r="F49" t="n">
        <v/>
      </c>
      <c r="G49" t="n">
        <v>0</v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Asset schedule</t>
        </is>
      </c>
      <c r="B50" t="inlineStr">
        <is>
          <t>H4</t>
        </is>
      </c>
      <c r="C50" t="n">
        <v>4</v>
      </c>
      <c r="D50" t="n">
        <v>8</v>
      </c>
      <c r="E50" t="inlineStr">
        <is>
          <t>Input</t>
        </is>
      </c>
      <c r="F50" t="n">
        <v/>
      </c>
      <c r="G50" t="n">
        <v>0</v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Asset schedule</t>
        </is>
      </c>
      <c r="B51" t="inlineStr">
        <is>
          <t>I4</t>
        </is>
      </c>
      <c r="C51" t="n">
        <v>4</v>
      </c>
      <c r="D51" t="n">
        <v>9</v>
      </c>
      <c r="E51" t="inlineStr">
        <is>
          <t>Input</t>
        </is>
      </c>
      <c r="F51" t="n">
        <v/>
      </c>
      <c r="G51" t="n">
        <v>0</v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Asset schedule</t>
        </is>
      </c>
      <c r="B52" t="inlineStr">
        <is>
          <t>O4</t>
        </is>
      </c>
      <c r="C52" t="n">
        <v>4</v>
      </c>
      <c r="D52" t="n">
        <v>15</v>
      </c>
      <c r="E52" t="inlineStr">
        <is>
          <t>Input</t>
        </is>
      </c>
      <c r="F52" t="n">
        <v/>
      </c>
      <c r="G52" t="n">
        <v>2017</v>
      </c>
      <c r="H52" t="inlineStr"/>
      <c r="I52" t="inlineStr">
        <is>
          <t>General</t>
        </is>
      </c>
      <c r="J52" t="b">
        <v>1</v>
      </c>
      <c r="K52" t="b">
        <v>0</v>
      </c>
      <c r="L52" t="n">
        <v>11</v>
      </c>
      <c r="M52" t="inlineStr">
        <is>
          <t>Values must be of type &lt;class 'str'&gt;</t>
        </is>
      </c>
      <c r="N52" t="inlineStr">
        <is>
          <t>Values must be of type &lt;class 'str'&gt;</t>
        </is>
      </c>
      <c r="O52" t="inlineStr">
        <is>
          <t>center</t>
        </is>
      </c>
      <c r="P52" t="inlineStr">
        <is>
          <t>center</t>
        </is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Asset schedule</t>
        </is>
      </c>
      <c r="B53" t="inlineStr">
        <is>
          <t>P4</t>
        </is>
      </c>
      <c r="C53" t="n">
        <v>4</v>
      </c>
      <c r="D53" t="n">
        <v>16</v>
      </c>
      <c r="E53" t="inlineStr">
        <is>
          <t>Input</t>
        </is>
      </c>
      <c r="F53" t="n">
        <v/>
      </c>
      <c r="G53" t="inlineStr">
        <is>
          <t>2018 F</t>
        </is>
      </c>
      <c r="H53" t="inlineStr"/>
      <c r="I53" t="inlineStr">
        <is>
          <t>General</t>
        </is>
      </c>
      <c r="J53" t="b">
        <v>1</v>
      </c>
      <c r="K53" t="b">
        <v>0</v>
      </c>
      <c r="L53" t="n">
        <v>11</v>
      </c>
      <c r="M53" t="inlineStr">
        <is>
          <t>Values must be of type &lt;class 'str'&gt;</t>
        </is>
      </c>
      <c r="N53" t="inlineStr">
        <is>
          <t>Values must be of type &lt;class 'str'&gt;</t>
        </is>
      </c>
      <c r="O53" t="inlineStr">
        <is>
          <t>center</t>
        </is>
      </c>
      <c r="P53" t="inlineStr">
        <is>
          <t>center</t>
        </is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Asset schedule</t>
        </is>
      </c>
      <c r="B54" t="inlineStr">
        <is>
          <t>Q4</t>
        </is>
      </c>
      <c r="C54" t="n">
        <v>4</v>
      </c>
      <c r="D54" t="n">
        <v>17</v>
      </c>
      <c r="E54" t="inlineStr">
        <is>
          <t>Input</t>
        </is>
      </c>
      <c r="F54" t="n">
        <v/>
      </c>
      <c r="G54" t="inlineStr">
        <is>
          <t>2019 F</t>
        </is>
      </c>
      <c r="H54" t="inlineStr"/>
      <c r="I54" t="inlineStr">
        <is>
          <t>General</t>
        </is>
      </c>
      <c r="J54" t="b">
        <v>1</v>
      </c>
      <c r="K54" t="b">
        <v>0</v>
      </c>
      <c r="L54" t="n">
        <v>11</v>
      </c>
      <c r="M54" t="inlineStr">
        <is>
          <t>Values must be of type &lt;class 'str'&gt;</t>
        </is>
      </c>
      <c r="N54" t="inlineStr">
        <is>
          <t>Values must be of type &lt;class 'str'&gt;</t>
        </is>
      </c>
      <c r="O54" t="inlineStr">
        <is>
          <t>center</t>
        </is>
      </c>
      <c r="P54" t="inlineStr">
        <is>
          <t>center</t>
        </is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Asset schedule</t>
        </is>
      </c>
      <c r="B55" t="inlineStr">
        <is>
          <t>R4</t>
        </is>
      </c>
      <c r="C55" t="n">
        <v>4</v>
      </c>
      <c r="D55" t="n">
        <v>18</v>
      </c>
      <c r="E55" t="inlineStr">
        <is>
          <t>Input</t>
        </is>
      </c>
      <c r="F55" t="n">
        <v/>
      </c>
      <c r="G55" t="inlineStr">
        <is>
          <t>2020 F</t>
        </is>
      </c>
      <c r="H55" t="inlineStr"/>
      <c r="I55" t="inlineStr">
        <is>
          <t>General</t>
        </is>
      </c>
      <c r="J55" t="b">
        <v>1</v>
      </c>
      <c r="K55" t="b">
        <v>0</v>
      </c>
      <c r="L55" t="n">
        <v>11</v>
      </c>
      <c r="M55" t="inlineStr">
        <is>
          <t>Values must be of type &lt;class 'str'&gt;</t>
        </is>
      </c>
      <c r="N55" t="inlineStr">
        <is>
          <t>Values must be of type &lt;class 'str'&gt;</t>
        </is>
      </c>
      <c r="O55" t="inlineStr">
        <is>
          <t>center</t>
        </is>
      </c>
      <c r="P55" t="inlineStr">
        <is>
          <t>center</t>
        </is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Asset schedule</t>
        </is>
      </c>
      <c r="B56" t="inlineStr">
        <is>
          <t>S4</t>
        </is>
      </c>
      <c r="C56" t="n">
        <v>4</v>
      </c>
      <c r="D56" t="n">
        <v>19</v>
      </c>
      <c r="E56" t="inlineStr">
        <is>
          <t>Input</t>
        </is>
      </c>
      <c r="F56" t="n">
        <v/>
      </c>
      <c r="G56" t="inlineStr">
        <is>
          <t>2021 F</t>
        </is>
      </c>
      <c r="H56" t="inlineStr"/>
      <c r="I56" t="inlineStr">
        <is>
          <t>General</t>
        </is>
      </c>
      <c r="J56" t="b">
        <v>1</v>
      </c>
      <c r="K56" t="b">
        <v>0</v>
      </c>
      <c r="L56" t="n">
        <v>11</v>
      </c>
      <c r="M56" t="inlineStr">
        <is>
          <t>Values must be of type &lt;class 'str'&gt;</t>
        </is>
      </c>
      <c r="N56" t="inlineStr">
        <is>
          <t>Values must be of type &lt;class 'str'&gt;</t>
        </is>
      </c>
      <c r="O56" t="inlineStr">
        <is>
          <t>center</t>
        </is>
      </c>
      <c r="P56" t="inlineStr">
        <is>
          <t>center</t>
        </is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Asset schedule</t>
        </is>
      </c>
      <c r="B57" t="inlineStr">
        <is>
          <t>T4</t>
        </is>
      </c>
      <c r="C57" t="n">
        <v>4</v>
      </c>
      <c r="D57" t="n">
        <v>20</v>
      </c>
      <c r="E57" t="inlineStr">
        <is>
          <t>Input</t>
        </is>
      </c>
      <c r="F57" t="n">
        <v/>
      </c>
      <c r="G57" t="inlineStr">
        <is>
          <t>2022 F</t>
        </is>
      </c>
      <c r="H57" t="inlineStr"/>
      <c r="I57" t="inlineStr">
        <is>
          <t>General</t>
        </is>
      </c>
      <c r="J57" t="b">
        <v>1</v>
      </c>
      <c r="K57" t="b">
        <v>0</v>
      </c>
      <c r="L57" t="n">
        <v>11</v>
      </c>
      <c r="M57" t="inlineStr">
        <is>
          <t>Values must be of type &lt;class 'str'&gt;</t>
        </is>
      </c>
      <c r="N57" t="inlineStr">
        <is>
          <t>Values must be of type &lt;class 'str'&gt;</t>
        </is>
      </c>
      <c r="O57" t="inlineStr">
        <is>
          <t>center</t>
        </is>
      </c>
      <c r="P57" t="inlineStr">
        <is>
          <t>center</t>
        </is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Asset schedule</t>
        </is>
      </c>
      <c r="B58" t="inlineStr">
        <is>
          <t>A5</t>
        </is>
      </c>
      <c r="C58" t="n">
        <v>5</v>
      </c>
      <c r="D58" t="n">
        <v>1</v>
      </c>
      <c r="E58" t="inlineStr">
        <is>
          <t>Input</t>
        </is>
      </c>
      <c r="F58" t="n">
        <v/>
      </c>
      <c r="G58" t="inlineStr">
        <is>
          <t>Less: Dep</t>
        </is>
      </c>
      <c r="H58" t="inlineStr"/>
      <c r="I58" t="inlineStr">
        <is>
          <t>General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Asset schedule</t>
        </is>
      </c>
      <c r="B59" t="inlineStr">
        <is>
          <t>D5</t>
        </is>
      </c>
      <c r="C59" t="n">
        <v>5</v>
      </c>
      <c r="D59" t="n">
        <v>4</v>
      </c>
      <c r="E59" t="inlineStr">
        <is>
          <t>Input</t>
        </is>
      </c>
      <c r="F59" t="n">
        <v/>
      </c>
      <c r="G59" t="n">
        <v>0</v>
      </c>
      <c r="H59" t="inlineStr"/>
      <c r="I59" t="inlineStr">
        <is>
          <t>General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Asset schedule</t>
        </is>
      </c>
      <c r="B60" t="inlineStr">
        <is>
          <t>E5</t>
        </is>
      </c>
      <c r="C60" t="n">
        <v>5</v>
      </c>
      <c r="D60" t="n">
        <v>5</v>
      </c>
      <c r="E60" t="inlineStr">
        <is>
          <t>Calculation</t>
        </is>
      </c>
      <c r="F60" t="inlineStr">
        <is>
          <t>'=E2*$B7</t>
        </is>
      </c>
      <c r="G60" t="n">
        <v>0</v>
      </c>
      <c r="H60" t="inlineStr"/>
      <c r="I60" t="inlineStr">
        <is>
          <t>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>
        <f>R[-3]C[0]*R[2]C2</f>
        <v/>
      </c>
    </row>
    <row r="61">
      <c r="A61" t="inlineStr">
        <is>
          <t>Asset schedule</t>
        </is>
      </c>
      <c r="B61" t="inlineStr">
        <is>
          <t>F5</t>
        </is>
      </c>
      <c r="C61" t="n">
        <v>5</v>
      </c>
      <c r="D61" t="n">
        <v>6</v>
      </c>
      <c r="E61" t="inlineStr">
        <is>
          <t>Calculation</t>
        </is>
      </c>
      <c r="F61" t="inlineStr">
        <is>
          <t>'=F2*$B$7</t>
        </is>
      </c>
      <c r="G61" t="n">
        <v>0</v>
      </c>
      <c r="H61" t="inlineStr"/>
      <c r="I61" t="inlineStr">
        <is>
          <t>0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G000112</t>
        </is>
      </c>
      <c r="T61" t="inlineStr">
        <is>
          <t>Horizontal</t>
        </is>
      </c>
      <c r="U61" t="n">
        <v>4</v>
      </c>
      <c r="V61" t="b">
        <v>1</v>
      </c>
      <c r="W61" t="inlineStr">
        <is>
          <t>Asset schedule!F5:I5</t>
        </is>
      </c>
      <c r="X61">
        <f>R[-3]C[0]*R7C2</f>
        <v/>
      </c>
    </row>
    <row r="62">
      <c r="A62" t="inlineStr">
        <is>
          <t>Asset schedule</t>
        </is>
      </c>
      <c r="B62" t="inlineStr">
        <is>
          <t>G5</t>
        </is>
      </c>
      <c r="C62" t="n">
        <v>5</v>
      </c>
      <c r="D62" t="n">
        <v>7</v>
      </c>
      <c r="E62" t="inlineStr">
        <is>
          <t>Calculation</t>
        </is>
      </c>
      <c r="F62" t="inlineStr">
        <is>
          <t>'=G2*$B$7</t>
        </is>
      </c>
      <c r="G62" t="n">
        <v>0</v>
      </c>
      <c r="H62" t="inlineStr"/>
      <c r="I62" t="inlineStr">
        <is>
          <t>0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inlineStr">
        <is>
          <t>G000112</t>
        </is>
      </c>
      <c r="T62" t="inlineStr">
        <is>
          <t>Horizontal</t>
        </is>
      </c>
      <c r="U62" t="n">
        <v>4</v>
      </c>
      <c r="V62" t="b">
        <v>1</v>
      </c>
      <c r="W62" t="inlineStr">
        <is>
          <t>Asset schedule!F5:I5</t>
        </is>
      </c>
      <c r="X62">
        <f>R[-3]C[0]*R7C2</f>
        <v/>
      </c>
    </row>
    <row r="63">
      <c r="A63" t="inlineStr">
        <is>
          <t>Asset schedule</t>
        </is>
      </c>
      <c r="B63" t="inlineStr">
        <is>
          <t>H5</t>
        </is>
      </c>
      <c r="C63" t="n">
        <v>5</v>
      </c>
      <c r="D63" t="n">
        <v>8</v>
      </c>
      <c r="E63" t="inlineStr">
        <is>
          <t>Calculation</t>
        </is>
      </c>
      <c r="F63" t="inlineStr">
        <is>
          <t>'=H2*$B$7</t>
        </is>
      </c>
      <c r="G63" t="n">
        <v>0</v>
      </c>
      <c r="H63" t="inlineStr"/>
      <c r="I63" t="inlineStr">
        <is>
          <t>0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inlineStr">
        <is>
          <t>G000112</t>
        </is>
      </c>
      <c r="T63" t="inlineStr">
        <is>
          <t>Horizontal</t>
        </is>
      </c>
      <c r="U63" t="n">
        <v>4</v>
      </c>
      <c r="V63" t="b">
        <v>1</v>
      </c>
      <c r="W63" t="inlineStr">
        <is>
          <t>Asset schedule!F5:I5</t>
        </is>
      </c>
      <c r="X63">
        <f>R[-3]C[0]*R7C2</f>
        <v/>
      </c>
    </row>
    <row r="64">
      <c r="A64" t="inlineStr">
        <is>
          <t>Asset schedule</t>
        </is>
      </c>
      <c r="B64" t="inlineStr">
        <is>
          <t>I5</t>
        </is>
      </c>
      <c r="C64" t="n">
        <v>5</v>
      </c>
      <c r="D64" t="n">
        <v>9</v>
      </c>
      <c r="E64" t="inlineStr">
        <is>
          <t>Calculation</t>
        </is>
      </c>
      <c r="F64" t="inlineStr">
        <is>
          <t>'=I2*$B$7</t>
        </is>
      </c>
      <c r="G64" t="n">
        <v>0</v>
      </c>
      <c r="H64" t="inlineStr"/>
      <c r="I64" t="inlineStr">
        <is>
          <t>0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inlineStr">
        <is>
          <t>G000112</t>
        </is>
      </c>
      <c r="T64" t="inlineStr">
        <is>
          <t>Horizontal</t>
        </is>
      </c>
      <c r="U64" t="n">
        <v>4</v>
      </c>
      <c r="V64" t="b">
        <v>1</v>
      </c>
      <c r="W64" t="inlineStr">
        <is>
          <t>Asset schedule!F5:I5</t>
        </is>
      </c>
      <c r="X64">
        <f>R[-3]C[0]*R7C2</f>
        <v/>
      </c>
    </row>
    <row r="65">
      <c r="A65" t="inlineStr">
        <is>
          <t>Asset schedule</t>
        </is>
      </c>
      <c r="B65" t="inlineStr">
        <is>
          <t>L5</t>
        </is>
      </c>
      <c r="C65" t="n">
        <v>5</v>
      </c>
      <c r="D65" t="n">
        <v>12</v>
      </c>
      <c r="E65" t="inlineStr">
        <is>
          <t>Input</t>
        </is>
      </c>
      <c r="F65" t="n">
        <v/>
      </c>
      <c r="G65" t="inlineStr">
        <is>
          <t>Freehold Non Mining Land</t>
        </is>
      </c>
      <c r="H65" t="inlineStr"/>
      <c r="I65" t="inlineStr">
        <is>
          <t>General</t>
        </is>
      </c>
      <c r="J65" t="b">
        <v>1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Asset schedule</t>
        </is>
      </c>
      <c r="B66" t="inlineStr">
        <is>
          <t>N5</t>
        </is>
      </c>
      <c r="C66" t="n">
        <v>5</v>
      </c>
      <c r="D66" t="n">
        <v>14</v>
      </c>
      <c r="E66" t="inlineStr">
        <is>
          <t>Calculation</t>
        </is>
      </c>
      <c r="F66" t="inlineStr">
        <is>
          <t>'=O5/$O$16</t>
        </is>
      </c>
      <c r="G66" t="n">
        <v>0</v>
      </c>
      <c r="H66" t="inlineStr"/>
      <c r="I66" t="inlineStr">
        <is>
          <t>0%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inlineStr">
        <is>
          <t>G000113</t>
        </is>
      </c>
      <c r="T66" t="inlineStr">
        <is>
          <t>Vertical</t>
        </is>
      </c>
      <c r="U66" t="n">
        <v>11</v>
      </c>
      <c r="V66" t="b">
        <v>1</v>
      </c>
      <c r="W66" t="inlineStr">
        <is>
          <t>Asset schedule!N5:N15</t>
        </is>
      </c>
      <c r="X66">
        <f>R[0]C[1]/R16C15</f>
        <v/>
      </c>
    </row>
    <row r="67">
      <c r="A67" t="inlineStr">
        <is>
          <t>Asset schedule</t>
        </is>
      </c>
      <c r="B67" t="inlineStr">
        <is>
          <t>O5</t>
        </is>
      </c>
      <c r="C67" t="n">
        <v>5</v>
      </c>
      <c r="D67" t="n">
        <v>15</v>
      </c>
      <c r="E67" t="inlineStr">
        <is>
          <t>Calculation</t>
        </is>
      </c>
      <c r="F67" t="inlineStr">
        <is>
          <t>'=D3</t>
        </is>
      </c>
      <c r="G67" t="n">
        <v>0</v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>
        <f>R[-2]C[-11]</f>
        <v/>
      </c>
    </row>
    <row r="68">
      <c r="A68" t="inlineStr">
        <is>
          <t>Asset schedule</t>
        </is>
      </c>
      <c r="B68" t="inlineStr">
        <is>
          <t>P5</t>
        </is>
      </c>
      <c r="C68" t="n">
        <v>5</v>
      </c>
      <c r="D68" t="n">
        <v>16</v>
      </c>
      <c r="E68" t="inlineStr">
        <is>
          <t>Calculation</t>
        </is>
      </c>
      <c r="F68" t="inlineStr">
        <is>
          <t>'=P$2*$N5</t>
        </is>
      </c>
      <c r="G68" t="n">
        <v>0</v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inlineStr">
        <is>
          <t>G000114</t>
        </is>
      </c>
      <c r="T68" t="inlineStr">
        <is>
          <t>Horizontal</t>
        </is>
      </c>
      <c r="U68" t="n">
        <v>5</v>
      </c>
      <c r="V68" t="b">
        <v>1</v>
      </c>
      <c r="W68" t="inlineStr">
        <is>
          <t>Asset schedule!P5:T5</t>
        </is>
      </c>
      <c r="X68">
        <f>R2C[0]*R[0]C14</f>
        <v/>
      </c>
    </row>
    <row r="69">
      <c r="A69" t="inlineStr">
        <is>
          <t>Asset schedule</t>
        </is>
      </c>
      <c r="B69" t="inlineStr">
        <is>
          <t>Q5</t>
        </is>
      </c>
      <c r="C69" t="n">
        <v>5</v>
      </c>
      <c r="D69" t="n">
        <v>17</v>
      </c>
      <c r="E69" t="inlineStr">
        <is>
          <t>Calculation</t>
        </is>
      </c>
      <c r="F69" t="inlineStr">
        <is>
          <t>'=Q$2*$N5</t>
        </is>
      </c>
      <c r="G69" t="n">
        <v>0</v>
      </c>
      <c r="H69" t="inlineStr"/>
      <c r="I69" t="inlineStr">
        <is>
          <t>General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inlineStr">
        <is>
          <t>G000114</t>
        </is>
      </c>
      <c r="T69" t="inlineStr">
        <is>
          <t>Horizontal</t>
        </is>
      </c>
      <c r="U69" t="n">
        <v>5</v>
      </c>
      <c r="V69" t="b">
        <v>1</v>
      </c>
      <c r="W69" t="inlineStr">
        <is>
          <t>Asset schedule!P5:T5</t>
        </is>
      </c>
      <c r="X69">
        <f>R2C[0]*R[0]C14</f>
        <v/>
      </c>
    </row>
    <row r="70">
      <c r="A70" t="inlineStr">
        <is>
          <t>Asset schedule</t>
        </is>
      </c>
      <c r="B70" t="inlineStr">
        <is>
          <t>R5</t>
        </is>
      </c>
      <c r="C70" t="n">
        <v>5</v>
      </c>
      <c r="D70" t="n">
        <v>18</v>
      </c>
      <c r="E70" t="inlineStr">
        <is>
          <t>Calculation</t>
        </is>
      </c>
      <c r="F70" t="inlineStr">
        <is>
          <t>'=R$2*$N5</t>
        </is>
      </c>
      <c r="G70" t="n">
        <v>0</v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inlineStr">
        <is>
          <t>G000114</t>
        </is>
      </c>
      <c r="T70" t="inlineStr">
        <is>
          <t>Horizontal</t>
        </is>
      </c>
      <c r="U70" t="n">
        <v>5</v>
      </c>
      <c r="V70" t="b">
        <v>1</v>
      </c>
      <c r="W70" t="inlineStr">
        <is>
          <t>Asset schedule!P5:T5</t>
        </is>
      </c>
      <c r="X70">
        <f>R2C[0]*R[0]C14</f>
        <v/>
      </c>
    </row>
    <row r="71">
      <c r="A71" t="inlineStr">
        <is>
          <t>Asset schedule</t>
        </is>
      </c>
      <c r="B71" t="inlineStr">
        <is>
          <t>S5</t>
        </is>
      </c>
      <c r="C71" t="n">
        <v>5</v>
      </c>
      <c r="D71" t="n">
        <v>19</v>
      </c>
      <c r="E71" t="inlineStr">
        <is>
          <t>Calculation</t>
        </is>
      </c>
      <c r="F71" t="inlineStr">
        <is>
          <t>'=S$2*$N5</t>
        </is>
      </c>
      <c r="G71" t="n">
        <v>0</v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inlineStr">
        <is>
          <t>G000114</t>
        </is>
      </c>
      <c r="T71" t="inlineStr">
        <is>
          <t>Horizontal</t>
        </is>
      </c>
      <c r="U71" t="n">
        <v>5</v>
      </c>
      <c r="V71" t="b">
        <v>1</v>
      </c>
      <c r="W71" t="inlineStr">
        <is>
          <t>Asset schedule!P5:T5</t>
        </is>
      </c>
      <c r="X71">
        <f>R2C[0]*R[0]C14</f>
        <v/>
      </c>
    </row>
    <row r="72">
      <c r="A72" t="inlineStr">
        <is>
          <t>Asset schedule</t>
        </is>
      </c>
      <c r="B72" t="inlineStr">
        <is>
          <t>T5</t>
        </is>
      </c>
      <c r="C72" t="n">
        <v>5</v>
      </c>
      <c r="D72" t="n">
        <v>20</v>
      </c>
      <c r="E72" t="inlineStr">
        <is>
          <t>Calculation</t>
        </is>
      </c>
      <c r="F72" t="inlineStr">
        <is>
          <t>'=T$2*$N5</t>
        </is>
      </c>
      <c r="G72" t="n">
        <v>0</v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inlineStr">
        <is>
          <t>G000114</t>
        </is>
      </c>
      <c r="T72" t="inlineStr">
        <is>
          <t>Horizontal</t>
        </is>
      </c>
      <c r="U72" t="n">
        <v>5</v>
      </c>
      <c r="V72" t="b">
        <v>1</v>
      </c>
      <c r="W72" t="inlineStr">
        <is>
          <t>Asset schedule!P5:T5</t>
        </is>
      </c>
      <c r="X72">
        <f>R2C[0]*R[0]C14</f>
        <v/>
      </c>
    </row>
    <row r="73">
      <c r="A73" t="inlineStr">
        <is>
          <t>Asset schedule</t>
        </is>
      </c>
      <c r="B73" t="inlineStr">
        <is>
          <t>A6</t>
        </is>
      </c>
      <c r="C73" t="n">
        <v>6</v>
      </c>
      <c r="D73" t="n">
        <v>1</v>
      </c>
      <c r="E73" t="inlineStr">
        <is>
          <t>Input</t>
        </is>
      </c>
      <c r="F73" t="n">
        <v/>
      </c>
      <c r="G73" t="inlineStr">
        <is>
          <t>Closing balance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Asset schedule</t>
        </is>
      </c>
      <c r="B74" t="inlineStr">
        <is>
          <t>D6</t>
        </is>
      </c>
      <c r="C74" t="n">
        <v>6</v>
      </c>
      <c r="D74" t="n">
        <v>4</v>
      </c>
      <c r="E74" t="inlineStr">
        <is>
          <t>Input</t>
        </is>
      </c>
      <c r="F74" t="n">
        <v/>
      </c>
      <c r="G74" t="n">
        <v>130.61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Asset schedule</t>
        </is>
      </c>
      <c r="B75" t="inlineStr">
        <is>
          <t>E6</t>
        </is>
      </c>
      <c r="C75" t="n">
        <v>6</v>
      </c>
      <c r="D75" t="n">
        <v>5</v>
      </c>
      <c r="E75" t="inlineStr">
        <is>
          <t>Calculation</t>
        </is>
      </c>
      <c r="F75" t="inlineStr">
        <is>
          <t>'=E2+E3-E4-E5</t>
        </is>
      </c>
      <c r="G75" t="n">
        <v>130.61</v>
      </c>
      <c r="H75" t="inlineStr"/>
      <c r="I75" t="inlineStr">
        <is>
          <t>0.00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inlineStr">
        <is>
          <t>G000125</t>
        </is>
      </c>
      <c r="T75" t="inlineStr">
        <is>
          <t>Horizontal</t>
        </is>
      </c>
      <c r="U75" t="n">
        <v>5</v>
      </c>
      <c r="V75" t="b">
        <v>1</v>
      </c>
      <c r="W75" t="inlineStr">
        <is>
          <t>Asset schedule!E6:I6</t>
        </is>
      </c>
      <c r="X75">
        <f>R[-4]C[0]+R[-3]C[0]-R[-2]C[0]-R[-1]C[0]</f>
        <v/>
      </c>
    </row>
    <row r="76">
      <c r="A76" t="inlineStr">
        <is>
          <t>Asset schedule</t>
        </is>
      </c>
      <c r="B76" t="inlineStr">
        <is>
          <t>F6</t>
        </is>
      </c>
      <c r="C76" t="n">
        <v>6</v>
      </c>
      <c r="D76" t="n">
        <v>6</v>
      </c>
      <c r="E76" t="inlineStr">
        <is>
          <t>Calculation</t>
        </is>
      </c>
      <c r="F76" t="inlineStr">
        <is>
          <t>'=F2+F3-F4-F5</t>
        </is>
      </c>
      <c r="G76" t="n">
        <v>130.61</v>
      </c>
      <c r="H76" t="inlineStr"/>
      <c r="I76" t="inlineStr">
        <is>
          <t>0.00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inlineStr">
        <is>
          <t>G000125</t>
        </is>
      </c>
      <c r="T76" t="inlineStr">
        <is>
          <t>Horizontal</t>
        </is>
      </c>
      <c r="U76" t="n">
        <v>5</v>
      </c>
      <c r="V76" t="b">
        <v>1</v>
      </c>
      <c r="W76" t="inlineStr">
        <is>
          <t>Asset schedule!E6:I6</t>
        </is>
      </c>
      <c r="X76">
        <f>R[-4]C[0]+R[-3]C[0]-R[-2]C[0]-R[-1]C[0]</f>
        <v/>
      </c>
    </row>
    <row r="77">
      <c r="A77" t="inlineStr">
        <is>
          <t>Asset schedule</t>
        </is>
      </c>
      <c r="B77" t="inlineStr">
        <is>
          <t>G6</t>
        </is>
      </c>
      <c r="C77" t="n">
        <v>6</v>
      </c>
      <c r="D77" t="n">
        <v>7</v>
      </c>
      <c r="E77" t="inlineStr">
        <is>
          <t>Calculation</t>
        </is>
      </c>
      <c r="F77" t="inlineStr">
        <is>
          <t>'=G2+G3-G4-G5</t>
        </is>
      </c>
      <c r="G77" t="n">
        <v>130.61</v>
      </c>
      <c r="H77" t="inlineStr"/>
      <c r="I77" t="inlineStr">
        <is>
          <t>0.00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inlineStr">
        <is>
          <t>G000125</t>
        </is>
      </c>
      <c r="T77" t="inlineStr">
        <is>
          <t>Horizontal</t>
        </is>
      </c>
      <c r="U77" t="n">
        <v>5</v>
      </c>
      <c r="V77" t="b">
        <v>1</v>
      </c>
      <c r="W77" t="inlineStr">
        <is>
          <t>Asset schedule!E6:I6</t>
        </is>
      </c>
      <c r="X77">
        <f>R[-4]C[0]+R[-3]C[0]-R[-2]C[0]-R[-1]C[0]</f>
        <v/>
      </c>
    </row>
    <row r="78">
      <c r="A78" t="inlineStr">
        <is>
          <t>Asset schedule</t>
        </is>
      </c>
      <c r="B78" t="inlineStr">
        <is>
          <t>H6</t>
        </is>
      </c>
      <c r="C78" t="n">
        <v>6</v>
      </c>
      <c r="D78" t="n">
        <v>8</v>
      </c>
      <c r="E78" t="inlineStr">
        <is>
          <t>Calculation</t>
        </is>
      </c>
      <c r="F78" t="inlineStr">
        <is>
          <t>'=H2+H3-H4-H5</t>
        </is>
      </c>
      <c r="G78" t="n">
        <v>130.61</v>
      </c>
      <c r="H78" t="inlineStr"/>
      <c r="I78" t="inlineStr">
        <is>
          <t>0.00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inlineStr">
        <is>
          <t>G000125</t>
        </is>
      </c>
      <c r="T78" t="inlineStr">
        <is>
          <t>Horizontal</t>
        </is>
      </c>
      <c r="U78" t="n">
        <v>5</v>
      </c>
      <c r="V78" t="b">
        <v>1</v>
      </c>
      <c r="W78" t="inlineStr">
        <is>
          <t>Asset schedule!E6:I6</t>
        </is>
      </c>
      <c r="X78">
        <f>R[-4]C[0]+R[-3]C[0]-R[-2]C[0]-R[-1]C[0]</f>
        <v/>
      </c>
    </row>
    <row r="79">
      <c r="A79" t="inlineStr">
        <is>
          <t>Asset schedule</t>
        </is>
      </c>
      <c r="B79" t="inlineStr">
        <is>
          <t>I6</t>
        </is>
      </c>
      <c r="C79" t="n">
        <v>6</v>
      </c>
      <c r="D79" t="n">
        <v>9</v>
      </c>
      <c r="E79" t="inlineStr">
        <is>
          <t>Calculation</t>
        </is>
      </c>
      <c r="F79" t="inlineStr">
        <is>
          <t>'=I2+I3-I4-I5</t>
        </is>
      </c>
      <c r="G79" t="n">
        <v>130.61</v>
      </c>
      <c r="H79" t="inlineStr"/>
      <c r="I79" t="inlineStr">
        <is>
          <t>0.00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inlineStr">
        <is>
          <t>G000125</t>
        </is>
      </c>
      <c r="T79" t="inlineStr">
        <is>
          <t>Horizontal</t>
        </is>
      </c>
      <c r="U79" t="n">
        <v>5</v>
      </c>
      <c r="V79" t="b">
        <v>1</v>
      </c>
      <c r="W79" t="inlineStr">
        <is>
          <t>Asset schedule!E6:I6</t>
        </is>
      </c>
      <c r="X79">
        <f>R[-4]C[0]+R[-3]C[0]-R[-2]C[0]-R[-1]C[0]</f>
        <v/>
      </c>
    </row>
    <row r="80">
      <c r="A80" t="inlineStr">
        <is>
          <t>Asset schedule</t>
        </is>
      </c>
      <c r="B80" t="inlineStr">
        <is>
          <t>L6</t>
        </is>
      </c>
      <c r="C80" t="n">
        <v>6</v>
      </c>
      <c r="D80" t="n">
        <v>12</v>
      </c>
      <c r="E80" t="inlineStr">
        <is>
          <t>Input</t>
        </is>
      </c>
      <c r="F80" t="n">
        <v/>
      </c>
      <c r="G80" t="inlineStr">
        <is>
          <t>Freehold Mining Land</t>
        </is>
      </c>
      <c r="H80" t="inlineStr"/>
      <c r="I80" t="inlineStr">
        <is>
          <t>General</t>
        </is>
      </c>
      <c r="J80" t="b">
        <v>1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Asset schedule</t>
        </is>
      </c>
      <c r="B81" t="inlineStr">
        <is>
          <t>N6</t>
        </is>
      </c>
      <c r="C81" t="n">
        <v>6</v>
      </c>
      <c r="D81" t="n">
        <v>14</v>
      </c>
      <c r="E81" t="inlineStr">
        <is>
          <t>Calculation</t>
        </is>
      </c>
      <c r="F81" t="inlineStr">
        <is>
          <t>'=O6/$O$16</t>
        </is>
      </c>
      <c r="G81" t="n">
        <v>0.006456734585869277</v>
      </c>
      <c r="H81" t="inlineStr"/>
      <c r="I81" t="inlineStr">
        <is>
          <t>0%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inlineStr">
        <is>
          <t>G000113</t>
        </is>
      </c>
      <c r="T81" t="inlineStr">
        <is>
          <t>Vertical</t>
        </is>
      </c>
      <c r="U81" t="n">
        <v>11</v>
      </c>
      <c r="V81" t="b">
        <v>1</v>
      </c>
      <c r="W81" t="inlineStr">
        <is>
          <t>Asset schedule!N5:N15</t>
        </is>
      </c>
      <c r="X81">
        <f>R[0]C[1]/R16C15</f>
        <v/>
      </c>
    </row>
    <row r="82">
      <c r="A82" t="inlineStr">
        <is>
          <t>Asset schedule</t>
        </is>
      </c>
      <c r="B82" t="inlineStr">
        <is>
          <t>O6</t>
        </is>
      </c>
      <c r="C82" t="n">
        <v>6</v>
      </c>
      <c r="D82" t="n">
        <v>15</v>
      </c>
      <c r="E82" t="inlineStr">
        <is>
          <t>Calculation</t>
        </is>
      </c>
      <c r="F82" t="inlineStr">
        <is>
          <t>'=D11</t>
        </is>
      </c>
      <c r="G82" t="n">
        <v>2.44</v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>
        <f>R[5]C[-11]</f>
        <v/>
      </c>
    </row>
    <row r="83">
      <c r="A83" t="inlineStr">
        <is>
          <t>Asset schedule</t>
        </is>
      </c>
      <c r="B83" t="inlineStr">
        <is>
          <t>P6</t>
        </is>
      </c>
      <c r="C83" t="n">
        <v>6</v>
      </c>
      <c r="D83" t="n">
        <v>16</v>
      </c>
      <c r="E83" t="inlineStr">
        <is>
          <t>Calculation</t>
        </is>
      </c>
      <c r="F83" t="inlineStr">
        <is>
          <t>'=P$2*$N6</t>
        </is>
      </c>
      <c r="G83" t="n">
        <v>2.626860759493671</v>
      </c>
      <c r="H83" t="inlineStr"/>
      <c r="I83" t="inlineStr">
        <is>
          <t>0.00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inlineStr">
        <is>
          <t>G000115</t>
        </is>
      </c>
      <c r="T83" t="inlineStr">
        <is>
          <t>Horizontal</t>
        </is>
      </c>
      <c r="U83" t="n">
        <v>5</v>
      </c>
      <c r="V83" t="b">
        <v>1</v>
      </c>
      <c r="W83" t="inlineStr">
        <is>
          <t>Asset schedule!P6:T6</t>
        </is>
      </c>
      <c r="X83">
        <f>R2C[0]*R[0]C14</f>
        <v/>
      </c>
    </row>
    <row r="84">
      <c r="A84" t="inlineStr">
        <is>
          <t>Asset schedule</t>
        </is>
      </c>
      <c r="B84" t="inlineStr">
        <is>
          <t>Q6</t>
        </is>
      </c>
      <c r="C84" t="n">
        <v>6</v>
      </c>
      <c r="D84" t="n">
        <v>17</v>
      </c>
      <c r="E84" t="inlineStr">
        <is>
          <t>Calculation</t>
        </is>
      </c>
      <c r="F84" t="inlineStr">
        <is>
          <t>'=Q$2*$N6</t>
        </is>
      </c>
      <c r="G84" t="n">
        <v>2.82630759493671</v>
      </c>
      <c r="H84" t="inlineStr"/>
      <c r="I84" t="inlineStr">
        <is>
          <t>0.00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inlineStr">
        <is>
          <t>G000115</t>
        </is>
      </c>
      <c r="T84" t="inlineStr">
        <is>
          <t>Horizontal</t>
        </is>
      </c>
      <c r="U84" t="n">
        <v>5</v>
      </c>
      <c r="V84" t="b">
        <v>1</v>
      </c>
      <c r="W84" t="inlineStr">
        <is>
          <t>Asset schedule!P6:T6</t>
        </is>
      </c>
      <c r="X84">
        <f>R2C[0]*R[0]C14</f>
        <v/>
      </c>
    </row>
    <row r="85">
      <c r="A85" t="inlineStr">
        <is>
          <t>Asset schedule</t>
        </is>
      </c>
      <c r="B85" t="inlineStr">
        <is>
          <t>R6</t>
        </is>
      </c>
      <c r="C85" t="n">
        <v>6</v>
      </c>
      <c r="D85" t="n">
        <v>18</v>
      </c>
      <c r="E85" t="inlineStr">
        <is>
          <t>Calculation</t>
        </is>
      </c>
      <c r="F85" t="inlineStr">
        <is>
          <t>'=R$2*$N6</t>
        </is>
      </c>
      <c r="G85" t="n">
        <v>3.039131962025317</v>
      </c>
      <c r="H85" t="inlineStr"/>
      <c r="I85" t="inlineStr">
        <is>
          <t>0.00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inlineStr">
        <is>
          <t>G000115</t>
        </is>
      </c>
      <c r="T85" t="inlineStr">
        <is>
          <t>Horizontal</t>
        </is>
      </c>
      <c r="U85" t="n">
        <v>5</v>
      </c>
      <c r="V85" t="b">
        <v>1</v>
      </c>
      <c r="W85" t="inlineStr">
        <is>
          <t>Asset schedule!P6:T6</t>
        </is>
      </c>
      <c r="X85">
        <f>R2C[0]*R[0]C14</f>
        <v/>
      </c>
    </row>
    <row r="86">
      <c r="A86" t="inlineStr">
        <is>
          <t>Asset schedule</t>
        </is>
      </c>
      <c r="B86" t="inlineStr">
        <is>
          <t>S6</t>
        </is>
      </c>
      <c r="C86" t="n">
        <v>6</v>
      </c>
      <c r="D86" t="n">
        <v>19</v>
      </c>
      <c r="E86" t="inlineStr">
        <is>
          <t>Calculation</t>
        </is>
      </c>
      <c r="F86" t="inlineStr">
        <is>
          <t>'=S$2*$N6</t>
        </is>
      </c>
      <c r="G86" t="n">
        <v>3.266172996835444</v>
      </c>
      <c r="H86" t="inlineStr"/>
      <c r="I86" t="inlineStr">
        <is>
          <t>0.00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inlineStr">
        <is>
          <t>G000115</t>
        </is>
      </c>
      <c r="T86" t="inlineStr">
        <is>
          <t>Horizontal</t>
        </is>
      </c>
      <c r="U86" t="n">
        <v>5</v>
      </c>
      <c r="V86" t="b">
        <v>1</v>
      </c>
      <c r="W86" t="inlineStr">
        <is>
          <t>Asset schedule!P6:T6</t>
        </is>
      </c>
      <c r="X86">
        <f>R2C[0]*R[0]C14</f>
        <v/>
      </c>
    </row>
    <row r="87">
      <c r="A87" t="inlineStr">
        <is>
          <t>Asset schedule</t>
        </is>
      </c>
      <c r="B87" t="inlineStr">
        <is>
          <t>T6</t>
        </is>
      </c>
      <c r="C87" t="n">
        <v>6</v>
      </c>
      <c r="D87" t="n">
        <v>20</v>
      </c>
      <c r="E87" t="inlineStr">
        <is>
          <t>Calculation</t>
        </is>
      </c>
      <c r="F87" t="inlineStr">
        <is>
          <t>'=T$2*$N6</t>
        </is>
      </c>
      <c r="G87" t="n">
        <v>3.508320305221521</v>
      </c>
      <c r="H87" t="inlineStr"/>
      <c r="I87" t="inlineStr">
        <is>
          <t>0.00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inlineStr">
        <is>
          <t>G000115</t>
        </is>
      </c>
      <c r="T87" t="inlineStr">
        <is>
          <t>Horizontal</t>
        </is>
      </c>
      <c r="U87" t="n">
        <v>5</v>
      </c>
      <c r="V87" t="b">
        <v>1</v>
      </c>
      <c r="W87" t="inlineStr">
        <is>
          <t>Asset schedule!P6:T6</t>
        </is>
      </c>
      <c r="X87">
        <f>R2C[0]*R[0]C14</f>
        <v/>
      </c>
    </row>
    <row r="88">
      <c r="A88" t="inlineStr">
        <is>
          <t>Asset schedule</t>
        </is>
      </c>
      <c r="B88" t="inlineStr">
        <is>
          <t>A7</t>
        </is>
      </c>
      <c r="C88" t="n">
        <v>7</v>
      </c>
      <c r="D88" t="n">
        <v>1</v>
      </c>
      <c r="E88" t="inlineStr">
        <is>
          <t>Input</t>
        </is>
      </c>
      <c r="F88" t="n">
        <v/>
      </c>
      <c r="G88" t="inlineStr">
        <is>
          <t>Depreciation rate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Asset schedule</t>
        </is>
      </c>
      <c r="B89" t="inlineStr">
        <is>
          <t>B7</t>
        </is>
      </c>
      <c r="C89" t="n">
        <v>7</v>
      </c>
      <c r="D89" t="n">
        <v>2</v>
      </c>
      <c r="E89" t="inlineStr">
        <is>
          <t>Calculation</t>
        </is>
      </c>
      <c r="F89" t="inlineStr">
        <is>
          <t>'=D5/(D2+D3-D4)</t>
        </is>
      </c>
      <c r="G89" t="n">
        <v>0</v>
      </c>
      <c r="H89" t="inlineStr"/>
      <c r="I89" t="inlineStr">
        <is>
          <t>0%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inlineStr">
        <is>
          <t>G000136</t>
        </is>
      </c>
      <c r="T89" t="inlineStr">
        <is>
          <t>Block</t>
        </is>
      </c>
      <c r="U89" t="n">
        <v>11</v>
      </c>
      <c r="V89" t="b">
        <v>1</v>
      </c>
      <c r="W89" t="inlineStr">
        <is>
          <t>Asset schedule!B7:B87</t>
        </is>
      </c>
      <c r="X89">
        <f>R[-2]C[2]/(R[-5]C[2]+R[-4]C[2]-R[-3]C[2])</f>
        <v/>
      </c>
    </row>
    <row r="90">
      <c r="A90" t="inlineStr">
        <is>
          <t>Asset schedule</t>
        </is>
      </c>
      <c r="B90" t="inlineStr">
        <is>
          <t>L7</t>
        </is>
      </c>
      <c r="C90" t="n">
        <v>7</v>
      </c>
      <c r="D90" t="n">
        <v>12</v>
      </c>
      <c r="E90" t="inlineStr">
        <is>
          <t>Input</t>
        </is>
      </c>
      <c r="F90" t="n">
        <v/>
      </c>
      <c r="G90" t="inlineStr">
        <is>
          <t>Leasehold Land</t>
        </is>
      </c>
      <c r="H90" t="inlineStr"/>
      <c r="I90" t="inlineStr">
        <is>
          <t>General</t>
        </is>
      </c>
      <c r="J90" t="b">
        <v>1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Asset schedule</t>
        </is>
      </c>
      <c r="B91" t="inlineStr">
        <is>
          <t>N7</t>
        </is>
      </c>
      <c r="C91" t="n">
        <v>7</v>
      </c>
      <c r="D91" t="n">
        <v>14</v>
      </c>
      <c r="E91" t="inlineStr">
        <is>
          <t>Calculation</t>
        </is>
      </c>
      <c r="F91" t="inlineStr">
        <is>
          <t>'=O7/$O$16</t>
        </is>
      </c>
      <c r="G91" t="n">
        <v>0.007594601746493781</v>
      </c>
      <c r="H91" t="inlineStr"/>
      <c r="I91" t="inlineStr">
        <is>
          <t>0%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inlineStr">
        <is>
          <t>G000113</t>
        </is>
      </c>
      <c r="T91" t="inlineStr">
        <is>
          <t>Vertical</t>
        </is>
      </c>
      <c r="U91" t="n">
        <v>11</v>
      </c>
      <c r="V91" t="b">
        <v>1</v>
      </c>
      <c r="W91" t="inlineStr">
        <is>
          <t>Asset schedule!N5:N15</t>
        </is>
      </c>
      <c r="X91">
        <f>R[0]C[1]/R16C15</f>
        <v/>
      </c>
    </row>
    <row r="92">
      <c r="A92" t="inlineStr">
        <is>
          <t>Asset schedule</t>
        </is>
      </c>
      <c r="B92" t="inlineStr">
        <is>
          <t>O7</t>
        </is>
      </c>
      <c r="C92" t="n">
        <v>7</v>
      </c>
      <c r="D92" t="n">
        <v>15</v>
      </c>
      <c r="E92" t="inlineStr">
        <is>
          <t>Calculation</t>
        </is>
      </c>
      <c r="F92" t="inlineStr">
        <is>
          <t>'=D19</t>
        </is>
      </c>
      <c r="G92" t="n">
        <v>2.87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>
        <f>R[12]C[-11]</f>
        <v/>
      </c>
    </row>
    <row r="93">
      <c r="A93" t="inlineStr">
        <is>
          <t>Asset schedule</t>
        </is>
      </c>
      <c r="B93" t="inlineStr">
        <is>
          <t>P7</t>
        </is>
      </c>
      <c r="C93" t="n">
        <v>7</v>
      </c>
      <c r="D93" t="n">
        <v>16</v>
      </c>
      <c r="E93" t="inlineStr">
        <is>
          <t>Calculation</t>
        </is>
      </c>
      <c r="F93" t="inlineStr">
        <is>
          <t>'=P$2*$N7</t>
        </is>
      </c>
      <c r="G93" t="n">
        <v>3.089791139240507</v>
      </c>
      <c r="H93" t="inlineStr"/>
      <c r="I93" t="inlineStr">
        <is>
          <t>0.00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inlineStr">
        <is>
          <t>G000116</t>
        </is>
      </c>
      <c r="T93" t="inlineStr">
        <is>
          <t>Horizontal</t>
        </is>
      </c>
      <c r="U93" t="n">
        <v>5</v>
      </c>
      <c r="V93" t="b">
        <v>1</v>
      </c>
      <c r="W93" t="inlineStr">
        <is>
          <t>Asset schedule!P7:T7</t>
        </is>
      </c>
      <c r="X93">
        <f>R2C[0]*R[0]C14</f>
        <v/>
      </c>
    </row>
    <row r="94">
      <c r="A94" t="inlineStr">
        <is>
          <t>Asset schedule</t>
        </is>
      </c>
      <c r="B94" t="inlineStr">
        <is>
          <t>Q7</t>
        </is>
      </c>
      <c r="C94" t="n">
        <v>7</v>
      </c>
      <c r="D94" t="n">
        <v>17</v>
      </c>
      <c r="E94" t="inlineStr">
        <is>
          <t>Calculation</t>
        </is>
      </c>
      <c r="F94" t="inlineStr">
        <is>
          <t>'=Q$2*$N7</t>
        </is>
      </c>
      <c r="G94" t="n">
        <v>3.324386392405064</v>
      </c>
      <c r="H94" t="inlineStr"/>
      <c r="I94" t="inlineStr">
        <is>
          <t>0.00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inlineStr">
        <is>
          <t>G000116</t>
        </is>
      </c>
      <c r="T94" t="inlineStr">
        <is>
          <t>Horizontal</t>
        </is>
      </c>
      <c r="U94" t="n">
        <v>5</v>
      </c>
      <c r="V94" t="b">
        <v>1</v>
      </c>
      <c r="W94" t="inlineStr">
        <is>
          <t>Asset schedule!P7:T7</t>
        </is>
      </c>
      <c r="X94">
        <f>R2C[0]*R[0]C14</f>
        <v/>
      </c>
    </row>
    <row r="95">
      <c r="A95" t="inlineStr">
        <is>
          <t>Asset schedule</t>
        </is>
      </c>
      <c r="B95" t="inlineStr">
        <is>
          <t>R7</t>
        </is>
      </c>
      <c r="C95" t="n">
        <v>7</v>
      </c>
      <c r="D95" t="n">
        <v>18</v>
      </c>
      <c r="E95" t="inlineStr">
        <is>
          <t>Calculation</t>
        </is>
      </c>
      <c r="F95" t="inlineStr">
        <is>
          <t>'=R$2*$N7</t>
        </is>
      </c>
      <c r="G95" t="n">
        <v>3.574716693037975</v>
      </c>
      <c r="H95" t="inlineStr"/>
      <c r="I95" t="inlineStr">
        <is>
          <t>0.00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inlineStr">
        <is>
          <t>G000116</t>
        </is>
      </c>
      <c r="T95" t="inlineStr">
        <is>
          <t>Horizontal</t>
        </is>
      </c>
      <c r="U95" t="n">
        <v>5</v>
      </c>
      <c r="V95" t="b">
        <v>1</v>
      </c>
      <c r="W95" t="inlineStr">
        <is>
          <t>Asset schedule!P7:T7</t>
        </is>
      </c>
      <c r="X95">
        <f>R2C[0]*R[0]C14</f>
        <v/>
      </c>
    </row>
    <row r="96">
      <c r="A96" t="inlineStr">
        <is>
          <t>Asset schedule</t>
        </is>
      </c>
      <c r="B96" t="inlineStr">
        <is>
          <t>S7</t>
        </is>
      </c>
      <c r="C96" t="n">
        <v>7</v>
      </c>
      <c r="D96" t="n">
        <v>19</v>
      </c>
      <c r="E96" t="inlineStr">
        <is>
          <t>Calculation</t>
        </is>
      </c>
      <c r="F96" t="inlineStr">
        <is>
          <t>'=S$2*$N7</t>
        </is>
      </c>
      <c r="G96" t="n">
        <v>3.841769057753165</v>
      </c>
      <c r="H96" t="inlineStr"/>
      <c r="I96" t="inlineStr">
        <is>
          <t>0.00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inlineStr">
        <is>
          <t>G000116</t>
        </is>
      </c>
      <c r="T96" t="inlineStr">
        <is>
          <t>Horizontal</t>
        </is>
      </c>
      <c r="U96" t="n">
        <v>5</v>
      </c>
      <c r="V96" t="b">
        <v>1</v>
      </c>
      <c r="W96" t="inlineStr">
        <is>
          <t>Asset schedule!P7:T7</t>
        </is>
      </c>
      <c r="X96">
        <f>R2C[0]*R[0]C14</f>
        <v/>
      </c>
    </row>
    <row r="97">
      <c r="A97" t="inlineStr">
        <is>
          <t>Asset schedule</t>
        </is>
      </c>
      <c r="B97" t="inlineStr">
        <is>
          <t>T7</t>
        </is>
      </c>
      <c r="C97" t="n">
        <v>7</v>
      </c>
      <c r="D97" t="n">
        <v>20</v>
      </c>
      <c r="E97" t="inlineStr">
        <is>
          <t>Calculation</t>
        </is>
      </c>
      <c r="F97" t="inlineStr">
        <is>
          <t>'=T$2*$N7</t>
        </is>
      </c>
      <c r="G97" t="n">
        <v>4.126589867207281</v>
      </c>
      <c r="H97" t="inlineStr"/>
      <c r="I97" t="inlineStr">
        <is>
          <t>0.00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inlineStr">
        <is>
          <t>G000116</t>
        </is>
      </c>
      <c r="T97" t="inlineStr">
        <is>
          <t>Horizontal</t>
        </is>
      </c>
      <c r="U97" t="n">
        <v>5</v>
      </c>
      <c r="V97" t="b">
        <v>1</v>
      </c>
      <c r="W97" t="inlineStr">
        <is>
          <t>Asset schedule!P7:T7</t>
        </is>
      </c>
      <c r="X97">
        <f>R2C[0]*R[0]C14</f>
        <v/>
      </c>
    </row>
    <row r="98">
      <c r="A98" t="inlineStr">
        <is>
          <t>Asset schedule</t>
        </is>
      </c>
      <c r="B98" t="inlineStr">
        <is>
          <t>L8</t>
        </is>
      </c>
      <c r="C98" t="n">
        <v>8</v>
      </c>
      <c r="D98" t="n">
        <v>12</v>
      </c>
      <c r="E98" t="inlineStr">
        <is>
          <t>Input</t>
        </is>
      </c>
      <c r="F98" t="n">
        <v/>
      </c>
      <c r="G98" t="inlineStr">
        <is>
          <t>Buildings</t>
        </is>
      </c>
      <c r="H98" t="inlineStr"/>
      <c r="I98" t="inlineStr">
        <is>
          <t>General</t>
        </is>
      </c>
      <c r="J98" t="b">
        <v>1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Asset schedule</t>
        </is>
      </c>
      <c r="B99" t="inlineStr">
        <is>
          <t>N8</t>
        </is>
      </c>
      <c r="C99" t="n">
        <v>8</v>
      </c>
      <c r="D99" t="n">
        <v>14</v>
      </c>
      <c r="E99" t="inlineStr">
        <is>
          <t>Calculation</t>
        </is>
      </c>
      <c r="F99" t="inlineStr">
        <is>
          <t>'=O8/$O$16</t>
        </is>
      </c>
      <c r="G99" t="n">
        <v>0.09465467054776396</v>
      </c>
      <c r="H99" t="inlineStr"/>
      <c r="I99" t="inlineStr">
        <is>
          <t>0%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inlineStr">
        <is>
          <t>G000113</t>
        </is>
      </c>
      <c r="T99" t="inlineStr">
        <is>
          <t>Vertical</t>
        </is>
      </c>
      <c r="U99" t="n">
        <v>11</v>
      </c>
      <c r="V99" t="b">
        <v>1</v>
      </c>
      <c r="W99" t="inlineStr">
        <is>
          <t>Asset schedule!N5:N15</t>
        </is>
      </c>
      <c r="X99">
        <f>R[0]C[1]/R16C15</f>
        <v/>
      </c>
    </row>
    <row r="100">
      <c r="A100" t="inlineStr">
        <is>
          <t>Asset schedule</t>
        </is>
      </c>
      <c r="B100" t="inlineStr">
        <is>
          <t>O8</t>
        </is>
      </c>
      <c r="C100" t="n">
        <v>8</v>
      </c>
      <c r="D100" t="n">
        <v>15</v>
      </c>
      <c r="E100" t="inlineStr">
        <is>
          <t>Calculation</t>
        </is>
      </c>
      <c r="F100" t="inlineStr">
        <is>
          <t>'=D27</t>
        </is>
      </c>
      <c r="G100" t="n">
        <v>35.77</v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>
        <f>R[19]C[-11]</f>
        <v/>
      </c>
    </row>
    <row r="101">
      <c r="A101" t="inlineStr">
        <is>
          <t>Asset schedule</t>
        </is>
      </c>
      <c r="B101" t="inlineStr">
        <is>
          <t>P8</t>
        </is>
      </c>
      <c r="C101" t="n">
        <v>8</v>
      </c>
      <c r="D101" t="n">
        <v>16</v>
      </c>
      <c r="E101" t="inlineStr">
        <is>
          <t>Calculation</t>
        </is>
      </c>
      <c r="F101" t="inlineStr">
        <is>
          <t>'=P$2*$N8</t>
        </is>
      </c>
      <c r="G101" t="n">
        <v>38.50934810126583</v>
      </c>
      <c r="H101" t="inlineStr"/>
      <c r="I101" t="inlineStr">
        <is>
          <t>0.00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inlineStr">
        <is>
          <t>G000117</t>
        </is>
      </c>
      <c r="T101" t="inlineStr">
        <is>
          <t>Horizontal</t>
        </is>
      </c>
      <c r="U101" t="n">
        <v>5</v>
      </c>
      <c r="V101" t="b">
        <v>1</v>
      </c>
      <c r="W101" t="inlineStr">
        <is>
          <t>Asset schedule!P8:T8</t>
        </is>
      </c>
      <c r="X101">
        <f>R2C[0]*R[0]C14</f>
        <v/>
      </c>
    </row>
    <row r="102">
      <c r="A102" t="inlineStr">
        <is>
          <t>Asset schedule</t>
        </is>
      </c>
      <c r="B102" t="inlineStr">
        <is>
          <t>Q8</t>
        </is>
      </c>
      <c r="C102" t="n">
        <v>8</v>
      </c>
      <c r="D102" t="n">
        <v>17</v>
      </c>
      <c r="E102" t="inlineStr">
        <is>
          <t>Calculation</t>
        </is>
      </c>
      <c r="F102" t="inlineStr">
        <is>
          <t>'=Q$2*$N8</t>
        </is>
      </c>
      <c r="G102" t="n">
        <v>41.43320601265824</v>
      </c>
      <c r="H102" t="inlineStr"/>
      <c r="I102" t="inlineStr">
        <is>
          <t>0.00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inlineStr">
        <is>
          <t>G000117</t>
        </is>
      </c>
      <c r="T102" t="inlineStr">
        <is>
          <t>Horizontal</t>
        </is>
      </c>
      <c r="U102" t="n">
        <v>5</v>
      </c>
      <c r="V102" t="b">
        <v>1</v>
      </c>
      <c r="W102" t="inlineStr">
        <is>
          <t>Asset schedule!P8:T8</t>
        </is>
      </c>
      <c r="X102">
        <f>R2C[0]*R[0]C14</f>
        <v/>
      </c>
    </row>
    <row r="103">
      <c r="A103" t="inlineStr">
        <is>
          <t>Asset schedule</t>
        </is>
      </c>
      <c r="B103" t="inlineStr">
        <is>
          <t>R8</t>
        </is>
      </c>
      <c r="C103" t="n">
        <v>8</v>
      </c>
      <c r="D103" t="n">
        <v>18</v>
      </c>
      <c r="E103" t="inlineStr">
        <is>
          <t>Calculation</t>
        </is>
      </c>
      <c r="F103" t="inlineStr">
        <is>
          <t>'=R$2*$N8</t>
        </is>
      </c>
      <c r="G103" t="n">
        <v>44.55317634493672</v>
      </c>
      <c r="H103" t="inlineStr"/>
      <c r="I103" t="inlineStr">
        <is>
          <t>0.00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inlineStr">
        <is>
          <t>G000117</t>
        </is>
      </c>
      <c r="T103" t="inlineStr">
        <is>
          <t>Horizontal</t>
        </is>
      </c>
      <c r="U103" t="n">
        <v>5</v>
      </c>
      <c r="V103" t="b">
        <v>1</v>
      </c>
      <c r="W103" t="inlineStr">
        <is>
          <t>Asset schedule!P8:T8</t>
        </is>
      </c>
      <c r="X103">
        <f>R2C[0]*R[0]C14</f>
        <v/>
      </c>
    </row>
    <row r="104">
      <c r="A104" t="inlineStr">
        <is>
          <t>Asset schedule</t>
        </is>
      </c>
      <c r="B104" t="inlineStr">
        <is>
          <t>S8</t>
        </is>
      </c>
      <c r="C104" t="n">
        <v>8</v>
      </c>
      <c r="D104" t="n">
        <v>19</v>
      </c>
      <c r="E104" t="inlineStr">
        <is>
          <t>Calculation</t>
        </is>
      </c>
      <c r="F104" t="inlineStr">
        <is>
          <t>'=S$2*$N8</t>
        </is>
      </c>
      <c r="G104" t="n">
        <v>47.8815606954114</v>
      </c>
      <c r="H104" t="inlineStr"/>
      <c r="I104" t="inlineStr">
        <is>
          <t>0.00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1</v>
      </c>
      <c r="S104" t="inlineStr">
        <is>
          <t>G000117</t>
        </is>
      </c>
      <c r="T104" t="inlineStr">
        <is>
          <t>Horizontal</t>
        </is>
      </c>
      <c r="U104" t="n">
        <v>5</v>
      </c>
      <c r="V104" t="b">
        <v>1</v>
      </c>
      <c r="W104" t="inlineStr">
        <is>
          <t>Asset schedule!P8:T8</t>
        </is>
      </c>
      <c r="X104">
        <f>R2C[0]*R[0]C14</f>
        <v/>
      </c>
    </row>
    <row r="105">
      <c r="A105" t="inlineStr">
        <is>
          <t>Asset schedule</t>
        </is>
      </c>
      <c r="B105" t="inlineStr">
        <is>
          <t>T8</t>
        </is>
      </c>
      <c r="C105" t="n">
        <v>8</v>
      </c>
      <c r="D105" t="n">
        <v>20</v>
      </c>
      <c r="E105" t="inlineStr">
        <is>
          <t>Calculation</t>
        </is>
      </c>
      <c r="F105" t="inlineStr">
        <is>
          <t>'=T$2*$N8</t>
        </is>
      </c>
      <c r="G105" t="n">
        <v>51.43140054007123</v>
      </c>
      <c r="H105" t="inlineStr"/>
      <c r="I105" t="inlineStr">
        <is>
          <t>0.00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inlineStr">
        <is>
          <t>G000117</t>
        </is>
      </c>
      <c r="T105" t="inlineStr">
        <is>
          <t>Horizontal</t>
        </is>
      </c>
      <c r="U105" t="n">
        <v>5</v>
      </c>
      <c r="V105" t="b">
        <v>1</v>
      </c>
      <c r="W105" t="inlineStr">
        <is>
          <t>Asset schedule!P8:T8</t>
        </is>
      </c>
      <c r="X105">
        <f>R2C[0]*R[0]C14</f>
        <v/>
      </c>
    </row>
    <row r="106">
      <c r="A106" t="inlineStr">
        <is>
          <t>Asset schedule</t>
        </is>
      </c>
      <c r="B106" t="inlineStr">
        <is>
          <t>A9</t>
        </is>
      </c>
      <c r="C106" t="n">
        <v>9</v>
      </c>
      <c r="D106" t="n">
        <v>1</v>
      </c>
      <c r="E106" t="inlineStr">
        <is>
          <t>Input</t>
        </is>
      </c>
      <c r="F106" t="n">
        <v/>
      </c>
      <c r="G106" t="inlineStr">
        <is>
          <t>Freehold Mining Land</t>
        </is>
      </c>
      <c r="H106" t="inlineStr"/>
      <c r="I106" t="inlineStr">
        <is>
          <t>General</t>
        </is>
      </c>
      <c r="J106" t="b">
        <v>1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Asset schedule</t>
        </is>
      </c>
      <c r="B107" t="inlineStr">
        <is>
          <t>B9</t>
        </is>
      </c>
      <c r="C107" t="n">
        <v>9</v>
      </c>
      <c r="D107" t="n">
        <v>2</v>
      </c>
      <c r="E107" t="inlineStr">
        <is>
          <t>Input</t>
        </is>
      </c>
      <c r="F107" t="n">
        <v/>
      </c>
      <c r="G107" t="n">
        <v>2015</v>
      </c>
      <c r="H107" t="inlineStr"/>
      <c r="I107" t="inlineStr">
        <is>
          <t>General</t>
        </is>
      </c>
      <c r="J107" t="b">
        <v>1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Values must be of type &lt;class 'str'&gt;</t>
        </is>
      </c>
      <c r="O107" t="inlineStr">
        <is>
          <t>center</t>
        </is>
      </c>
      <c r="P107" t="inlineStr">
        <is>
          <t>center</t>
        </is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Asset schedule</t>
        </is>
      </c>
      <c r="B108" t="inlineStr">
        <is>
          <t>C9</t>
        </is>
      </c>
      <c r="C108" t="n">
        <v>9</v>
      </c>
      <c r="D108" t="n">
        <v>3</v>
      </c>
      <c r="E108" t="inlineStr">
        <is>
          <t>Input</t>
        </is>
      </c>
      <c r="F108" t="n">
        <v/>
      </c>
      <c r="G108" t="n">
        <v>2016</v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Values must be of type &lt;class 'str'&gt;</t>
        </is>
      </c>
      <c r="O108" t="inlineStr">
        <is>
          <t>center</t>
        </is>
      </c>
      <c r="P108" t="inlineStr">
        <is>
          <t>center</t>
        </is>
      </c>
      <c r="R108" t="b">
        <v>1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Asset schedule</t>
        </is>
      </c>
      <c r="B109" t="inlineStr">
        <is>
          <t>D9</t>
        </is>
      </c>
      <c r="C109" t="n">
        <v>9</v>
      </c>
      <c r="D109" t="n">
        <v>4</v>
      </c>
      <c r="E109" t="inlineStr">
        <is>
          <t>Input</t>
        </is>
      </c>
      <c r="F109" t="n">
        <v/>
      </c>
      <c r="G109" t="n">
        <v>2017</v>
      </c>
      <c r="H109" t="inlineStr"/>
      <c r="I109" t="inlineStr">
        <is>
          <t>General</t>
        </is>
      </c>
      <c r="J109" t="b">
        <v>1</v>
      </c>
      <c r="K109" t="b">
        <v>0</v>
      </c>
      <c r="L109" t="n">
        <v>11</v>
      </c>
      <c r="M109" t="inlineStr">
        <is>
          <t>Values must be of type &lt;class 'str'&gt;</t>
        </is>
      </c>
      <c r="N109" t="inlineStr">
        <is>
          <t>Values must be of type &lt;class 'str'&gt;</t>
        </is>
      </c>
      <c r="O109" t="inlineStr">
        <is>
          <t>center</t>
        </is>
      </c>
      <c r="P109" t="inlineStr">
        <is>
          <t>center</t>
        </is>
      </c>
      <c r="R109" t="b">
        <v>1</v>
      </c>
      <c r="S109" t="n">
        <v/>
      </c>
      <c r="T109" t="n">
        <v/>
      </c>
      <c r="U109" t="n">
        <v/>
      </c>
      <c r="V109" t="b">
        <v>0</v>
      </c>
      <c r="W109" t="inlineStr"/>
      <c r="X109" t="n">
        <v/>
      </c>
    </row>
    <row r="110">
      <c r="A110" t="inlineStr">
        <is>
          <t>Asset schedule</t>
        </is>
      </c>
      <c r="B110" t="inlineStr">
        <is>
          <t>E9</t>
        </is>
      </c>
      <c r="C110" t="n">
        <v>9</v>
      </c>
      <c r="D110" t="n">
        <v>5</v>
      </c>
      <c r="E110" t="inlineStr">
        <is>
          <t>Input</t>
        </is>
      </c>
      <c r="F110" t="n">
        <v/>
      </c>
      <c r="G110" t="inlineStr">
        <is>
          <t>2018 F</t>
        </is>
      </c>
      <c r="H110" t="inlineStr"/>
      <c r="I110" t="inlineStr">
        <is>
          <t>General</t>
        </is>
      </c>
      <c r="J110" t="b">
        <v>1</v>
      </c>
      <c r="K110" t="b">
        <v>0</v>
      </c>
      <c r="L110" t="n">
        <v>11</v>
      </c>
      <c r="M110" t="inlineStr">
        <is>
          <t>Values must be of type &lt;class 'str'&gt;</t>
        </is>
      </c>
      <c r="N110" t="inlineStr">
        <is>
          <t>Values must be of type &lt;class 'str'&gt;</t>
        </is>
      </c>
      <c r="O110" t="inlineStr">
        <is>
          <t>center</t>
        </is>
      </c>
      <c r="P110" t="inlineStr">
        <is>
          <t>center</t>
        </is>
      </c>
      <c r="R110" t="b">
        <v>1</v>
      </c>
      <c r="S110" t="n">
        <v/>
      </c>
      <c r="T110" t="n">
        <v/>
      </c>
      <c r="U110" t="n">
        <v/>
      </c>
      <c r="V110" t="b">
        <v>0</v>
      </c>
      <c r="W110" t="inlineStr"/>
      <c r="X110" t="n">
        <v/>
      </c>
    </row>
    <row r="111">
      <c r="A111" t="inlineStr">
        <is>
          <t>Asset schedule</t>
        </is>
      </c>
      <c r="B111" t="inlineStr">
        <is>
          <t>F9</t>
        </is>
      </c>
      <c r="C111" t="n">
        <v>9</v>
      </c>
      <c r="D111" t="n">
        <v>6</v>
      </c>
      <c r="E111" t="inlineStr">
        <is>
          <t>Input</t>
        </is>
      </c>
      <c r="F111" t="n">
        <v/>
      </c>
      <c r="G111" t="inlineStr">
        <is>
          <t>2019 F</t>
        </is>
      </c>
      <c r="H111" t="inlineStr"/>
      <c r="I111" t="inlineStr">
        <is>
          <t>General</t>
        </is>
      </c>
      <c r="J111" t="b">
        <v>1</v>
      </c>
      <c r="K111" t="b">
        <v>0</v>
      </c>
      <c r="L111" t="n">
        <v>11</v>
      </c>
      <c r="M111" t="inlineStr">
        <is>
          <t>Values must be of type &lt;class 'str'&gt;</t>
        </is>
      </c>
      <c r="N111" t="inlineStr">
        <is>
          <t>Values must be of type &lt;class 'str'&gt;</t>
        </is>
      </c>
      <c r="O111" t="inlineStr">
        <is>
          <t>center</t>
        </is>
      </c>
      <c r="P111" t="inlineStr">
        <is>
          <t>center</t>
        </is>
      </c>
      <c r="R111" t="b">
        <v>1</v>
      </c>
      <c r="S111" t="n">
        <v/>
      </c>
      <c r="T111" t="n">
        <v/>
      </c>
      <c r="U111" t="n">
        <v/>
      </c>
      <c r="V111" t="b">
        <v>0</v>
      </c>
      <c r="W111" t="inlineStr"/>
      <c r="X111" t="n">
        <v/>
      </c>
    </row>
    <row r="112">
      <c r="A112" t="inlineStr">
        <is>
          <t>Asset schedule</t>
        </is>
      </c>
      <c r="B112" t="inlineStr">
        <is>
          <t>G9</t>
        </is>
      </c>
      <c r="C112" t="n">
        <v>9</v>
      </c>
      <c r="D112" t="n">
        <v>7</v>
      </c>
      <c r="E112" t="inlineStr">
        <is>
          <t>Input</t>
        </is>
      </c>
      <c r="F112" t="n">
        <v/>
      </c>
      <c r="G112" t="inlineStr">
        <is>
          <t>2020 F</t>
        </is>
      </c>
      <c r="H112" t="inlineStr"/>
      <c r="I112" t="inlineStr">
        <is>
          <t>General</t>
        </is>
      </c>
      <c r="J112" t="b">
        <v>1</v>
      </c>
      <c r="K112" t="b">
        <v>0</v>
      </c>
      <c r="L112" t="n">
        <v>11</v>
      </c>
      <c r="M112" t="inlineStr">
        <is>
          <t>Values must be of type &lt;class 'str'&gt;</t>
        </is>
      </c>
      <c r="N112" t="inlineStr">
        <is>
          <t>Values must be of type &lt;class 'str'&gt;</t>
        </is>
      </c>
      <c r="O112" t="inlineStr">
        <is>
          <t>center</t>
        </is>
      </c>
      <c r="P112" t="inlineStr">
        <is>
          <t>center</t>
        </is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Asset schedule</t>
        </is>
      </c>
      <c r="B113" t="inlineStr">
        <is>
          <t>H9</t>
        </is>
      </c>
      <c r="C113" t="n">
        <v>9</v>
      </c>
      <c r="D113" t="n">
        <v>8</v>
      </c>
      <c r="E113" t="inlineStr">
        <is>
          <t>Input</t>
        </is>
      </c>
      <c r="F113" t="n">
        <v/>
      </c>
      <c r="G113" t="inlineStr">
        <is>
          <t>2021 F</t>
        </is>
      </c>
      <c r="H113" t="inlineStr"/>
      <c r="I113" t="inlineStr">
        <is>
          <t>General</t>
        </is>
      </c>
      <c r="J113" t="b">
        <v>1</v>
      </c>
      <c r="K113" t="b">
        <v>0</v>
      </c>
      <c r="L113" t="n">
        <v>11</v>
      </c>
      <c r="M113" t="inlineStr">
        <is>
          <t>Values must be of type &lt;class 'str'&gt;</t>
        </is>
      </c>
      <c r="N113" t="inlineStr">
        <is>
          <t>Values must be of type &lt;class 'str'&gt;</t>
        </is>
      </c>
      <c r="O113" t="inlineStr">
        <is>
          <t>center</t>
        </is>
      </c>
      <c r="P113" t="inlineStr">
        <is>
          <t>center</t>
        </is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Asset schedule</t>
        </is>
      </c>
      <c r="B114" t="inlineStr">
        <is>
          <t>I9</t>
        </is>
      </c>
      <c r="C114" t="n">
        <v>9</v>
      </c>
      <c r="D114" t="n">
        <v>9</v>
      </c>
      <c r="E114" t="inlineStr">
        <is>
          <t>Input</t>
        </is>
      </c>
      <c r="F114" t="n">
        <v/>
      </c>
      <c r="G114" t="inlineStr">
        <is>
          <t>2022 F</t>
        </is>
      </c>
      <c r="H114" t="inlineStr"/>
      <c r="I114" t="inlineStr">
        <is>
          <t>General</t>
        </is>
      </c>
      <c r="J114" t="b">
        <v>1</v>
      </c>
      <c r="K114" t="b">
        <v>0</v>
      </c>
      <c r="L114" t="n">
        <v>11</v>
      </c>
      <c r="M114" t="inlineStr">
        <is>
          <t>Values must be of type &lt;class 'str'&gt;</t>
        </is>
      </c>
      <c r="N114" t="inlineStr">
        <is>
          <t>Values must be of type &lt;class 'str'&gt;</t>
        </is>
      </c>
      <c r="O114" t="inlineStr">
        <is>
          <t>center</t>
        </is>
      </c>
      <c r="P114" t="inlineStr">
        <is>
          <t>center</t>
        </is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Asset schedule</t>
        </is>
      </c>
      <c r="B115" t="inlineStr">
        <is>
          <t>L9</t>
        </is>
      </c>
      <c r="C115" t="n">
        <v>9</v>
      </c>
      <c r="D115" t="n">
        <v>12</v>
      </c>
      <c r="E115" t="inlineStr">
        <is>
          <t>Input</t>
        </is>
      </c>
      <c r="F115" t="n">
        <v/>
      </c>
      <c r="G115" t="inlineStr">
        <is>
          <t>Plants &amp; Eq</t>
        </is>
      </c>
      <c r="H115" t="inlineStr"/>
      <c r="I115" t="inlineStr">
        <is>
          <t>General</t>
        </is>
      </c>
      <c r="J115" t="b">
        <v>1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Asset schedule</t>
        </is>
      </c>
      <c r="B116" t="inlineStr">
        <is>
          <t>N9</t>
        </is>
      </c>
      <c r="C116" t="n">
        <v>9</v>
      </c>
      <c r="D116" t="n">
        <v>14</v>
      </c>
      <c r="E116" t="inlineStr">
        <is>
          <t>Calculation</t>
        </is>
      </c>
      <c r="F116" t="inlineStr">
        <is>
          <t>'=O9/$O$16</t>
        </is>
      </c>
      <c r="G116" t="n">
        <v>0.66806033342154</v>
      </c>
      <c r="H116" t="inlineStr"/>
      <c r="I116" t="inlineStr">
        <is>
          <t>0%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G000113</t>
        </is>
      </c>
      <c r="T116" t="inlineStr">
        <is>
          <t>Vertical</t>
        </is>
      </c>
      <c r="U116" t="n">
        <v>11</v>
      </c>
      <c r="V116" t="b">
        <v>1</v>
      </c>
      <c r="W116" t="inlineStr">
        <is>
          <t>Asset schedule!N5:N15</t>
        </is>
      </c>
      <c r="X116">
        <f>R[0]C[1]/R16C15</f>
        <v/>
      </c>
    </row>
    <row r="117">
      <c r="A117" t="inlineStr">
        <is>
          <t>Asset schedule</t>
        </is>
      </c>
      <c r="B117" t="inlineStr">
        <is>
          <t>O9</t>
        </is>
      </c>
      <c r="C117" t="n">
        <v>9</v>
      </c>
      <c r="D117" t="n">
        <v>15</v>
      </c>
      <c r="E117" t="inlineStr">
        <is>
          <t>Calculation</t>
        </is>
      </c>
      <c r="F117" t="inlineStr">
        <is>
          <t>'=D35</t>
        </is>
      </c>
      <c r="G117" t="n">
        <v>252.46</v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>
        <f>R[26]C[-11]</f>
        <v/>
      </c>
    </row>
    <row r="118">
      <c r="A118" t="inlineStr">
        <is>
          <t>Asset schedule</t>
        </is>
      </c>
      <c r="B118" t="inlineStr">
        <is>
          <t>P9</t>
        </is>
      </c>
      <c r="C118" t="n">
        <v>9</v>
      </c>
      <c r="D118" t="n">
        <v>16</v>
      </c>
      <c r="E118" t="inlineStr">
        <is>
          <t>Calculation</t>
        </is>
      </c>
      <c r="F118" t="inlineStr">
        <is>
          <t>'=P$2*$N9</t>
        </is>
      </c>
      <c r="G118" t="n">
        <v>271.7939620253165</v>
      </c>
      <c r="H118" t="inlineStr"/>
      <c r="I118" t="inlineStr">
        <is>
          <t>0.00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G000118</t>
        </is>
      </c>
      <c r="T118" t="inlineStr">
        <is>
          <t>Horizontal</t>
        </is>
      </c>
      <c r="U118" t="n">
        <v>5</v>
      </c>
      <c r="V118" t="b">
        <v>1</v>
      </c>
      <c r="W118" t="inlineStr">
        <is>
          <t>Asset schedule!P9:T9</t>
        </is>
      </c>
      <c r="X118">
        <f>R2C[0]*R[0]C14</f>
        <v/>
      </c>
    </row>
    <row r="119">
      <c r="A119" t="inlineStr">
        <is>
          <t>Asset schedule</t>
        </is>
      </c>
      <c r="B119" t="inlineStr">
        <is>
          <t>Q9</t>
        </is>
      </c>
      <c r="C119" t="n">
        <v>9</v>
      </c>
      <c r="D119" t="n">
        <v>17</v>
      </c>
      <c r="E119" t="inlineStr">
        <is>
          <t>Calculation</t>
        </is>
      </c>
      <c r="F119" t="inlineStr">
        <is>
          <t>'=Q$2*$N9</t>
        </is>
      </c>
      <c r="G119" t="n">
        <v>292.4301702531646</v>
      </c>
      <c r="H119" t="inlineStr"/>
      <c r="I119" t="inlineStr">
        <is>
          <t>0.00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G000118</t>
        </is>
      </c>
      <c r="T119" t="inlineStr">
        <is>
          <t>Horizontal</t>
        </is>
      </c>
      <c r="U119" t="n">
        <v>5</v>
      </c>
      <c r="V119" t="b">
        <v>1</v>
      </c>
      <c r="W119" t="inlineStr">
        <is>
          <t>Asset schedule!P9:T9</t>
        </is>
      </c>
      <c r="X119">
        <f>R2C[0]*R[0]C14</f>
        <v/>
      </c>
    </row>
    <row r="120">
      <c r="A120" t="inlineStr">
        <is>
          <t>Asset schedule</t>
        </is>
      </c>
      <c r="B120" t="inlineStr">
        <is>
          <t>R9</t>
        </is>
      </c>
      <c r="C120" t="n">
        <v>9</v>
      </c>
      <c r="D120" t="n">
        <v>18</v>
      </c>
      <c r="E120" t="inlineStr">
        <is>
          <t>Calculation</t>
        </is>
      </c>
      <c r="F120" t="inlineStr">
        <is>
          <t>'=R$2*$N9</t>
        </is>
      </c>
      <c r="G120" t="n">
        <v>314.4505143987342</v>
      </c>
      <c r="H120" t="inlineStr"/>
      <c r="I120" t="inlineStr">
        <is>
          <t>0.00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inlineStr">
        <is>
          <t>G000118</t>
        </is>
      </c>
      <c r="T120" t="inlineStr">
        <is>
          <t>Horizontal</t>
        </is>
      </c>
      <c r="U120" t="n">
        <v>5</v>
      </c>
      <c r="V120" t="b">
        <v>1</v>
      </c>
      <c r="W120" t="inlineStr">
        <is>
          <t>Asset schedule!P9:T9</t>
        </is>
      </c>
      <c r="X120">
        <f>R2C[0]*R[0]C14</f>
        <v/>
      </c>
    </row>
    <row r="121">
      <c r="A121" t="inlineStr">
        <is>
          <t>Asset schedule</t>
        </is>
      </c>
      <c r="B121" t="inlineStr">
        <is>
          <t>S9</t>
        </is>
      </c>
      <c r="C121" t="n">
        <v>9</v>
      </c>
      <c r="D121" t="n">
        <v>19</v>
      </c>
      <c r="E121" t="inlineStr">
        <is>
          <t>Calculation</t>
        </is>
      </c>
      <c r="F121" t="inlineStr">
        <is>
          <t>'=S$2*$N9</t>
        </is>
      </c>
      <c r="G121" t="n">
        <v>337.9418175332279</v>
      </c>
      <c r="H121" t="inlineStr"/>
      <c r="I121" t="inlineStr">
        <is>
          <t>0.00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G000118</t>
        </is>
      </c>
      <c r="T121" t="inlineStr">
        <is>
          <t>Horizontal</t>
        </is>
      </c>
      <c r="U121" t="n">
        <v>5</v>
      </c>
      <c r="V121" t="b">
        <v>1</v>
      </c>
      <c r="W121" t="inlineStr">
        <is>
          <t>Asset schedule!P9:T9</t>
        </is>
      </c>
      <c r="X121">
        <f>R2C[0]*R[0]C14</f>
        <v/>
      </c>
    </row>
    <row r="122">
      <c r="A122" t="inlineStr">
        <is>
          <t>Asset schedule</t>
        </is>
      </c>
      <c r="B122" t="inlineStr">
        <is>
          <t>T9</t>
        </is>
      </c>
      <c r="C122" t="n">
        <v>9</v>
      </c>
      <c r="D122" t="n">
        <v>20</v>
      </c>
      <c r="E122" t="inlineStr">
        <is>
          <t>Calculation</t>
        </is>
      </c>
      <c r="F122" t="inlineStr">
        <is>
          <t>'=T$2*$N9</t>
        </is>
      </c>
      <c r="G122" t="n">
        <v>362.9961246951742</v>
      </c>
      <c r="H122" t="inlineStr"/>
      <c r="I122" t="inlineStr">
        <is>
          <t>0.00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G000118</t>
        </is>
      </c>
      <c r="T122" t="inlineStr">
        <is>
          <t>Horizontal</t>
        </is>
      </c>
      <c r="U122" t="n">
        <v>5</v>
      </c>
      <c r="V122" t="b">
        <v>1</v>
      </c>
      <c r="W122" t="inlineStr">
        <is>
          <t>Asset schedule!P9:T9</t>
        </is>
      </c>
      <c r="X122">
        <f>R2C[0]*R[0]C14</f>
        <v/>
      </c>
    </row>
    <row r="123">
      <c r="A123" t="inlineStr">
        <is>
          <t>Asset schedule</t>
        </is>
      </c>
      <c r="B123" t="inlineStr">
        <is>
          <t>A10</t>
        </is>
      </c>
      <c r="C123" t="n">
        <v>10</v>
      </c>
      <c r="D123" t="n">
        <v>1</v>
      </c>
      <c r="E123" t="inlineStr">
        <is>
          <t>Input</t>
        </is>
      </c>
      <c r="F123" t="n">
        <v/>
      </c>
      <c r="G123" t="inlineStr">
        <is>
          <t>Opening balance</t>
        </is>
      </c>
      <c r="H123" t="inlineStr"/>
      <c r="I123" t="inlineStr">
        <is>
          <t>General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Asset schedule</t>
        </is>
      </c>
      <c r="B124" t="inlineStr">
        <is>
          <t>D10</t>
        </is>
      </c>
      <c r="C124" t="n">
        <v>10</v>
      </c>
      <c r="D124" t="n">
        <v>4</v>
      </c>
      <c r="E124" t="inlineStr">
        <is>
          <t>Input</t>
        </is>
      </c>
      <c r="F124" t="n">
        <v/>
      </c>
      <c r="G124" t="n">
        <v>303.09</v>
      </c>
      <c r="H124" t="inlineStr"/>
      <c r="I124" t="inlineStr">
        <is>
          <t>0.0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Asset schedule</t>
        </is>
      </c>
      <c r="B125" t="inlineStr">
        <is>
          <t>E10</t>
        </is>
      </c>
      <c r="C125" t="n">
        <v>10</v>
      </c>
      <c r="D125" t="n">
        <v>5</v>
      </c>
      <c r="E125" t="inlineStr">
        <is>
          <t>Calculation</t>
        </is>
      </c>
      <c r="F125" t="inlineStr">
        <is>
          <t>'=D14</t>
        </is>
      </c>
      <c r="G125" t="n">
        <v>304.3</v>
      </c>
      <c r="H125" t="inlineStr"/>
      <c r="I125" t="inlineStr">
        <is>
          <t>General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G000079</t>
        </is>
      </c>
      <c r="T125" t="inlineStr">
        <is>
          <t>Horizontal</t>
        </is>
      </c>
      <c r="U125" t="n">
        <v>5</v>
      </c>
      <c r="V125" t="b">
        <v>1</v>
      </c>
      <c r="W125" t="inlineStr">
        <is>
          <t>Asset schedule!E10:I10</t>
        </is>
      </c>
      <c r="X125">
        <f>R[4]C[-1]</f>
        <v/>
      </c>
    </row>
    <row r="126">
      <c r="A126" t="inlineStr">
        <is>
          <t>Asset schedule</t>
        </is>
      </c>
      <c r="B126" t="inlineStr">
        <is>
          <t>F10</t>
        </is>
      </c>
      <c r="C126" t="n">
        <v>10</v>
      </c>
      <c r="D126" t="n">
        <v>6</v>
      </c>
      <c r="E126" t="inlineStr">
        <is>
          <t>Calculation</t>
        </is>
      </c>
      <c r="F126" t="inlineStr">
        <is>
          <t>'=E14</t>
        </is>
      </c>
      <c r="G126" t="n">
        <v>306.6571001133368</v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G000079</t>
        </is>
      </c>
      <c r="T126" t="inlineStr">
        <is>
          <t>Horizontal</t>
        </is>
      </c>
      <c r="U126" t="n">
        <v>5</v>
      </c>
      <c r="V126" t="b">
        <v>1</v>
      </c>
      <c r="W126" t="inlineStr">
        <is>
          <t>Asset schedule!E10:I10</t>
        </is>
      </c>
      <c r="X126">
        <f>R[4]C[-1]</f>
        <v/>
      </c>
    </row>
    <row r="127">
      <c r="A127" t="inlineStr">
        <is>
          <t>Asset schedule</t>
        </is>
      </c>
      <c r="B127" t="inlineStr">
        <is>
          <t>G10</t>
        </is>
      </c>
      <c r="C127" t="n">
        <v>10</v>
      </c>
      <c r="D127" t="n">
        <v>7</v>
      </c>
      <c r="E127" t="inlineStr">
        <is>
          <t>Calculation</t>
        </is>
      </c>
      <c r="F127" t="inlineStr">
        <is>
          <t>'=F14</t>
        </is>
      </c>
      <c r="G127" t="n">
        <v>309.2115575029657</v>
      </c>
      <c r="H127" t="inlineStr"/>
      <c r="I127" t="inlineStr">
        <is>
          <t>General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G000079</t>
        </is>
      </c>
      <c r="T127" t="inlineStr">
        <is>
          <t>Horizontal</t>
        </is>
      </c>
      <c r="U127" t="n">
        <v>5</v>
      </c>
      <c r="V127" t="b">
        <v>1</v>
      </c>
      <c r="W127" t="inlineStr">
        <is>
          <t>Asset schedule!E10:I10</t>
        </is>
      </c>
      <c r="X127">
        <f>R[4]C[-1]</f>
        <v/>
      </c>
    </row>
    <row r="128">
      <c r="A128" t="inlineStr">
        <is>
          <t>Asset schedule</t>
        </is>
      </c>
      <c r="B128" t="inlineStr">
        <is>
          <t>H10</t>
        </is>
      </c>
      <c r="C128" t="n">
        <v>10</v>
      </c>
      <c r="D128" t="n">
        <v>8</v>
      </c>
      <c r="E128" t="inlineStr">
        <is>
          <t>Calculation</t>
        </is>
      </c>
      <c r="F128" t="inlineStr">
        <is>
          <t>'=G14</t>
        </is>
      </c>
      <c r="G128" t="n">
        <v>311.9765747441525</v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G000079</t>
        </is>
      </c>
      <c r="T128" t="inlineStr">
        <is>
          <t>Horizontal</t>
        </is>
      </c>
      <c r="U128" t="n">
        <v>5</v>
      </c>
      <c r="V128" t="b">
        <v>1</v>
      </c>
      <c r="W128" t="inlineStr">
        <is>
          <t>Asset schedule!E10:I10</t>
        </is>
      </c>
      <c r="X128">
        <f>R[4]C[-1]</f>
        <v/>
      </c>
    </row>
    <row r="129">
      <c r="A129" t="inlineStr">
        <is>
          <t>Asset schedule</t>
        </is>
      </c>
      <c r="B129" t="inlineStr">
        <is>
          <t>I10</t>
        </is>
      </c>
      <c r="C129" t="n">
        <v>10</v>
      </c>
      <c r="D129" t="n">
        <v>9</v>
      </c>
      <c r="E129" t="inlineStr">
        <is>
          <t>Calculation</t>
        </is>
      </c>
      <c r="F129" t="inlineStr">
        <is>
          <t>'=H14</t>
        </is>
      </c>
      <c r="G129" t="n">
        <v>314.9661818442124</v>
      </c>
      <c r="H129" t="inlineStr"/>
      <c r="I129" t="inlineStr">
        <is>
          <t>General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G000079</t>
        </is>
      </c>
      <c r="T129" t="inlineStr">
        <is>
          <t>Horizontal</t>
        </is>
      </c>
      <c r="U129" t="n">
        <v>5</v>
      </c>
      <c r="V129" t="b">
        <v>1</v>
      </c>
      <c r="W129" t="inlineStr">
        <is>
          <t>Asset schedule!E10:I10</t>
        </is>
      </c>
      <c r="X129">
        <f>R[4]C[-1]</f>
        <v/>
      </c>
    </row>
    <row r="130">
      <c r="A130" t="inlineStr">
        <is>
          <t>Asset schedule</t>
        </is>
      </c>
      <c r="B130" t="inlineStr">
        <is>
          <t>L10</t>
        </is>
      </c>
      <c r="C130" t="n">
        <v>10</v>
      </c>
      <c r="D130" t="n">
        <v>12</v>
      </c>
      <c r="E130" t="inlineStr">
        <is>
          <t>Input</t>
        </is>
      </c>
      <c r="F130" t="n">
        <v/>
      </c>
      <c r="G130" t="inlineStr">
        <is>
          <t>Railway sidings</t>
        </is>
      </c>
      <c r="H130" t="inlineStr"/>
      <c r="I130" t="inlineStr">
        <is>
          <t>General</t>
        </is>
      </c>
      <c r="J130" t="b">
        <v>1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Asset schedule</t>
        </is>
      </c>
      <c r="B131" t="inlineStr">
        <is>
          <t>N10</t>
        </is>
      </c>
      <c r="C131" t="n">
        <v>10</v>
      </c>
      <c r="D131" t="n">
        <v>14</v>
      </c>
      <c r="E131" t="inlineStr">
        <is>
          <t>Calculation</t>
        </is>
      </c>
      <c r="F131" t="inlineStr">
        <is>
          <t>'=O10/$O$16</t>
        </is>
      </c>
      <c r="G131" t="n">
        <v>0.1332098438740408</v>
      </c>
      <c r="H131" t="inlineStr"/>
      <c r="I131" t="inlineStr">
        <is>
          <t>0%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G000113</t>
        </is>
      </c>
      <c r="T131" t="inlineStr">
        <is>
          <t>Vertical</t>
        </is>
      </c>
      <c r="U131" t="n">
        <v>11</v>
      </c>
      <c r="V131" t="b">
        <v>1</v>
      </c>
      <c r="W131" t="inlineStr">
        <is>
          <t>Asset schedule!N5:N15</t>
        </is>
      </c>
      <c r="X131">
        <f>R[0]C[1]/R16C15</f>
        <v/>
      </c>
    </row>
    <row r="132">
      <c r="A132" t="inlineStr">
        <is>
          <t>Asset schedule</t>
        </is>
      </c>
      <c r="B132" t="inlineStr">
        <is>
          <t>O10</t>
        </is>
      </c>
      <c r="C132" t="n">
        <v>10</v>
      </c>
      <c r="D132" t="n">
        <v>15</v>
      </c>
      <c r="E132" t="inlineStr">
        <is>
          <t>Calculation</t>
        </is>
      </c>
      <c r="F132" t="inlineStr">
        <is>
          <t>'=D43</t>
        </is>
      </c>
      <c r="G132" t="n">
        <v>50.34</v>
      </c>
      <c r="H132" t="inlineStr"/>
      <c r="I132" t="inlineStr">
        <is>
          <t>General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>
        <f>R[33]C[-11]</f>
        <v/>
      </c>
    </row>
    <row r="133">
      <c r="A133" t="inlineStr">
        <is>
          <t>Asset schedule</t>
        </is>
      </c>
      <c r="B133" t="inlineStr">
        <is>
          <t>P10</t>
        </is>
      </c>
      <c r="C133" t="n">
        <v>10</v>
      </c>
      <c r="D133" t="n">
        <v>16</v>
      </c>
      <c r="E133" t="inlineStr">
        <is>
          <t>Calculation</t>
        </is>
      </c>
      <c r="F133" t="inlineStr">
        <is>
          <t>'=P$2*$N10</t>
        </is>
      </c>
      <c r="G133" t="n">
        <v>54.19515189873419</v>
      </c>
      <c r="H133" t="inlineStr"/>
      <c r="I133" t="inlineStr">
        <is>
          <t>0.00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inlineStr">
        <is>
          <t>G000119</t>
        </is>
      </c>
      <c r="T133" t="inlineStr">
        <is>
          <t>Horizontal</t>
        </is>
      </c>
      <c r="U133" t="n">
        <v>5</v>
      </c>
      <c r="V133" t="b">
        <v>1</v>
      </c>
      <c r="W133" t="inlineStr">
        <is>
          <t>Asset schedule!P10:T10</t>
        </is>
      </c>
      <c r="X133">
        <f>R2C[0]*R[0]C14</f>
        <v/>
      </c>
    </row>
    <row r="134">
      <c r="A134" t="inlineStr">
        <is>
          <t>Asset schedule</t>
        </is>
      </c>
      <c r="B134" t="inlineStr">
        <is>
          <t>Q10</t>
        </is>
      </c>
      <c r="C134" t="n">
        <v>10</v>
      </c>
      <c r="D134" t="n">
        <v>17</v>
      </c>
      <c r="E134" t="inlineStr">
        <is>
          <t>Calculation</t>
        </is>
      </c>
      <c r="F134" t="inlineStr">
        <is>
          <t>'=Q$2*$N10</t>
        </is>
      </c>
      <c r="G134" t="n">
        <v>58.30996898734179</v>
      </c>
      <c r="H134" t="inlineStr"/>
      <c r="I134" t="inlineStr">
        <is>
          <t>0.00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G000119</t>
        </is>
      </c>
      <c r="T134" t="inlineStr">
        <is>
          <t>Horizontal</t>
        </is>
      </c>
      <c r="U134" t="n">
        <v>5</v>
      </c>
      <c r="V134" t="b">
        <v>1</v>
      </c>
      <c r="W134" t="inlineStr">
        <is>
          <t>Asset schedule!P10:T10</t>
        </is>
      </c>
      <c r="X134">
        <f>R2C[0]*R[0]C14</f>
        <v/>
      </c>
    </row>
    <row r="135">
      <c r="A135" t="inlineStr">
        <is>
          <t>Asset schedule</t>
        </is>
      </c>
      <c r="B135" t="inlineStr">
        <is>
          <t>R10</t>
        </is>
      </c>
      <c r="C135" t="n">
        <v>10</v>
      </c>
      <c r="D135" t="n">
        <v>18</v>
      </c>
      <c r="E135" t="inlineStr">
        <is>
          <t>Calculation</t>
        </is>
      </c>
      <c r="F135" t="inlineStr">
        <is>
          <t>'=R$2*$N10</t>
        </is>
      </c>
      <c r="G135" t="n">
        <v>62.70077990506331</v>
      </c>
      <c r="H135" t="inlineStr"/>
      <c r="I135" t="inlineStr">
        <is>
          <t>0.00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G000119</t>
        </is>
      </c>
      <c r="T135" t="inlineStr">
        <is>
          <t>Horizontal</t>
        </is>
      </c>
      <c r="U135" t="n">
        <v>5</v>
      </c>
      <c r="V135" t="b">
        <v>1</v>
      </c>
      <c r="W135" t="inlineStr">
        <is>
          <t>Asset schedule!P10:T10</t>
        </is>
      </c>
      <c r="X135">
        <f>R2C[0]*R[0]C14</f>
        <v/>
      </c>
    </row>
    <row r="136">
      <c r="A136" t="inlineStr">
        <is>
          <t>Asset schedule</t>
        </is>
      </c>
      <c r="B136" t="inlineStr">
        <is>
          <t>S10</t>
        </is>
      </c>
      <c r="C136" t="n">
        <v>10</v>
      </c>
      <c r="D136" t="n">
        <v>19</v>
      </c>
      <c r="E136" t="inlineStr">
        <is>
          <t>Calculation</t>
        </is>
      </c>
      <c r="F136" t="inlineStr">
        <is>
          <t>'=S$2*$N10</t>
        </is>
      </c>
      <c r="G136" t="n">
        <v>67.38489699208863</v>
      </c>
      <c r="H136" t="inlineStr"/>
      <c r="I136" t="inlineStr">
        <is>
          <t>0.00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G000119</t>
        </is>
      </c>
      <c r="T136" t="inlineStr">
        <is>
          <t>Horizontal</t>
        </is>
      </c>
      <c r="U136" t="n">
        <v>5</v>
      </c>
      <c r="V136" t="b">
        <v>1</v>
      </c>
      <c r="W136" t="inlineStr">
        <is>
          <t>Asset schedule!P10:T10</t>
        </is>
      </c>
      <c r="X136">
        <f>R2C[0]*R[0]C14</f>
        <v/>
      </c>
    </row>
    <row r="137">
      <c r="A137" t="inlineStr">
        <is>
          <t>Asset schedule</t>
        </is>
      </c>
      <c r="B137" t="inlineStr">
        <is>
          <t>T10</t>
        </is>
      </c>
      <c r="C137" t="n">
        <v>10</v>
      </c>
      <c r="D137" t="n">
        <v>20</v>
      </c>
      <c r="E137" t="inlineStr">
        <is>
          <t>Calculation</t>
        </is>
      </c>
      <c r="F137" t="inlineStr">
        <is>
          <t>'=T$2*$N10</t>
        </is>
      </c>
      <c r="G137" t="n">
        <v>72.38067383805384</v>
      </c>
      <c r="H137" t="inlineStr"/>
      <c r="I137" t="inlineStr">
        <is>
          <t>0.00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G000119</t>
        </is>
      </c>
      <c r="T137" t="inlineStr">
        <is>
          <t>Horizontal</t>
        </is>
      </c>
      <c r="U137" t="n">
        <v>5</v>
      </c>
      <c r="V137" t="b">
        <v>1</v>
      </c>
      <c r="W137" t="inlineStr">
        <is>
          <t>Asset schedule!P10:T10</t>
        </is>
      </c>
      <c r="X137">
        <f>R2C[0]*R[0]C14</f>
        <v/>
      </c>
    </row>
    <row r="138">
      <c r="A138" t="inlineStr">
        <is>
          <t>Asset schedule</t>
        </is>
      </c>
      <c r="B138" t="inlineStr">
        <is>
          <t>A11</t>
        </is>
      </c>
      <c r="C138" t="n">
        <v>11</v>
      </c>
      <c r="D138" t="n">
        <v>1</v>
      </c>
      <c r="E138" t="inlineStr">
        <is>
          <t>Input</t>
        </is>
      </c>
      <c r="F138" t="n">
        <v/>
      </c>
      <c r="G138" t="inlineStr">
        <is>
          <t>Add: purchase during the year</t>
        </is>
      </c>
      <c r="H138" t="inlineStr"/>
      <c r="I138" t="inlineStr">
        <is>
          <t>General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Asset schedule</t>
        </is>
      </c>
      <c r="B139" t="inlineStr">
        <is>
          <t>D11</t>
        </is>
      </c>
      <c r="C139" t="n">
        <v>11</v>
      </c>
      <c r="D139" t="n">
        <v>4</v>
      </c>
      <c r="E139" t="inlineStr">
        <is>
          <t>Input</t>
        </is>
      </c>
      <c r="F139" t="n">
        <v/>
      </c>
      <c r="G139" t="n">
        <v>2.44</v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Asset schedule</t>
        </is>
      </c>
      <c r="B140" t="inlineStr">
        <is>
          <t>E11</t>
        </is>
      </c>
      <c r="C140" t="n">
        <v>11</v>
      </c>
      <c r="D140" t="n">
        <v>5</v>
      </c>
      <c r="E140" t="inlineStr">
        <is>
          <t>Calculation</t>
        </is>
      </c>
      <c r="F140" t="inlineStr">
        <is>
          <t>'=INDEX($L$4:$T$15,MATCH($A9,$L$4:$L$15,0),MATCH(E9,$L$4:$T$4,0))</t>
        </is>
      </c>
      <c r="G140" t="n">
        <v>2.626860759493671</v>
      </c>
      <c r="H140" t="inlineStr"/>
      <c r="I140" t="inlineStr">
        <is>
          <t>0.0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G000091</t>
        </is>
      </c>
      <c r="T140" t="inlineStr">
        <is>
          <t>Horizontal</t>
        </is>
      </c>
      <c r="U140" t="n">
        <v>5</v>
      </c>
      <c r="V140" t="b">
        <v>1</v>
      </c>
      <c r="W140" t="inlineStr">
        <is>
          <t>Asset schedule!E11:I11</t>
        </is>
      </c>
      <c r="X140">
        <f>INDEX(R4C12:R15C20,MATCH(R[-2]C1,R4C12:R15C12,0),MATCH(R[-2]C[0],R4C12:R4C20,0))</f>
        <v/>
      </c>
    </row>
    <row r="141">
      <c r="A141" t="inlineStr">
        <is>
          <t>Asset schedule</t>
        </is>
      </c>
      <c r="B141" t="inlineStr">
        <is>
          <t>F11</t>
        </is>
      </c>
      <c r="C141" t="n">
        <v>11</v>
      </c>
      <c r="D141" t="n">
        <v>6</v>
      </c>
      <c r="E141" t="inlineStr">
        <is>
          <t>Calculation</t>
        </is>
      </c>
      <c r="F141" t="inlineStr">
        <is>
          <t>'=INDEX($L$4:$T$15,MATCH($A9,$L$4:$L$15,0),MATCH(F9,$L$4:$T$4,0))</t>
        </is>
      </c>
      <c r="G141" t="n">
        <v>2.82630759493671</v>
      </c>
      <c r="H141" t="inlineStr"/>
      <c r="I141" t="inlineStr">
        <is>
          <t>0.0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G000091</t>
        </is>
      </c>
      <c r="T141" t="inlineStr">
        <is>
          <t>Horizontal</t>
        </is>
      </c>
      <c r="U141" t="n">
        <v>5</v>
      </c>
      <c r="V141" t="b">
        <v>1</v>
      </c>
      <c r="W141" t="inlineStr">
        <is>
          <t>Asset schedule!E11:I11</t>
        </is>
      </c>
      <c r="X141">
        <f>INDEX(R4C12:R15C20,MATCH(R[-2]C1,R4C12:R15C12,0),MATCH(R[-2]C[0],R4C12:R4C20,0))</f>
        <v/>
      </c>
    </row>
    <row r="142">
      <c r="A142" t="inlineStr">
        <is>
          <t>Asset schedule</t>
        </is>
      </c>
      <c r="B142" t="inlineStr">
        <is>
          <t>G11</t>
        </is>
      </c>
      <c r="C142" t="n">
        <v>11</v>
      </c>
      <c r="D142" t="n">
        <v>7</v>
      </c>
      <c r="E142" t="inlineStr">
        <is>
          <t>Calculation</t>
        </is>
      </c>
      <c r="F142" t="inlineStr">
        <is>
          <t>'=INDEX($L$4:$T$15,MATCH($A9,$L$4:$L$15,0),MATCH(G9,$L$4:$T$4,0))</t>
        </is>
      </c>
      <c r="G142" t="n">
        <v>3.039131962025317</v>
      </c>
      <c r="H142" t="inlineStr"/>
      <c r="I142" t="inlineStr">
        <is>
          <t>0.0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G000091</t>
        </is>
      </c>
      <c r="T142" t="inlineStr">
        <is>
          <t>Horizontal</t>
        </is>
      </c>
      <c r="U142" t="n">
        <v>5</v>
      </c>
      <c r="V142" t="b">
        <v>1</v>
      </c>
      <c r="W142" t="inlineStr">
        <is>
          <t>Asset schedule!E11:I11</t>
        </is>
      </c>
      <c r="X142">
        <f>INDEX(R4C12:R15C20,MATCH(R[-2]C1,R4C12:R15C12,0),MATCH(R[-2]C[0],R4C12:R4C20,0))</f>
        <v/>
      </c>
    </row>
    <row r="143">
      <c r="A143" t="inlineStr">
        <is>
          <t>Asset schedule</t>
        </is>
      </c>
      <c r="B143" t="inlineStr">
        <is>
          <t>H11</t>
        </is>
      </c>
      <c r="C143" t="n">
        <v>11</v>
      </c>
      <c r="D143" t="n">
        <v>8</v>
      </c>
      <c r="E143" t="inlineStr">
        <is>
          <t>Calculation</t>
        </is>
      </c>
      <c r="F143" t="inlineStr">
        <is>
          <t>'=INDEX($L$4:$T$15,MATCH($A9,$L$4:$L$15,0),MATCH(H9,$L$4:$T$4,0))</t>
        </is>
      </c>
      <c r="G143" t="n">
        <v>3.266172996835444</v>
      </c>
      <c r="H143" t="inlineStr"/>
      <c r="I143" t="inlineStr">
        <is>
          <t>0.0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G000091</t>
        </is>
      </c>
      <c r="T143" t="inlineStr">
        <is>
          <t>Horizontal</t>
        </is>
      </c>
      <c r="U143" t="n">
        <v>5</v>
      </c>
      <c r="V143" t="b">
        <v>1</v>
      </c>
      <c r="W143" t="inlineStr">
        <is>
          <t>Asset schedule!E11:I11</t>
        </is>
      </c>
      <c r="X143">
        <f>INDEX(R4C12:R15C20,MATCH(R[-2]C1,R4C12:R15C12,0),MATCH(R[-2]C[0],R4C12:R4C20,0))</f>
        <v/>
      </c>
    </row>
    <row r="144">
      <c r="A144" t="inlineStr">
        <is>
          <t>Asset schedule</t>
        </is>
      </c>
      <c r="B144" t="inlineStr">
        <is>
          <t>I11</t>
        </is>
      </c>
      <c r="C144" t="n">
        <v>11</v>
      </c>
      <c r="D144" t="n">
        <v>9</v>
      </c>
      <c r="E144" t="inlineStr">
        <is>
          <t>Calculation</t>
        </is>
      </c>
      <c r="F144" t="inlineStr">
        <is>
          <t>'=INDEX($L$4:$T$15,MATCH($A9,$L$4:$L$15,0),MATCH(I9,$L$4:$T$4,0))</t>
        </is>
      </c>
      <c r="G144" t="n">
        <v>3.508320305221521</v>
      </c>
      <c r="H144" t="inlineStr"/>
      <c r="I144" t="inlineStr">
        <is>
          <t>0.0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G000091</t>
        </is>
      </c>
      <c r="T144" t="inlineStr">
        <is>
          <t>Horizontal</t>
        </is>
      </c>
      <c r="U144" t="n">
        <v>5</v>
      </c>
      <c r="V144" t="b">
        <v>1</v>
      </c>
      <c r="W144" t="inlineStr">
        <is>
          <t>Asset schedule!E11:I11</t>
        </is>
      </c>
      <c r="X144">
        <f>INDEX(R4C12:R15C20,MATCH(R[-2]C1,R4C12:R15C12,0),MATCH(R[-2]C[0],R4C12:R4C20,0))</f>
        <v/>
      </c>
    </row>
    <row r="145">
      <c r="A145" t="inlineStr">
        <is>
          <t>Asset schedule</t>
        </is>
      </c>
      <c r="B145" t="inlineStr">
        <is>
          <t>L11</t>
        </is>
      </c>
      <c r="C145" t="n">
        <v>11</v>
      </c>
      <c r="D145" t="n">
        <v>12</v>
      </c>
      <c r="E145" t="inlineStr">
        <is>
          <t>Input</t>
        </is>
      </c>
      <c r="F145" t="n">
        <v/>
      </c>
      <c r="G145" t="inlineStr">
        <is>
          <t>Office Eq</t>
        </is>
      </c>
      <c r="H145" t="inlineStr"/>
      <c r="I145" t="inlineStr">
        <is>
          <t>General</t>
        </is>
      </c>
      <c r="J145" t="b">
        <v>1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n">
        <v/>
      </c>
      <c r="T145" t="n">
        <v/>
      </c>
      <c r="U145" t="n">
        <v/>
      </c>
      <c r="V145" t="b">
        <v>0</v>
      </c>
      <c r="W145" t="inlineStr"/>
      <c r="X145" t="n">
        <v/>
      </c>
    </row>
    <row r="146">
      <c r="A146" t="inlineStr">
        <is>
          <t>Asset schedule</t>
        </is>
      </c>
      <c r="B146" t="inlineStr">
        <is>
          <t>N11</t>
        </is>
      </c>
      <c r="C146" t="n">
        <v>11</v>
      </c>
      <c r="D146" t="n">
        <v>14</v>
      </c>
      <c r="E146" t="inlineStr">
        <is>
          <t>Calculation</t>
        </is>
      </c>
      <c r="F146" t="inlineStr">
        <is>
          <t>'=O11/$O$16</t>
        </is>
      </c>
      <c r="G146" t="n">
        <v>0.0193172797036253</v>
      </c>
      <c r="H146" t="inlineStr"/>
      <c r="I146" t="inlineStr">
        <is>
          <t>0%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inlineStr">
        <is>
          <t>G000113</t>
        </is>
      </c>
      <c r="T146" t="inlineStr">
        <is>
          <t>Vertical</t>
        </is>
      </c>
      <c r="U146" t="n">
        <v>11</v>
      </c>
      <c r="V146" t="b">
        <v>1</v>
      </c>
      <c r="W146" t="inlineStr">
        <is>
          <t>Asset schedule!N5:N15</t>
        </is>
      </c>
      <c r="X146">
        <f>R[0]C[1]/R16C15</f>
        <v/>
      </c>
    </row>
    <row r="147">
      <c r="A147" t="inlineStr">
        <is>
          <t>Asset schedule</t>
        </is>
      </c>
      <c r="B147" t="inlineStr">
        <is>
          <t>O11</t>
        </is>
      </c>
      <c r="C147" t="n">
        <v>11</v>
      </c>
      <c r="D147" t="n">
        <v>15</v>
      </c>
      <c r="E147" t="inlineStr">
        <is>
          <t>Calculation</t>
        </is>
      </c>
      <c r="F147" t="inlineStr">
        <is>
          <t>'=D51</t>
        </is>
      </c>
      <c r="G147" t="n">
        <v>7.3</v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>
        <f>R[40]C[-11]</f>
        <v/>
      </c>
    </row>
    <row r="148">
      <c r="A148" t="inlineStr">
        <is>
          <t>Asset schedule</t>
        </is>
      </c>
      <c r="B148" t="inlineStr">
        <is>
          <t>P11</t>
        </is>
      </c>
      <c r="C148" t="n">
        <v>11</v>
      </c>
      <c r="D148" t="n">
        <v>16</v>
      </c>
      <c r="E148" t="inlineStr">
        <is>
          <t>Calculation</t>
        </is>
      </c>
      <c r="F148" t="inlineStr">
        <is>
          <t>'=P$2*$N11</t>
        </is>
      </c>
      <c r="G148" t="n">
        <v>7.859050632911393</v>
      </c>
      <c r="H148" t="inlineStr"/>
      <c r="I148" t="inlineStr">
        <is>
          <t>0.00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inlineStr">
        <is>
          <t>G000120</t>
        </is>
      </c>
      <c r="T148" t="inlineStr">
        <is>
          <t>Horizontal</t>
        </is>
      </c>
      <c r="U148" t="n">
        <v>5</v>
      </c>
      <c r="V148" t="b">
        <v>1</v>
      </c>
      <c r="W148" t="inlineStr">
        <is>
          <t>Asset schedule!P11:T11</t>
        </is>
      </c>
      <c r="X148">
        <f>R2C[0]*R[0]C14</f>
        <v/>
      </c>
    </row>
    <row r="149">
      <c r="A149" t="inlineStr">
        <is>
          <t>Asset schedule</t>
        </is>
      </c>
      <c r="B149" t="inlineStr">
        <is>
          <t>Q11</t>
        </is>
      </c>
      <c r="C149" t="n">
        <v>11</v>
      </c>
      <c r="D149" t="n">
        <v>17</v>
      </c>
      <c r="E149" t="inlineStr">
        <is>
          <t>Calculation</t>
        </is>
      </c>
      <c r="F149" t="inlineStr">
        <is>
          <t>'=Q$2*$N11</t>
        </is>
      </c>
      <c r="G149" t="n">
        <v>8.455756329113926</v>
      </c>
      <c r="H149" t="inlineStr"/>
      <c r="I149" t="inlineStr">
        <is>
          <t>0.00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inlineStr">
        <is>
          <t>G000120</t>
        </is>
      </c>
      <c r="T149" t="inlineStr">
        <is>
          <t>Horizontal</t>
        </is>
      </c>
      <c r="U149" t="n">
        <v>5</v>
      </c>
      <c r="V149" t="b">
        <v>1</v>
      </c>
      <c r="W149" t="inlineStr">
        <is>
          <t>Asset schedule!P11:T11</t>
        </is>
      </c>
      <c r="X149">
        <f>R2C[0]*R[0]C14</f>
        <v/>
      </c>
    </row>
    <row r="150">
      <c r="A150" t="inlineStr">
        <is>
          <t>Asset schedule</t>
        </is>
      </c>
      <c r="B150" t="inlineStr">
        <is>
          <t>R11</t>
        </is>
      </c>
      <c r="C150" t="n">
        <v>11</v>
      </c>
      <c r="D150" t="n">
        <v>18</v>
      </c>
      <c r="E150" t="inlineStr">
        <is>
          <t>Calculation</t>
        </is>
      </c>
      <c r="F150" t="inlineStr">
        <is>
          <t>'=R$2*$N11</t>
        </is>
      </c>
      <c r="G150" t="n">
        <v>9.092484968354432</v>
      </c>
      <c r="H150" t="inlineStr"/>
      <c r="I150" t="inlineStr">
        <is>
          <t>0.00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G000120</t>
        </is>
      </c>
      <c r="T150" t="inlineStr">
        <is>
          <t>Horizontal</t>
        </is>
      </c>
      <c r="U150" t="n">
        <v>5</v>
      </c>
      <c r="V150" t="b">
        <v>1</v>
      </c>
      <c r="W150" t="inlineStr">
        <is>
          <t>Asset schedule!P11:T11</t>
        </is>
      </c>
      <c r="X150">
        <f>R2C[0]*R[0]C14</f>
        <v/>
      </c>
    </row>
    <row r="151">
      <c r="A151" t="inlineStr">
        <is>
          <t>Asset schedule</t>
        </is>
      </c>
      <c r="B151" t="inlineStr">
        <is>
          <t>S11</t>
        </is>
      </c>
      <c r="C151" t="n">
        <v>11</v>
      </c>
      <c r="D151" t="n">
        <v>19</v>
      </c>
      <c r="E151" t="inlineStr">
        <is>
          <t>Calculation</t>
        </is>
      </c>
      <c r="F151" t="inlineStr">
        <is>
          <t>'=S$2*$N11</t>
        </is>
      </c>
      <c r="G151" t="n">
        <v>9.771747080696205</v>
      </c>
      <c r="H151" t="inlineStr"/>
      <c r="I151" t="inlineStr">
        <is>
          <t>0.00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inlineStr">
        <is>
          <t>G000120</t>
        </is>
      </c>
      <c r="T151" t="inlineStr">
        <is>
          <t>Horizontal</t>
        </is>
      </c>
      <c r="U151" t="n">
        <v>5</v>
      </c>
      <c r="V151" t="b">
        <v>1</v>
      </c>
      <c r="W151" t="inlineStr">
        <is>
          <t>Asset schedule!P11:T11</t>
        </is>
      </c>
      <c r="X151">
        <f>R2C[0]*R[0]C14</f>
        <v/>
      </c>
    </row>
    <row r="152">
      <c r="A152" t="inlineStr">
        <is>
          <t>Asset schedule</t>
        </is>
      </c>
      <c r="B152" t="inlineStr">
        <is>
          <t>T11</t>
        </is>
      </c>
      <c r="C152" t="n">
        <v>11</v>
      </c>
      <c r="D152" t="n">
        <v>20</v>
      </c>
      <c r="E152" t="inlineStr">
        <is>
          <t>Calculation</t>
        </is>
      </c>
      <c r="F152" t="inlineStr">
        <is>
          <t>'=T$2*$N11</t>
        </is>
      </c>
      <c r="G152" t="n">
        <v>10.49620419185127</v>
      </c>
      <c r="H152" t="inlineStr"/>
      <c r="I152" t="inlineStr">
        <is>
          <t>0.00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inlineStr">
        <is>
          <t>G000120</t>
        </is>
      </c>
      <c r="T152" t="inlineStr">
        <is>
          <t>Horizontal</t>
        </is>
      </c>
      <c r="U152" t="n">
        <v>5</v>
      </c>
      <c r="V152" t="b">
        <v>1</v>
      </c>
      <c r="W152" t="inlineStr">
        <is>
          <t>Asset schedule!P11:T11</t>
        </is>
      </c>
      <c r="X152">
        <f>R2C[0]*R[0]C14</f>
        <v/>
      </c>
    </row>
    <row r="153">
      <c r="A153" t="inlineStr">
        <is>
          <t>Asset schedule</t>
        </is>
      </c>
      <c r="B153" t="inlineStr">
        <is>
          <t>A12</t>
        </is>
      </c>
      <c r="C153" t="n">
        <v>12</v>
      </c>
      <c r="D153" t="n">
        <v>1</v>
      </c>
      <c r="E153" t="inlineStr">
        <is>
          <t>Input</t>
        </is>
      </c>
      <c r="F153" t="n">
        <v/>
      </c>
      <c r="G153" t="inlineStr">
        <is>
          <t>Less: Sale during the year</t>
        </is>
      </c>
      <c r="H153" t="inlineStr"/>
      <c r="I153" t="inlineStr">
        <is>
          <t>General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Asset schedule</t>
        </is>
      </c>
      <c r="B154" t="inlineStr">
        <is>
          <t>D12</t>
        </is>
      </c>
      <c r="C154" t="n">
        <v>12</v>
      </c>
      <c r="D154" t="n">
        <v>4</v>
      </c>
      <c r="E154" t="inlineStr">
        <is>
          <t>Input</t>
        </is>
      </c>
      <c r="F154" t="n">
        <v/>
      </c>
      <c r="G154" t="n">
        <v>0.96</v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Asset schedule</t>
        </is>
      </c>
      <c r="B155" t="inlineStr">
        <is>
          <t>E12</t>
        </is>
      </c>
      <c r="C155" t="n">
        <v>12</v>
      </c>
      <c r="D155" t="n">
        <v>5</v>
      </c>
      <c r="E155" t="inlineStr">
        <is>
          <t>Input</t>
        </is>
      </c>
      <c r="F155" t="n">
        <v/>
      </c>
      <c r="G155" t="n">
        <v>0</v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Asset schedule</t>
        </is>
      </c>
      <c r="B156" t="inlineStr">
        <is>
          <t>F12</t>
        </is>
      </c>
      <c r="C156" t="n">
        <v>12</v>
      </c>
      <c r="D156" t="n">
        <v>6</v>
      </c>
      <c r="E156" t="inlineStr">
        <is>
          <t>Input</t>
        </is>
      </c>
      <c r="F156" t="n">
        <v/>
      </c>
      <c r="G156" t="n">
        <v>0</v>
      </c>
      <c r="H156" t="inlineStr"/>
      <c r="I156" t="inlineStr">
        <is>
          <t>General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Asset schedule</t>
        </is>
      </c>
      <c r="B157" t="inlineStr">
        <is>
          <t>G12</t>
        </is>
      </c>
      <c r="C157" t="n">
        <v>12</v>
      </c>
      <c r="D157" t="n">
        <v>7</v>
      </c>
      <c r="E157" t="inlineStr">
        <is>
          <t>Input</t>
        </is>
      </c>
      <c r="F157" t="n">
        <v/>
      </c>
      <c r="G157" t="n">
        <v>0</v>
      </c>
      <c r="H157" t="inlineStr"/>
      <c r="I157" t="inlineStr">
        <is>
          <t>General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Asset schedule</t>
        </is>
      </c>
      <c r="B158" t="inlineStr">
        <is>
          <t>H12</t>
        </is>
      </c>
      <c r="C158" t="n">
        <v>12</v>
      </c>
      <c r="D158" t="n">
        <v>8</v>
      </c>
      <c r="E158" t="inlineStr">
        <is>
          <t>Input</t>
        </is>
      </c>
      <c r="F158" t="n">
        <v/>
      </c>
      <c r="G158" t="n">
        <v>0</v>
      </c>
      <c r="H158" t="inlineStr"/>
      <c r="I158" t="inlineStr">
        <is>
          <t>General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Asset schedule</t>
        </is>
      </c>
      <c r="B159" t="inlineStr">
        <is>
          <t>I12</t>
        </is>
      </c>
      <c r="C159" t="n">
        <v>12</v>
      </c>
      <c r="D159" t="n">
        <v>9</v>
      </c>
      <c r="E159" t="inlineStr">
        <is>
          <t>Input</t>
        </is>
      </c>
      <c r="F159" t="n">
        <v/>
      </c>
      <c r="G159" t="n">
        <v>0</v>
      </c>
      <c r="H159" t="inlineStr"/>
      <c r="I159" t="inlineStr">
        <is>
          <t>General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Asset schedule</t>
        </is>
      </c>
      <c r="B160" t="inlineStr">
        <is>
          <t>L12</t>
        </is>
      </c>
      <c r="C160" t="n">
        <v>12</v>
      </c>
      <c r="D160" t="n">
        <v>12</v>
      </c>
      <c r="E160" t="inlineStr">
        <is>
          <t>Input</t>
        </is>
      </c>
      <c r="F160" t="n">
        <v/>
      </c>
      <c r="G160" t="inlineStr">
        <is>
          <t>Software</t>
        </is>
      </c>
      <c r="H160" t="inlineStr"/>
      <c r="I160" t="inlineStr">
        <is>
          <t>General</t>
        </is>
      </c>
      <c r="J160" t="b">
        <v>1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Asset schedule</t>
        </is>
      </c>
      <c r="B161" t="inlineStr">
        <is>
          <t>N12</t>
        </is>
      </c>
      <c r="C161" t="n">
        <v>12</v>
      </c>
      <c r="D161" t="n">
        <v>14</v>
      </c>
      <c r="E161" t="inlineStr">
        <is>
          <t>Calculation</t>
        </is>
      </c>
      <c r="F161" t="inlineStr">
        <is>
          <t>'=O12/$O$16</t>
        </is>
      </c>
      <c r="G161" t="n">
        <v>0.0009261709446943635</v>
      </c>
      <c r="H161" t="inlineStr"/>
      <c r="I161" t="inlineStr">
        <is>
          <t>0%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inlineStr">
        <is>
          <t>G000113</t>
        </is>
      </c>
      <c r="T161" t="inlineStr">
        <is>
          <t>Vertical</t>
        </is>
      </c>
      <c r="U161" t="n">
        <v>11</v>
      </c>
      <c r="V161" t="b">
        <v>1</v>
      </c>
      <c r="W161" t="inlineStr">
        <is>
          <t>Asset schedule!N5:N15</t>
        </is>
      </c>
      <c r="X161">
        <f>R[0]C[1]/R16C15</f>
        <v/>
      </c>
    </row>
    <row r="162">
      <c r="A162" t="inlineStr">
        <is>
          <t>Asset schedule</t>
        </is>
      </c>
      <c r="B162" t="inlineStr">
        <is>
          <t>O12</t>
        </is>
      </c>
      <c r="C162" t="n">
        <v>12</v>
      </c>
      <c r="D162" t="n">
        <v>15</v>
      </c>
      <c r="E162" t="inlineStr">
        <is>
          <t>Calculation</t>
        </is>
      </c>
      <c r="F162" t="inlineStr">
        <is>
          <t>'=D59</t>
        </is>
      </c>
      <c r="G162" t="n">
        <v>0.35</v>
      </c>
      <c r="H162" t="inlineStr"/>
      <c r="I162" t="inlineStr">
        <is>
          <t>General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>
        <f>R[47]C[-11]</f>
        <v/>
      </c>
    </row>
    <row r="163">
      <c r="A163" t="inlineStr">
        <is>
          <t>Asset schedule</t>
        </is>
      </c>
      <c r="B163" t="inlineStr">
        <is>
          <t>P12</t>
        </is>
      </c>
      <c r="C163" t="n">
        <v>12</v>
      </c>
      <c r="D163" t="n">
        <v>16</v>
      </c>
      <c r="E163" t="inlineStr">
        <is>
          <t>Calculation</t>
        </is>
      </c>
      <c r="F163" t="inlineStr">
        <is>
          <t>'=P$2*$N12</t>
        </is>
      </c>
      <c r="G163" t="n">
        <v>0.3768037974683545</v>
      </c>
      <c r="H163" t="inlineStr"/>
      <c r="I163" t="inlineStr">
        <is>
          <t>0.00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inlineStr">
        <is>
          <t>G000121</t>
        </is>
      </c>
      <c r="T163" t="inlineStr">
        <is>
          <t>Horizontal</t>
        </is>
      </c>
      <c r="U163" t="n">
        <v>5</v>
      </c>
      <c r="V163" t="b">
        <v>1</v>
      </c>
      <c r="W163" t="inlineStr">
        <is>
          <t>Asset schedule!P12:T12</t>
        </is>
      </c>
      <c r="X163">
        <f>R2C[0]*R[0]C14</f>
        <v/>
      </c>
    </row>
    <row r="164">
      <c r="A164" t="inlineStr">
        <is>
          <t>Asset schedule</t>
        </is>
      </c>
      <c r="B164" t="inlineStr">
        <is>
          <t>Q12</t>
        </is>
      </c>
      <c r="C164" t="n">
        <v>12</v>
      </c>
      <c r="D164" t="n">
        <v>17</v>
      </c>
      <c r="E164" t="inlineStr">
        <is>
          <t>Calculation</t>
        </is>
      </c>
      <c r="F164" t="inlineStr">
        <is>
          <t>'=Q$2*$N12</t>
        </is>
      </c>
      <c r="G164" t="n">
        <v>0.4054129746835444</v>
      </c>
      <c r="H164" t="inlineStr"/>
      <c r="I164" t="inlineStr">
        <is>
          <t>0.00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inlineStr">
        <is>
          <t>G000121</t>
        </is>
      </c>
      <c r="T164" t="inlineStr">
        <is>
          <t>Horizontal</t>
        </is>
      </c>
      <c r="U164" t="n">
        <v>5</v>
      </c>
      <c r="V164" t="b">
        <v>1</v>
      </c>
      <c r="W164" t="inlineStr">
        <is>
          <t>Asset schedule!P12:T12</t>
        </is>
      </c>
      <c r="X164">
        <f>R2C[0]*R[0]C14</f>
        <v/>
      </c>
    </row>
    <row r="165">
      <c r="A165" t="inlineStr">
        <is>
          <t>Asset schedule</t>
        </is>
      </c>
      <c r="B165" t="inlineStr">
        <is>
          <t>R12</t>
        </is>
      </c>
      <c r="C165" t="n">
        <v>12</v>
      </c>
      <c r="D165" t="n">
        <v>18</v>
      </c>
      <c r="E165" t="inlineStr">
        <is>
          <t>Calculation</t>
        </is>
      </c>
      <c r="F165" t="inlineStr">
        <is>
          <t>'=R$2*$N12</t>
        </is>
      </c>
      <c r="G165" t="n">
        <v>0.4359410601265823</v>
      </c>
      <c r="H165" t="inlineStr"/>
      <c r="I165" t="inlineStr">
        <is>
          <t>0.00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inlineStr">
        <is>
          <t>G000121</t>
        </is>
      </c>
      <c r="T165" t="inlineStr">
        <is>
          <t>Horizontal</t>
        </is>
      </c>
      <c r="U165" t="n">
        <v>5</v>
      </c>
      <c r="V165" t="b">
        <v>1</v>
      </c>
      <c r="W165" t="inlineStr">
        <is>
          <t>Asset schedule!P12:T12</t>
        </is>
      </c>
      <c r="X165">
        <f>R2C[0]*R[0]C14</f>
        <v/>
      </c>
    </row>
    <row r="166">
      <c r="A166" t="inlineStr">
        <is>
          <t>Asset schedule</t>
        </is>
      </c>
      <c r="B166" t="inlineStr">
        <is>
          <t>S12</t>
        </is>
      </c>
      <c r="C166" t="n">
        <v>12</v>
      </c>
      <c r="D166" t="n">
        <v>19</v>
      </c>
      <c r="E166" t="inlineStr">
        <is>
          <t>Calculation</t>
        </is>
      </c>
      <c r="F166" t="inlineStr">
        <is>
          <t>'=S$2*$N12</t>
        </is>
      </c>
      <c r="G166" t="n">
        <v>0.4685084216772152</v>
      </c>
      <c r="H166" t="inlineStr"/>
      <c r="I166" t="inlineStr">
        <is>
          <t>0.00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inlineStr">
        <is>
          <t>G000121</t>
        </is>
      </c>
      <c r="T166" t="inlineStr">
        <is>
          <t>Horizontal</t>
        </is>
      </c>
      <c r="U166" t="n">
        <v>5</v>
      </c>
      <c r="V166" t="b">
        <v>1</v>
      </c>
      <c r="W166" t="inlineStr">
        <is>
          <t>Asset schedule!P12:T12</t>
        </is>
      </c>
      <c r="X166">
        <f>R2C[0]*R[0]C14</f>
        <v/>
      </c>
    </row>
    <row r="167">
      <c r="A167" t="inlineStr">
        <is>
          <t>Asset schedule</t>
        </is>
      </c>
      <c r="B167" t="inlineStr">
        <is>
          <t>T12</t>
        </is>
      </c>
      <c r="C167" t="n">
        <v>12</v>
      </c>
      <c r="D167" t="n">
        <v>20</v>
      </c>
      <c r="E167" t="inlineStr">
        <is>
          <t>Calculation</t>
        </is>
      </c>
      <c r="F167" t="inlineStr">
        <is>
          <t>'=T$2*$N12</t>
        </is>
      </c>
      <c r="G167" t="n">
        <v>0.5032426667325952</v>
      </c>
      <c r="H167" t="inlineStr"/>
      <c r="I167" t="inlineStr">
        <is>
          <t>0.00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inlineStr">
        <is>
          <t>G000121</t>
        </is>
      </c>
      <c r="T167" t="inlineStr">
        <is>
          <t>Horizontal</t>
        </is>
      </c>
      <c r="U167" t="n">
        <v>5</v>
      </c>
      <c r="V167" t="b">
        <v>1</v>
      </c>
      <c r="W167" t="inlineStr">
        <is>
          <t>Asset schedule!P12:T12</t>
        </is>
      </c>
      <c r="X167">
        <f>R2C[0]*R[0]C14</f>
        <v/>
      </c>
    </row>
    <row r="168">
      <c r="A168" t="inlineStr">
        <is>
          <t>Asset schedule</t>
        </is>
      </c>
      <c r="B168" t="inlineStr">
        <is>
          <t>A13</t>
        </is>
      </c>
      <c r="C168" t="n">
        <v>13</v>
      </c>
      <c r="D168" t="n">
        <v>1</v>
      </c>
      <c r="E168" t="inlineStr">
        <is>
          <t>Input</t>
        </is>
      </c>
      <c r="F168" t="n">
        <v/>
      </c>
      <c r="G168" t="inlineStr">
        <is>
          <t>Less: Dep</t>
        </is>
      </c>
      <c r="H168" t="inlineStr"/>
      <c r="I168" t="inlineStr">
        <is>
          <t>General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Asset schedule</t>
        </is>
      </c>
      <c r="B169" t="inlineStr">
        <is>
          <t>D13</t>
        </is>
      </c>
      <c r="C169" t="n">
        <v>13</v>
      </c>
      <c r="D169" t="n">
        <v>4</v>
      </c>
      <c r="E169" t="inlineStr">
        <is>
          <t>Input</t>
        </is>
      </c>
      <c r="F169" t="n">
        <v/>
      </c>
      <c r="G169" t="n">
        <v>0.27</v>
      </c>
      <c r="H169" t="inlineStr"/>
      <c r="I169" t="inlineStr">
        <is>
          <t>General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Asset schedule</t>
        </is>
      </c>
      <c r="B170" t="inlineStr">
        <is>
          <t>E13</t>
        </is>
      </c>
      <c r="C170" t="n">
        <v>13</v>
      </c>
      <c r="D170" t="n">
        <v>5</v>
      </c>
      <c r="E170" t="inlineStr">
        <is>
          <t>Calculation</t>
        </is>
      </c>
      <c r="F170" t="inlineStr">
        <is>
          <t>'=E10*$B15</t>
        </is>
      </c>
      <c r="G170" t="n">
        <v>0.2697606461568769</v>
      </c>
      <c r="H170" t="inlineStr"/>
      <c r="I170" t="inlineStr">
        <is>
          <t>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inlineStr">
        <is>
          <t>G000102</t>
        </is>
      </c>
      <c r="T170" t="inlineStr">
        <is>
          <t>Horizontal</t>
        </is>
      </c>
      <c r="U170" t="n">
        <v>5</v>
      </c>
      <c r="V170" t="b">
        <v>1</v>
      </c>
      <c r="W170" t="inlineStr">
        <is>
          <t>Asset schedule!E13:I13</t>
        </is>
      </c>
      <c r="X170">
        <f>R[-3]C[0]*R[2]C2</f>
        <v/>
      </c>
    </row>
    <row r="171">
      <c r="A171" t="inlineStr">
        <is>
          <t>Asset schedule</t>
        </is>
      </c>
      <c r="B171" t="inlineStr">
        <is>
          <t>F13</t>
        </is>
      </c>
      <c r="C171" t="n">
        <v>13</v>
      </c>
      <c r="D171" t="n">
        <v>6</v>
      </c>
      <c r="E171" t="inlineStr">
        <is>
          <t>Calculation</t>
        </is>
      </c>
      <c r="F171" t="inlineStr">
        <is>
          <t>'=F10*$B15</t>
        </is>
      </c>
      <c r="G171" t="n">
        <v>0.2718502053078141</v>
      </c>
      <c r="H171" t="inlineStr"/>
      <c r="I171" t="inlineStr">
        <is>
          <t>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P171" t="n">
        <v/>
      </c>
      <c r="R171" t="b">
        <v>1</v>
      </c>
      <c r="S171" t="inlineStr">
        <is>
          <t>G000102</t>
        </is>
      </c>
      <c r="T171" t="inlineStr">
        <is>
          <t>Horizontal</t>
        </is>
      </c>
      <c r="U171" t="n">
        <v>5</v>
      </c>
      <c r="V171" t="b">
        <v>1</v>
      </c>
      <c r="W171" t="inlineStr">
        <is>
          <t>Asset schedule!E13:I13</t>
        </is>
      </c>
      <c r="X171">
        <f>R[-3]C[0]*R[2]C2</f>
        <v/>
      </c>
    </row>
    <row r="172">
      <c r="A172" t="inlineStr">
        <is>
          <t>Asset schedule</t>
        </is>
      </c>
      <c r="B172" t="inlineStr">
        <is>
          <t>G13</t>
        </is>
      </c>
      <c r="C172" t="n">
        <v>13</v>
      </c>
      <c r="D172" t="n">
        <v>7</v>
      </c>
      <c r="E172" t="inlineStr">
        <is>
          <t>Calculation</t>
        </is>
      </c>
      <c r="F172" t="inlineStr">
        <is>
          <t>'=G10*$B15</t>
        </is>
      </c>
      <c r="G172" t="n">
        <v>0.2741147208385618</v>
      </c>
      <c r="H172" t="inlineStr"/>
      <c r="I172" t="inlineStr">
        <is>
          <t>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inlineStr">
        <is>
          <t>G000102</t>
        </is>
      </c>
      <c r="T172" t="inlineStr">
        <is>
          <t>Horizontal</t>
        </is>
      </c>
      <c r="U172" t="n">
        <v>5</v>
      </c>
      <c r="V172" t="b">
        <v>1</v>
      </c>
      <c r="W172" t="inlineStr">
        <is>
          <t>Asset schedule!E13:I13</t>
        </is>
      </c>
      <c r="X172">
        <f>R[-3]C[0]*R[2]C2</f>
        <v/>
      </c>
    </row>
    <row r="173">
      <c r="A173" t="inlineStr">
        <is>
          <t>Asset schedule</t>
        </is>
      </c>
      <c r="B173" t="inlineStr">
        <is>
          <t>H13</t>
        </is>
      </c>
      <c r="C173" t="n">
        <v>13</v>
      </c>
      <c r="D173" t="n">
        <v>8</v>
      </c>
      <c r="E173" t="inlineStr">
        <is>
          <t>Calculation</t>
        </is>
      </c>
      <c r="F173" t="inlineStr">
        <is>
          <t>'=H10*$B15</t>
        </is>
      </c>
      <c r="G173" t="n">
        <v>0.2765658967755234</v>
      </c>
      <c r="H173" t="inlineStr"/>
      <c r="I173" t="inlineStr">
        <is>
          <t>0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inlineStr">
        <is>
          <t>G000102</t>
        </is>
      </c>
      <c r="T173" t="inlineStr">
        <is>
          <t>Horizontal</t>
        </is>
      </c>
      <c r="U173" t="n">
        <v>5</v>
      </c>
      <c r="V173" t="b">
        <v>1</v>
      </c>
      <c r="W173" t="inlineStr">
        <is>
          <t>Asset schedule!E13:I13</t>
        </is>
      </c>
      <c r="X173">
        <f>R[-3]C[0]*R[2]C2</f>
        <v/>
      </c>
    </row>
    <row r="174">
      <c r="A174" t="inlineStr">
        <is>
          <t>Asset schedule</t>
        </is>
      </c>
      <c r="B174" t="inlineStr">
        <is>
          <t>I13</t>
        </is>
      </c>
      <c r="C174" t="n">
        <v>13</v>
      </c>
      <c r="D174" t="n">
        <v>9</v>
      </c>
      <c r="E174" t="inlineStr">
        <is>
          <t>Calculation</t>
        </is>
      </c>
      <c r="F174" t="inlineStr">
        <is>
          <t>'=I10*$B15</t>
        </is>
      </c>
      <c r="G174" t="n">
        <v>0.2792161706600694</v>
      </c>
      <c r="H174" t="inlineStr"/>
      <c r="I174" t="inlineStr">
        <is>
          <t>0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inlineStr">
        <is>
          <t>G000102</t>
        </is>
      </c>
      <c r="T174" t="inlineStr">
        <is>
          <t>Horizontal</t>
        </is>
      </c>
      <c r="U174" t="n">
        <v>5</v>
      </c>
      <c r="V174" t="b">
        <v>1</v>
      </c>
      <c r="W174" t="inlineStr">
        <is>
          <t>Asset schedule!E13:I13</t>
        </is>
      </c>
      <c r="X174">
        <f>R[-3]C[0]*R[2]C2</f>
        <v/>
      </c>
    </row>
    <row r="175">
      <c r="A175" t="inlineStr">
        <is>
          <t>Asset schedule</t>
        </is>
      </c>
      <c r="B175" t="inlineStr">
        <is>
          <t>L13</t>
        </is>
      </c>
      <c r="C175" t="n">
        <v>13</v>
      </c>
      <c r="D175" t="n">
        <v>12</v>
      </c>
      <c r="E175" t="inlineStr">
        <is>
          <t>Input</t>
        </is>
      </c>
      <c r="F175" t="n">
        <v/>
      </c>
      <c r="G175" t="inlineStr">
        <is>
          <t>Mining rights</t>
        </is>
      </c>
      <c r="H175" t="inlineStr"/>
      <c r="I175" t="inlineStr">
        <is>
          <t>General</t>
        </is>
      </c>
      <c r="J175" t="b">
        <v>1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Asset schedule</t>
        </is>
      </c>
      <c r="B176" t="inlineStr">
        <is>
          <t>N13</t>
        </is>
      </c>
      <c r="C176" t="n">
        <v>13</v>
      </c>
      <c r="D176" t="n">
        <v>14</v>
      </c>
      <c r="E176" t="inlineStr">
        <is>
          <t>Calculation</t>
        </is>
      </c>
      <c r="F176" t="inlineStr">
        <is>
          <t>'=O13/$O$16</t>
        </is>
      </c>
      <c r="G176" t="n">
        <v>0.04440328129134691</v>
      </c>
      <c r="H176" t="inlineStr"/>
      <c r="I176" t="inlineStr">
        <is>
          <t>0%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inlineStr">
        <is>
          <t>G000113</t>
        </is>
      </c>
      <c r="T176" t="inlineStr">
        <is>
          <t>Vertical</t>
        </is>
      </c>
      <c r="U176" t="n">
        <v>11</v>
      </c>
      <c r="V176" t="b">
        <v>1</v>
      </c>
      <c r="W176" t="inlineStr">
        <is>
          <t>Asset schedule!N5:N15</t>
        </is>
      </c>
      <c r="X176">
        <f>R[0]C[1]/R16C15</f>
        <v/>
      </c>
    </row>
    <row r="177">
      <c r="A177" t="inlineStr">
        <is>
          <t>Asset schedule</t>
        </is>
      </c>
      <c r="B177" t="inlineStr">
        <is>
          <t>O13</t>
        </is>
      </c>
      <c r="C177" t="n">
        <v>13</v>
      </c>
      <c r="D177" t="n">
        <v>15</v>
      </c>
      <c r="E177" t="inlineStr">
        <is>
          <t>Calculation</t>
        </is>
      </c>
      <c r="F177" t="inlineStr">
        <is>
          <t>'=D67</t>
        </is>
      </c>
      <c r="G177" t="n">
        <v>16.78</v>
      </c>
      <c r="H177" t="inlineStr"/>
      <c r="I177" t="inlineStr">
        <is>
          <t>General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n">
        <v/>
      </c>
      <c r="T177" t="n">
        <v/>
      </c>
      <c r="U177" t="n">
        <v/>
      </c>
      <c r="V177" t="b">
        <v>0</v>
      </c>
      <c r="W177" t="inlineStr"/>
      <c r="X177">
        <f>R[54]C[-11]</f>
        <v/>
      </c>
    </row>
    <row r="178">
      <c r="A178" t="inlineStr">
        <is>
          <t>Asset schedule</t>
        </is>
      </c>
      <c r="B178" t="inlineStr">
        <is>
          <t>P13</t>
        </is>
      </c>
      <c r="C178" t="n">
        <v>13</v>
      </c>
      <c r="D178" t="n">
        <v>16</v>
      </c>
      <c r="E178" t="inlineStr">
        <is>
          <t>Calculation</t>
        </is>
      </c>
      <c r="F178" t="inlineStr">
        <is>
          <t>'=P$2*$N13</t>
        </is>
      </c>
      <c r="G178" t="n">
        <v>18.06505063291139</v>
      </c>
      <c r="H178" t="inlineStr"/>
      <c r="I178" t="inlineStr">
        <is>
          <t>0.00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inlineStr">
        <is>
          <t>G000122</t>
        </is>
      </c>
      <c r="T178" t="inlineStr">
        <is>
          <t>Horizontal</t>
        </is>
      </c>
      <c r="U178" t="n">
        <v>5</v>
      </c>
      <c r="V178" t="b">
        <v>1</v>
      </c>
      <c r="W178" t="inlineStr">
        <is>
          <t>Asset schedule!P13:T13</t>
        </is>
      </c>
      <c r="X178">
        <f>R2C[0]*R[0]C14</f>
        <v/>
      </c>
    </row>
    <row r="179">
      <c r="A179" t="inlineStr">
        <is>
          <t>Asset schedule</t>
        </is>
      </c>
      <c r="B179" t="inlineStr">
        <is>
          <t>Q13</t>
        </is>
      </c>
      <c r="C179" t="n">
        <v>13</v>
      </c>
      <c r="D179" t="n">
        <v>17</v>
      </c>
      <c r="E179" t="inlineStr">
        <is>
          <t>Calculation</t>
        </is>
      </c>
      <c r="F179" t="inlineStr">
        <is>
          <t>'=Q$2*$N13</t>
        </is>
      </c>
      <c r="G179" t="n">
        <v>19.43665632911393</v>
      </c>
      <c r="H179" t="inlineStr"/>
      <c r="I179" t="inlineStr">
        <is>
          <t>0.00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P179" t="n">
        <v/>
      </c>
      <c r="R179" t="b">
        <v>1</v>
      </c>
      <c r="S179" t="inlineStr">
        <is>
          <t>G000122</t>
        </is>
      </c>
      <c r="T179" t="inlineStr">
        <is>
          <t>Horizontal</t>
        </is>
      </c>
      <c r="U179" t="n">
        <v>5</v>
      </c>
      <c r="V179" t="b">
        <v>1</v>
      </c>
      <c r="W179" t="inlineStr">
        <is>
          <t>Asset schedule!P13:T13</t>
        </is>
      </c>
      <c r="X179">
        <f>R2C[0]*R[0]C14</f>
        <v/>
      </c>
    </row>
    <row r="180">
      <c r="A180" t="inlineStr">
        <is>
          <t>Asset schedule</t>
        </is>
      </c>
      <c r="B180" t="inlineStr">
        <is>
          <t>R13</t>
        </is>
      </c>
      <c r="C180" t="n">
        <v>13</v>
      </c>
      <c r="D180" t="n">
        <v>18</v>
      </c>
      <c r="E180" t="inlineStr">
        <is>
          <t>Calculation</t>
        </is>
      </c>
      <c r="F180" t="inlineStr">
        <is>
          <t>'=R$2*$N13</t>
        </is>
      </c>
      <c r="G180" t="n">
        <v>20.90025996835443</v>
      </c>
      <c r="H180" t="inlineStr"/>
      <c r="I180" t="inlineStr">
        <is>
          <t>0.00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inlineStr">
        <is>
          <t>G000122</t>
        </is>
      </c>
      <c r="T180" t="inlineStr">
        <is>
          <t>Horizontal</t>
        </is>
      </c>
      <c r="U180" t="n">
        <v>5</v>
      </c>
      <c r="V180" t="b">
        <v>1</v>
      </c>
      <c r="W180" t="inlineStr">
        <is>
          <t>Asset schedule!P13:T13</t>
        </is>
      </c>
      <c r="X180">
        <f>R2C[0]*R[0]C14</f>
        <v/>
      </c>
    </row>
    <row r="181">
      <c r="A181" t="inlineStr">
        <is>
          <t>Asset schedule</t>
        </is>
      </c>
      <c r="B181" t="inlineStr">
        <is>
          <t>S13</t>
        </is>
      </c>
      <c r="C181" t="n">
        <v>13</v>
      </c>
      <c r="D181" t="n">
        <v>19</v>
      </c>
      <c r="E181" t="inlineStr">
        <is>
          <t>Calculation</t>
        </is>
      </c>
      <c r="F181" t="inlineStr">
        <is>
          <t>'=S$2*$N13</t>
        </is>
      </c>
      <c r="G181" t="n">
        <v>22.46163233069621</v>
      </c>
      <c r="H181" t="inlineStr"/>
      <c r="I181" t="inlineStr">
        <is>
          <t>0.00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inlineStr">
        <is>
          <t>G000122</t>
        </is>
      </c>
      <c r="T181" t="inlineStr">
        <is>
          <t>Horizontal</t>
        </is>
      </c>
      <c r="U181" t="n">
        <v>5</v>
      </c>
      <c r="V181" t="b">
        <v>1</v>
      </c>
      <c r="W181" t="inlineStr">
        <is>
          <t>Asset schedule!P13:T13</t>
        </is>
      </c>
      <c r="X181">
        <f>R2C[0]*R[0]C14</f>
        <v/>
      </c>
    </row>
    <row r="182">
      <c r="A182" t="inlineStr">
        <is>
          <t>Asset schedule</t>
        </is>
      </c>
      <c r="B182" t="inlineStr">
        <is>
          <t>T13</t>
        </is>
      </c>
      <c r="C182" t="n">
        <v>13</v>
      </c>
      <c r="D182" t="n">
        <v>20</v>
      </c>
      <c r="E182" t="inlineStr">
        <is>
          <t>Calculation</t>
        </is>
      </c>
      <c r="F182" t="inlineStr">
        <is>
          <t>'=T$2*$N13</t>
        </is>
      </c>
      <c r="G182" t="n">
        <v>24.12689127935128</v>
      </c>
      <c r="H182" t="inlineStr"/>
      <c r="I182" t="inlineStr">
        <is>
          <t>0.00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inlineStr">
        <is>
          <t>G000122</t>
        </is>
      </c>
      <c r="T182" t="inlineStr">
        <is>
          <t>Horizontal</t>
        </is>
      </c>
      <c r="U182" t="n">
        <v>5</v>
      </c>
      <c r="V182" t="b">
        <v>1</v>
      </c>
      <c r="W182" t="inlineStr">
        <is>
          <t>Asset schedule!P13:T13</t>
        </is>
      </c>
      <c r="X182">
        <f>R2C[0]*R[0]C14</f>
        <v/>
      </c>
    </row>
    <row r="183">
      <c r="A183" t="inlineStr">
        <is>
          <t>Asset schedule</t>
        </is>
      </c>
      <c r="B183" t="inlineStr">
        <is>
          <t>A14</t>
        </is>
      </c>
      <c r="C183" t="n">
        <v>14</v>
      </c>
      <c r="D183" t="n">
        <v>1</v>
      </c>
      <c r="E183" t="inlineStr">
        <is>
          <t>Input</t>
        </is>
      </c>
      <c r="F183" t="n">
        <v/>
      </c>
      <c r="G183" t="inlineStr">
        <is>
          <t>Closing balance</t>
        </is>
      </c>
      <c r="H183" t="inlineStr"/>
      <c r="I183" t="inlineStr">
        <is>
          <t>General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Asset schedule</t>
        </is>
      </c>
      <c r="B184" t="inlineStr">
        <is>
          <t>D14</t>
        </is>
      </c>
      <c r="C184" t="n">
        <v>14</v>
      </c>
      <c r="D184" t="n">
        <v>4</v>
      </c>
      <c r="E184" t="inlineStr">
        <is>
          <t>Input</t>
        </is>
      </c>
      <c r="F184" t="n">
        <v/>
      </c>
      <c r="G184" t="n">
        <v>304.3</v>
      </c>
      <c r="H184" t="inlineStr"/>
      <c r="I184" t="inlineStr">
        <is>
          <t>General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Asset schedule</t>
        </is>
      </c>
      <c r="B185" t="inlineStr">
        <is>
          <t>E14</t>
        </is>
      </c>
      <c r="C185" t="n">
        <v>14</v>
      </c>
      <c r="D185" t="n">
        <v>5</v>
      </c>
      <c r="E185" t="inlineStr">
        <is>
          <t>Calculation</t>
        </is>
      </c>
      <c r="F185" t="inlineStr">
        <is>
          <t>'=E10+E11-E12-E13</t>
        </is>
      </c>
      <c r="G185" t="n">
        <v>306.6571001133368</v>
      </c>
      <c r="H185" t="inlineStr"/>
      <c r="I185" t="inlineStr">
        <is>
          <t>0.00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inlineStr">
        <is>
          <t>G000126</t>
        </is>
      </c>
      <c r="T185" t="inlineStr">
        <is>
          <t>Horizontal</t>
        </is>
      </c>
      <c r="U185" t="n">
        <v>5</v>
      </c>
      <c r="V185" t="b">
        <v>1</v>
      </c>
      <c r="W185" t="inlineStr">
        <is>
          <t>Asset schedule!E14:I14</t>
        </is>
      </c>
      <c r="X185">
        <f>R[-4]C[0]+R[-3]C[0]-R[-2]C[0]-R[-1]C[0]</f>
        <v/>
      </c>
    </row>
    <row r="186">
      <c r="A186" t="inlineStr">
        <is>
          <t>Asset schedule</t>
        </is>
      </c>
      <c r="B186" t="inlineStr">
        <is>
          <t>F14</t>
        </is>
      </c>
      <c r="C186" t="n">
        <v>14</v>
      </c>
      <c r="D186" t="n">
        <v>6</v>
      </c>
      <c r="E186" t="inlineStr">
        <is>
          <t>Calculation</t>
        </is>
      </c>
      <c r="F186" t="inlineStr">
        <is>
          <t>'=F10+F11-F12-F13</t>
        </is>
      </c>
      <c r="G186" t="n">
        <v>309.2115575029657</v>
      </c>
      <c r="H186" t="inlineStr"/>
      <c r="I186" t="inlineStr">
        <is>
          <t>0.00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inlineStr">
        <is>
          <t>G000126</t>
        </is>
      </c>
      <c r="T186" t="inlineStr">
        <is>
          <t>Horizontal</t>
        </is>
      </c>
      <c r="U186" t="n">
        <v>5</v>
      </c>
      <c r="V186" t="b">
        <v>1</v>
      </c>
      <c r="W186" t="inlineStr">
        <is>
          <t>Asset schedule!E14:I14</t>
        </is>
      </c>
      <c r="X186">
        <f>R[-4]C[0]+R[-3]C[0]-R[-2]C[0]-R[-1]C[0]</f>
        <v/>
      </c>
    </row>
    <row r="187">
      <c r="A187" t="inlineStr">
        <is>
          <t>Asset schedule</t>
        </is>
      </c>
      <c r="B187" t="inlineStr">
        <is>
          <t>G14</t>
        </is>
      </c>
      <c r="C187" t="n">
        <v>14</v>
      </c>
      <c r="D187" t="n">
        <v>7</v>
      </c>
      <c r="E187" t="inlineStr">
        <is>
          <t>Calculation</t>
        </is>
      </c>
      <c r="F187" t="inlineStr">
        <is>
          <t>'=G10+G11-G12-G13</t>
        </is>
      </c>
      <c r="G187" t="n">
        <v>311.9765747441525</v>
      </c>
      <c r="H187" t="inlineStr"/>
      <c r="I187" t="inlineStr">
        <is>
          <t>0.00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inlineStr">
        <is>
          <t>G000126</t>
        </is>
      </c>
      <c r="T187" t="inlineStr">
        <is>
          <t>Horizontal</t>
        </is>
      </c>
      <c r="U187" t="n">
        <v>5</v>
      </c>
      <c r="V187" t="b">
        <v>1</v>
      </c>
      <c r="W187" t="inlineStr">
        <is>
          <t>Asset schedule!E14:I14</t>
        </is>
      </c>
      <c r="X187">
        <f>R[-4]C[0]+R[-3]C[0]-R[-2]C[0]-R[-1]C[0]</f>
        <v/>
      </c>
    </row>
    <row r="188">
      <c r="A188" t="inlineStr">
        <is>
          <t>Asset schedule</t>
        </is>
      </c>
      <c r="B188" t="inlineStr">
        <is>
          <t>H14</t>
        </is>
      </c>
      <c r="C188" t="n">
        <v>14</v>
      </c>
      <c r="D188" t="n">
        <v>8</v>
      </c>
      <c r="E188" t="inlineStr">
        <is>
          <t>Calculation</t>
        </is>
      </c>
      <c r="F188" t="inlineStr">
        <is>
          <t>'=H10+H11-H12-H13</t>
        </is>
      </c>
      <c r="G188" t="n">
        <v>314.9661818442124</v>
      </c>
      <c r="H188" t="inlineStr"/>
      <c r="I188" t="inlineStr">
        <is>
          <t>0.00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inlineStr">
        <is>
          <t>G000126</t>
        </is>
      </c>
      <c r="T188" t="inlineStr">
        <is>
          <t>Horizontal</t>
        </is>
      </c>
      <c r="U188" t="n">
        <v>5</v>
      </c>
      <c r="V188" t="b">
        <v>1</v>
      </c>
      <c r="W188" t="inlineStr">
        <is>
          <t>Asset schedule!E14:I14</t>
        </is>
      </c>
      <c r="X188">
        <f>R[-4]C[0]+R[-3]C[0]-R[-2]C[0]-R[-1]C[0]</f>
        <v/>
      </c>
    </row>
    <row r="189">
      <c r="A189" t="inlineStr">
        <is>
          <t>Asset schedule</t>
        </is>
      </c>
      <c r="B189" t="inlineStr">
        <is>
          <t>I14</t>
        </is>
      </c>
      <c r="C189" t="n">
        <v>14</v>
      </c>
      <c r="D189" t="n">
        <v>9</v>
      </c>
      <c r="E189" t="inlineStr">
        <is>
          <t>Calculation</t>
        </is>
      </c>
      <c r="F189" t="inlineStr">
        <is>
          <t>'=I10+I11-I12-I13</t>
        </is>
      </c>
      <c r="G189" t="n">
        <v>318.1952859787738</v>
      </c>
      <c r="H189" t="inlineStr"/>
      <c r="I189" t="inlineStr">
        <is>
          <t>0.00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inlineStr">
        <is>
          <t>G000126</t>
        </is>
      </c>
      <c r="T189" t="inlineStr">
        <is>
          <t>Horizontal</t>
        </is>
      </c>
      <c r="U189" t="n">
        <v>5</v>
      </c>
      <c r="V189" t="b">
        <v>1</v>
      </c>
      <c r="W189" t="inlineStr">
        <is>
          <t>Asset schedule!E14:I14</t>
        </is>
      </c>
      <c r="X189">
        <f>R[-4]C[0]+R[-3]C[0]-R[-2]C[0]-R[-1]C[0]</f>
        <v/>
      </c>
    </row>
    <row r="190">
      <c r="A190" t="inlineStr">
        <is>
          <t>Asset schedule</t>
        </is>
      </c>
      <c r="B190" t="inlineStr">
        <is>
          <t>L14</t>
        </is>
      </c>
      <c r="C190" t="n">
        <v>14</v>
      </c>
      <c r="D190" t="n">
        <v>12</v>
      </c>
      <c r="E190" t="inlineStr">
        <is>
          <t>Input</t>
        </is>
      </c>
      <c r="F190" t="n">
        <v/>
      </c>
      <c r="G190" t="inlineStr">
        <is>
          <t>Vehicles</t>
        </is>
      </c>
      <c r="H190" t="inlineStr"/>
      <c r="I190" t="inlineStr">
        <is>
          <t>General</t>
        </is>
      </c>
      <c r="J190" t="b">
        <v>1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 t="n">
        <v/>
      </c>
    </row>
    <row r="191">
      <c r="A191" t="inlineStr">
        <is>
          <t>Asset schedule</t>
        </is>
      </c>
      <c r="B191" t="inlineStr">
        <is>
          <t>N14</t>
        </is>
      </c>
      <c r="C191" t="n">
        <v>14</v>
      </c>
      <c r="D191" t="n">
        <v>14</v>
      </c>
      <c r="E191" t="inlineStr">
        <is>
          <t>Calculation</t>
        </is>
      </c>
      <c r="F191" t="inlineStr">
        <is>
          <t>'=O14/$O$16</t>
        </is>
      </c>
      <c r="G191" t="n">
        <v>0.01854988092087854</v>
      </c>
      <c r="H191" t="inlineStr"/>
      <c r="I191" t="inlineStr">
        <is>
          <t>0%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G000113</t>
        </is>
      </c>
      <c r="T191" t="inlineStr">
        <is>
          <t>Vertical</t>
        </is>
      </c>
      <c r="U191" t="n">
        <v>11</v>
      </c>
      <c r="V191" t="b">
        <v>1</v>
      </c>
      <c r="W191" t="inlineStr">
        <is>
          <t>Asset schedule!N5:N15</t>
        </is>
      </c>
      <c r="X191">
        <f>R[0]C[1]/R16C15</f>
        <v/>
      </c>
    </row>
    <row r="192">
      <c r="A192" t="inlineStr">
        <is>
          <t>Asset schedule</t>
        </is>
      </c>
      <c r="B192" t="inlineStr">
        <is>
          <t>O14</t>
        </is>
      </c>
      <c r="C192" t="n">
        <v>14</v>
      </c>
      <c r="D192" t="n">
        <v>15</v>
      </c>
      <c r="E192" t="inlineStr">
        <is>
          <t>Calculation</t>
        </is>
      </c>
      <c r="F192" t="inlineStr">
        <is>
          <t>'=D75</t>
        </is>
      </c>
      <c r="G192" t="n">
        <v>7.01</v>
      </c>
      <c r="H192" t="inlineStr"/>
      <c r="I192" t="inlineStr">
        <is>
          <t>General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>
        <f>R[61]C[-11]</f>
        <v/>
      </c>
    </row>
    <row r="193">
      <c r="A193" t="inlineStr">
        <is>
          <t>Asset schedule</t>
        </is>
      </c>
      <c r="B193" t="inlineStr">
        <is>
          <t>P14</t>
        </is>
      </c>
      <c r="C193" t="n">
        <v>14</v>
      </c>
      <c r="D193" t="n">
        <v>16</v>
      </c>
      <c r="E193" t="inlineStr">
        <is>
          <t>Calculation</t>
        </is>
      </c>
      <c r="F193" t="inlineStr">
        <is>
          <t>'=P$2*$N14</t>
        </is>
      </c>
      <c r="G193" t="n">
        <v>7.546841772151899</v>
      </c>
      <c r="H193" t="inlineStr"/>
      <c r="I193" t="inlineStr">
        <is>
          <t>0.00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G000123</t>
        </is>
      </c>
      <c r="T193" t="inlineStr">
        <is>
          <t>Horizontal</t>
        </is>
      </c>
      <c r="U193" t="n">
        <v>5</v>
      </c>
      <c r="V193" t="b">
        <v>1</v>
      </c>
      <c r="W193" t="inlineStr">
        <is>
          <t>Asset schedule!P14:T14</t>
        </is>
      </c>
      <c r="X193">
        <f>R2C[0]*R[0]C14</f>
        <v/>
      </c>
    </row>
    <row r="194">
      <c r="A194" t="inlineStr">
        <is>
          <t>Asset schedule</t>
        </is>
      </c>
      <c r="B194" t="inlineStr">
        <is>
          <t>Q14</t>
        </is>
      </c>
      <c r="C194" t="n">
        <v>14</v>
      </c>
      <c r="D194" t="n">
        <v>17</v>
      </c>
      <c r="E194" t="inlineStr">
        <is>
          <t>Calculation</t>
        </is>
      </c>
      <c r="F194" t="inlineStr">
        <is>
          <t>'=Q$2*$N14</t>
        </is>
      </c>
      <c r="G194" t="n">
        <v>8.119842721518989</v>
      </c>
      <c r="H194" t="inlineStr"/>
      <c r="I194" t="inlineStr">
        <is>
          <t>0.00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P194" t="n">
        <v/>
      </c>
      <c r="R194" t="b">
        <v>1</v>
      </c>
      <c r="S194" t="inlineStr">
        <is>
          <t>G000123</t>
        </is>
      </c>
      <c r="T194" t="inlineStr">
        <is>
          <t>Horizontal</t>
        </is>
      </c>
      <c r="U194" t="n">
        <v>5</v>
      </c>
      <c r="V194" t="b">
        <v>1</v>
      </c>
      <c r="W194" t="inlineStr">
        <is>
          <t>Asset schedule!P14:T14</t>
        </is>
      </c>
      <c r="X194">
        <f>R2C[0]*R[0]C14</f>
        <v/>
      </c>
    </row>
    <row r="195">
      <c r="A195" t="inlineStr">
        <is>
          <t>Asset schedule</t>
        </is>
      </c>
      <c r="B195" t="inlineStr">
        <is>
          <t>R14</t>
        </is>
      </c>
      <c r="C195" t="n">
        <v>14</v>
      </c>
      <c r="D195" t="n">
        <v>18</v>
      </c>
      <c r="E195" t="inlineStr">
        <is>
          <t>Calculation</t>
        </is>
      </c>
      <c r="F195" t="inlineStr">
        <is>
          <t>'=R$2*$N14</t>
        </is>
      </c>
      <c r="G195" t="n">
        <v>8.731276661392407</v>
      </c>
      <c r="H195" t="inlineStr"/>
      <c r="I195" t="inlineStr">
        <is>
          <t>0.00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inlineStr">
        <is>
          <t>G000123</t>
        </is>
      </c>
      <c r="T195" t="inlineStr">
        <is>
          <t>Horizontal</t>
        </is>
      </c>
      <c r="U195" t="n">
        <v>5</v>
      </c>
      <c r="V195" t="b">
        <v>1</v>
      </c>
      <c r="W195" t="inlineStr">
        <is>
          <t>Asset schedule!P14:T14</t>
        </is>
      </c>
      <c r="X195">
        <f>R2C[0]*R[0]C14</f>
        <v/>
      </c>
    </row>
    <row r="196">
      <c r="A196" t="inlineStr">
        <is>
          <t>Asset schedule</t>
        </is>
      </c>
      <c r="B196" t="inlineStr">
        <is>
          <t>S14</t>
        </is>
      </c>
      <c r="C196" t="n">
        <v>14</v>
      </c>
      <c r="D196" t="n">
        <v>19</v>
      </c>
      <c r="E196" t="inlineStr">
        <is>
          <t>Calculation</t>
        </is>
      </c>
      <c r="F196" t="inlineStr">
        <is>
          <t>'=S$2*$N14</t>
        </is>
      </c>
      <c r="G196" t="n">
        <v>9.383554388449369</v>
      </c>
      <c r="H196" t="inlineStr"/>
      <c r="I196" t="inlineStr">
        <is>
          <t>0.00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inlineStr">
        <is>
          <t>G000123</t>
        </is>
      </c>
      <c r="T196" t="inlineStr">
        <is>
          <t>Horizontal</t>
        </is>
      </c>
      <c r="U196" t="n">
        <v>5</v>
      </c>
      <c r="V196" t="b">
        <v>1</v>
      </c>
      <c r="W196" t="inlineStr">
        <is>
          <t>Asset schedule!P14:T14</t>
        </is>
      </c>
      <c r="X196">
        <f>R2C[0]*R[0]C14</f>
        <v/>
      </c>
    </row>
    <row r="197">
      <c r="A197" t="inlineStr">
        <is>
          <t>Asset schedule</t>
        </is>
      </c>
      <c r="B197" t="inlineStr">
        <is>
          <t>T14</t>
        </is>
      </c>
      <c r="C197" t="n">
        <v>14</v>
      </c>
      <c r="D197" t="n">
        <v>20</v>
      </c>
      <c r="E197" t="inlineStr">
        <is>
          <t>Calculation</t>
        </is>
      </c>
      <c r="F197" t="inlineStr">
        <is>
          <t>'=T$2*$N14</t>
        </is>
      </c>
      <c r="G197" t="n">
        <v>10.07923169655855</v>
      </c>
      <c r="H197" t="inlineStr"/>
      <c r="I197" t="inlineStr">
        <is>
          <t>0.00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inlineStr">
        <is>
          <t>G000123</t>
        </is>
      </c>
      <c r="T197" t="inlineStr">
        <is>
          <t>Horizontal</t>
        </is>
      </c>
      <c r="U197" t="n">
        <v>5</v>
      </c>
      <c r="V197" t="b">
        <v>1</v>
      </c>
      <c r="W197" t="inlineStr">
        <is>
          <t>Asset schedule!P14:T14</t>
        </is>
      </c>
      <c r="X197">
        <f>R2C[0]*R[0]C14</f>
        <v/>
      </c>
    </row>
    <row r="198">
      <c r="A198" t="inlineStr">
        <is>
          <t>Asset schedule</t>
        </is>
      </c>
      <c r="B198" t="inlineStr">
        <is>
          <t>A15</t>
        </is>
      </c>
      <c r="C198" t="n">
        <v>15</v>
      </c>
      <c r="D198" t="n">
        <v>1</v>
      </c>
      <c r="E198" t="inlineStr">
        <is>
          <t>Input</t>
        </is>
      </c>
      <c r="F198" t="n">
        <v/>
      </c>
      <c r="G198" t="inlineStr">
        <is>
          <t>Depreciation rate</t>
        </is>
      </c>
      <c r="H198" t="inlineStr"/>
      <c r="I198" t="inlineStr">
        <is>
          <t>General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Asset schedule</t>
        </is>
      </c>
      <c r="B199" t="inlineStr">
        <is>
          <t>B15</t>
        </is>
      </c>
      <c r="C199" t="n">
        <v>15</v>
      </c>
      <c r="D199" t="n">
        <v>2</v>
      </c>
      <c r="E199" t="inlineStr">
        <is>
          <t>Calculation</t>
        </is>
      </c>
      <c r="F199" t="inlineStr">
        <is>
          <t>'=D13/(D10+D11-D12)</t>
        </is>
      </c>
      <c r="G199" t="n">
        <v>0.0008864957152707096</v>
      </c>
      <c r="H199" t="inlineStr"/>
      <c r="I199" t="inlineStr">
        <is>
          <t>0%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inlineStr">
        <is>
          <t>G000136</t>
        </is>
      </c>
      <c r="T199" t="inlineStr">
        <is>
          <t>Block</t>
        </is>
      </c>
      <c r="U199" t="n">
        <v>11</v>
      </c>
      <c r="V199" t="b">
        <v>1</v>
      </c>
      <c r="W199" t="inlineStr">
        <is>
          <t>Asset schedule!B7:B87</t>
        </is>
      </c>
      <c r="X199">
        <f>R[-2]C[2]/(R[-5]C[2]+R[-4]C[2]-R[-3]C[2])</f>
        <v/>
      </c>
    </row>
    <row r="200">
      <c r="A200" t="inlineStr">
        <is>
          <t>Asset schedule</t>
        </is>
      </c>
      <c r="B200" t="inlineStr">
        <is>
          <t>L15</t>
        </is>
      </c>
      <c r="C200" t="n">
        <v>15</v>
      </c>
      <c r="D200" t="n">
        <v>12</v>
      </c>
      <c r="E200" t="inlineStr">
        <is>
          <t>Input</t>
        </is>
      </c>
      <c r="F200" t="n">
        <v/>
      </c>
      <c r="G200" t="inlineStr">
        <is>
          <t>Furniture</t>
        </is>
      </c>
      <c r="H200" t="inlineStr"/>
      <c r="I200" t="inlineStr">
        <is>
          <t>General</t>
        </is>
      </c>
      <c r="J200" t="b">
        <v>1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Asset schedule</t>
        </is>
      </c>
      <c r="B201" t="inlineStr">
        <is>
          <t>N15</t>
        </is>
      </c>
      <c r="C201" t="n">
        <v>15</v>
      </c>
      <c r="D201" t="n">
        <v>14</v>
      </c>
      <c r="E201" t="inlineStr">
        <is>
          <t>Calculation</t>
        </is>
      </c>
      <c r="F201" t="inlineStr">
        <is>
          <t>'=O15/$O$16</t>
        </is>
      </c>
      <c r="G201" t="n">
        <v>0.006827202963747022</v>
      </c>
      <c r="H201" t="inlineStr"/>
      <c r="I201" t="inlineStr">
        <is>
          <t>0%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inlineStr">
        <is>
          <t>G000113</t>
        </is>
      </c>
      <c r="T201" t="inlineStr">
        <is>
          <t>Vertical</t>
        </is>
      </c>
      <c r="U201" t="n">
        <v>11</v>
      </c>
      <c r="V201" t="b">
        <v>1</v>
      </c>
      <c r="W201" t="inlineStr">
        <is>
          <t>Asset schedule!N5:N15</t>
        </is>
      </c>
      <c r="X201">
        <f>R[0]C[1]/R16C15</f>
        <v/>
      </c>
    </row>
    <row r="202">
      <c r="A202" t="inlineStr">
        <is>
          <t>Asset schedule</t>
        </is>
      </c>
      <c r="B202" t="inlineStr">
        <is>
          <t>O15</t>
        </is>
      </c>
      <c r="C202" t="n">
        <v>15</v>
      </c>
      <c r="D202" t="n">
        <v>15</v>
      </c>
      <c r="E202" t="inlineStr">
        <is>
          <t>Calculation</t>
        </is>
      </c>
      <c r="F202" t="inlineStr">
        <is>
          <t>'=D83</t>
        </is>
      </c>
      <c r="G202" t="n">
        <v>2.58</v>
      </c>
      <c r="H202" t="inlineStr"/>
      <c r="I202" t="inlineStr">
        <is>
          <t>General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>
        <f>R[68]C[-11]</f>
        <v/>
      </c>
    </row>
    <row r="203">
      <c r="A203" t="inlineStr">
        <is>
          <t>Asset schedule</t>
        </is>
      </c>
      <c r="B203" t="inlineStr">
        <is>
          <t>P15</t>
        </is>
      </c>
      <c r="C203" t="n">
        <v>15</v>
      </c>
      <c r="D203" t="n">
        <v>16</v>
      </c>
      <c r="E203" t="inlineStr">
        <is>
          <t>Calculation</t>
        </is>
      </c>
      <c r="F203" t="inlineStr">
        <is>
          <t>'=P$2*$N15</t>
        </is>
      </c>
      <c r="G203" t="n">
        <v>2.777582278481013</v>
      </c>
      <c r="H203" t="inlineStr"/>
      <c r="I203" t="inlineStr">
        <is>
          <t>0.00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G000124</t>
        </is>
      </c>
      <c r="T203" t="inlineStr">
        <is>
          <t>Horizontal</t>
        </is>
      </c>
      <c r="U203" t="n">
        <v>5</v>
      </c>
      <c r="V203" t="b">
        <v>1</v>
      </c>
      <c r="W203" t="inlineStr">
        <is>
          <t>Asset schedule!P15:T15</t>
        </is>
      </c>
      <c r="X203">
        <f>R2C[0]*R[0]C14</f>
        <v/>
      </c>
    </row>
    <row r="204">
      <c r="A204" t="inlineStr">
        <is>
          <t>Asset schedule</t>
        </is>
      </c>
      <c r="B204" t="inlineStr">
        <is>
          <t>Q15</t>
        </is>
      </c>
      <c r="C204" t="n">
        <v>15</v>
      </c>
      <c r="D204" t="n">
        <v>17</v>
      </c>
      <c r="E204" t="inlineStr">
        <is>
          <t>Calculation</t>
        </is>
      </c>
      <c r="F204" t="inlineStr">
        <is>
          <t>'=Q$2*$N15</t>
        </is>
      </c>
      <c r="G204" t="n">
        <v>2.988472784810127</v>
      </c>
      <c r="H204" t="inlineStr"/>
      <c r="I204" t="inlineStr">
        <is>
          <t>0.00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G000124</t>
        </is>
      </c>
      <c r="T204" t="inlineStr">
        <is>
          <t>Horizontal</t>
        </is>
      </c>
      <c r="U204" t="n">
        <v>5</v>
      </c>
      <c r="V204" t="b">
        <v>1</v>
      </c>
      <c r="W204" t="inlineStr">
        <is>
          <t>Asset schedule!P15:T15</t>
        </is>
      </c>
      <c r="X204">
        <f>R2C[0]*R[0]C14</f>
        <v/>
      </c>
    </row>
    <row r="205">
      <c r="A205" t="inlineStr">
        <is>
          <t>Asset schedule</t>
        </is>
      </c>
      <c r="B205" t="inlineStr">
        <is>
          <t>R15</t>
        </is>
      </c>
      <c r="C205" t="n">
        <v>15</v>
      </c>
      <c r="D205" t="n">
        <v>18</v>
      </c>
      <c r="E205" t="inlineStr">
        <is>
          <t>Calculation</t>
        </is>
      </c>
      <c r="F205" t="inlineStr">
        <is>
          <t>'=R$2*$N15</t>
        </is>
      </c>
      <c r="G205" t="n">
        <v>3.21350838607595</v>
      </c>
      <c r="H205" t="inlineStr"/>
      <c r="I205" t="inlineStr">
        <is>
          <t>0.00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inlineStr">
        <is>
          <t>G000124</t>
        </is>
      </c>
      <c r="T205" t="inlineStr">
        <is>
          <t>Horizontal</t>
        </is>
      </c>
      <c r="U205" t="n">
        <v>5</v>
      </c>
      <c r="V205" t="b">
        <v>1</v>
      </c>
      <c r="W205" t="inlineStr">
        <is>
          <t>Asset schedule!P15:T15</t>
        </is>
      </c>
      <c r="X205">
        <f>R2C[0]*R[0]C14</f>
        <v/>
      </c>
    </row>
    <row r="206">
      <c r="A206" t="inlineStr">
        <is>
          <t>Asset schedule</t>
        </is>
      </c>
      <c r="B206" t="inlineStr">
        <is>
          <t>S15</t>
        </is>
      </c>
      <c r="C206" t="n">
        <v>15</v>
      </c>
      <c r="D206" t="n">
        <v>19</v>
      </c>
      <c r="E206" t="inlineStr">
        <is>
          <t>Calculation</t>
        </is>
      </c>
      <c r="F206" t="inlineStr">
        <is>
          <t>'=S$2*$N15</t>
        </is>
      </c>
      <c r="G206" t="n">
        <v>3.45357636550633</v>
      </c>
      <c r="H206" t="inlineStr"/>
      <c r="I206" t="inlineStr">
        <is>
          <t>0.00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G000124</t>
        </is>
      </c>
      <c r="T206" t="inlineStr">
        <is>
          <t>Horizontal</t>
        </is>
      </c>
      <c r="U206" t="n">
        <v>5</v>
      </c>
      <c r="V206" t="b">
        <v>1</v>
      </c>
      <c r="W206" t="inlineStr">
        <is>
          <t>Asset schedule!P15:T15</t>
        </is>
      </c>
      <c r="X206">
        <f>R2C[0]*R[0]C14</f>
        <v/>
      </c>
    </row>
    <row r="207">
      <c r="A207" t="inlineStr">
        <is>
          <t>Asset schedule</t>
        </is>
      </c>
      <c r="B207" t="inlineStr">
        <is>
          <t>T15</t>
        </is>
      </c>
      <c r="C207" t="n">
        <v>15</v>
      </c>
      <c r="D207" t="n">
        <v>20</v>
      </c>
      <c r="E207" t="inlineStr">
        <is>
          <t>Calculation</t>
        </is>
      </c>
      <c r="F207" t="inlineStr">
        <is>
          <t>'=T$2*$N15</t>
        </is>
      </c>
      <c r="G207" t="n">
        <v>3.709617371914559</v>
      </c>
      <c r="H207" t="inlineStr"/>
      <c r="I207" t="inlineStr">
        <is>
          <t>0.00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G000124</t>
        </is>
      </c>
      <c r="T207" t="inlineStr">
        <is>
          <t>Horizontal</t>
        </is>
      </c>
      <c r="U207" t="n">
        <v>5</v>
      </c>
      <c r="V207" t="b">
        <v>1</v>
      </c>
      <c r="W207" t="inlineStr">
        <is>
          <t>Asset schedule!P15:T15</t>
        </is>
      </c>
      <c r="X207">
        <f>R2C[0]*R[0]C14</f>
        <v/>
      </c>
    </row>
    <row r="208">
      <c r="A208" t="inlineStr">
        <is>
          <t>Asset schedule</t>
        </is>
      </c>
      <c r="B208" t="inlineStr">
        <is>
          <t>O16</t>
        </is>
      </c>
      <c r="C208" t="n">
        <v>16</v>
      </c>
      <c r="D208" t="n">
        <v>15</v>
      </c>
      <c r="E208" t="inlineStr">
        <is>
          <t>Calculation</t>
        </is>
      </c>
      <c r="F208" t="inlineStr">
        <is>
          <t>'=SUM(O5:O15)</t>
        </is>
      </c>
      <c r="G208" t="n">
        <v>377.9</v>
      </c>
      <c r="H208" t="inlineStr"/>
      <c r="I208" t="inlineStr">
        <is>
          <t>General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G000137</t>
        </is>
      </c>
      <c r="T208" t="inlineStr">
        <is>
          <t>Horizontal</t>
        </is>
      </c>
      <c r="U208" t="n">
        <v>6</v>
      </c>
      <c r="V208" t="b">
        <v>1</v>
      </c>
      <c r="W208" t="inlineStr">
        <is>
          <t>Asset schedule!O16:T16</t>
        </is>
      </c>
      <c r="X208">
        <f>SUM(R[-11]C[0]:R[-1]C[0])</f>
        <v/>
      </c>
    </row>
    <row r="209">
      <c r="A209" t="inlineStr">
        <is>
          <t>Asset schedule</t>
        </is>
      </c>
      <c r="B209" t="inlineStr">
        <is>
          <t>P16</t>
        </is>
      </c>
      <c r="C209" t="n">
        <v>16</v>
      </c>
      <c r="D209" t="n">
        <v>16</v>
      </c>
      <c r="E209" t="inlineStr">
        <is>
          <t>Output</t>
        </is>
      </c>
      <c r="F209" t="inlineStr">
        <is>
          <t>'=SUM(P5:P15)</t>
        </is>
      </c>
      <c r="G209" t="n">
        <v>406.8404430379748</v>
      </c>
      <c r="H209" t="inlineStr"/>
      <c r="I209" t="inlineStr">
        <is>
          <t>0.0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G000137</t>
        </is>
      </c>
      <c r="T209" t="inlineStr">
        <is>
          <t>Horizontal</t>
        </is>
      </c>
      <c r="U209" t="n">
        <v>6</v>
      </c>
      <c r="V209" t="b">
        <v>1</v>
      </c>
      <c r="W209" t="inlineStr">
        <is>
          <t>Asset schedule!O16:T16</t>
        </is>
      </c>
      <c r="X209">
        <f>SUM(R[-11]C[0]:R[-1]C[0])</f>
        <v/>
      </c>
    </row>
    <row r="210">
      <c r="A210" t="inlineStr">
        <is>
          <t>Asset schedule</t>
        </is>
      </c>
      <c r="B210" t="inlineStr">
        <is>
          <t>Q16</t>
        </is>
      </c>
      <c r="C210" t="n">
        <v>16</v>
      </c>
      <c r="D210" t="n">
        <v>17</v>
      </c>
      <c r="E210" t="inlineStr">
        <is>
          <t>Output</t>
        </is>
      </c>
      <c r="F210" t="inlineStr">
        <is>
          <t>'=SUM(Q5:Q15)</t>
        </is>
      </c>
      <c r="G210" t="n">
        <v>437.730180379747</v>
      </c>
      <c r="H210" t="inlineStr"/>
      <c r="I210" t="inlineStr">
        <is>
          <t>0.0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inlineStr">
        <is>
          <t>G000137</t>
        </is>
      </c>
      <c r="T210" t="inlineStr">
        <is>
          <t>Horizontal</t>
        </is>
      </c>
      <c r="U210" t="n">
        <v>6</v>
      </c>
      <c r="V210" t="b">
        <v>1</v>
      </c>
      <c r="W210" t="inlineStr">
        <is>
          <t>Asset schedule!O16:T16</t>
        </is>
      </c>
      <c r="X210">
        <f>SUM(R[-11]C[0]:R[-1]C[0])</f>
        <v/>
      </c>
    </row>
    <row r="211">
      <c r="A211" t="inlineStr">
        <is>
          <t>Asset schedule</t>
        </is>
      </c>
      <c r="B211" t="inlineStr">
        <is>
          <t>R16</t>
        </is>
      </c>
      <c r="C211" t="n">
        <v>16</v>
      </c>
      <c r="D211" t="n">
        <v>18</v>
      </c>
      <c r="E211" t="inlineStr">
        <is>
          <t>Output</t>
        </is>
      </c>
      <c r="F211" t="inlineStr">
        <is>
          <t>'=SUM(R5:R15)</t>
        </is>
      </c>
      <c r="G211" t="n">
        <v>470.6917903481014</v>
      </c>
      <c r="H211" t="inlineStr"/>
      <c r="I211" t="inlineStr">
        <is>
          <t>0.0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1</v>
      </c>
      <c r="S211" t="inlineStr">
        <is>
          <t>G000137</t>
        </is>
      </c>
      <c r="T211" t="inlineStr">
        <is>
          <t>Horizontal</t>
        </is>
      </c>
      <c r="U211" t="n">
        <v>6</v>
      </c>
      <c r="V211" t="b">
        <v>1</v>
      </c>
      <c r="W211" t="inlineStr">
        <is>
          <t>Asset schedule!O16:T16</t>
        </is>
      </c>
      <c r="X211">
        <f>SUM(R[-11]C[0]:R[-1]C[0])</f>
        <v/>
      </c>
    </row>
    <row r="212">
      <c r="A212" t="inlineStr">
        <is>
          <t>Asset schedule</t>
        </is>
      </c>
      <c r="B212" t="inlineStr">
        <is>
          <t>S16</t>
        </is>
      </c>
      <c r="C212" t="n">
        <v>16</v>
      </c>
      <c r="D212" t="n">
        <v>19</v>
      </c>
      <c r="E212" t="inlineStr">
        <is>
          <t>Output</t>
        </is>
      </c>
      <c r="F212" t="inlineStr">
        <is>
          <t>'=SUM(S5:S15)</t>
        </is>
      </c>
      <c r="G212" t="n">
        <v>505.8552358623419</v>
      </c>
      <c r="H212" t="inlineStr"/>
      <c r="I212" t="inlineStr">
        <is>
          <t>0.0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G000137</t>
        </is>
      </c>
      <c r="T212" t="inlineStr">
        <is>
          <t>Horizontal</t>
        </is>
      </c>
      <c r="U212" t="n">
        <v>6</v>
      </c>
      <c r="V212" t="b">
        <v>1</v>
      </c>
      <c r="W212" t="inlineStr">
        <is>
          <t>Asset schedule!O16:T16</t>
        </is>
      </c>
      <c r="X212">
        <f>SUM(R[-11]C[0]:R[-1]C[0])</f>
        <v/>
      </c>
    </row>
    <row r="213">
      <c r="A213" t="inlineStr">
        <is>
          <t>Asset schedule</t>
        </is>
      </c>
      <c r="B213" t="inlineStr">
        <is>
          <t>T16</t>
        </is>
      </c>
      <c r="C213" t="n">
        <v>16</v>
      </c>
      <c r="D213" t="n">
        <v>20</v>
      </c>
      <c r="E213" t="inlineStr">
        <is>
          <t>Output</t>
        </is>
      </c>
      <c r="F213" t="inlineStr">
        <is>
          <t>'=SUM(T5:T15)</t>
        </is>
      </c>
      <c r="G213" t="n">
        <v>543.3582964521363</v>
      </c>
      <c r="H213" t="inlineStr"/>
      <c r="I213" t="inlineStr">
        <is>
          <t>0.0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G000137</t>
        </is>
      </c>
      <c r="T213" t="inlineStr">
        <is>
          <t>Horizontal</t>
        </is>
      </c>
      <c r="U213" t="n">
        <v>6</v>
      </c>
      <c r="V213" t="b">
        <v>1</v>
      </c>
      <c r="W213" t="inlineStr">
        <is>
          <t>Asset schedule!O16:T16</t>
        </is>
      </c>
      <c r="X213">
        <f>SUM(R[-11]C[0]:R[-1]C[0])</f>
        <v/>
      </c>
    </row>
    <row r="214">
      <c r="A214" t="inlineStr">
        <is>
          <t>Asset schedule</t>
        </is>
      </c>
      <c r="B214" t="inlineStr">
        <is>
          <t>A17</t>
        </is>
      </c>
      <c r="C214" t="n">
        <v>17</v>
      </c>
      <c r="D214" t="n">
        <v>1</v>
      </c>
      <c r="E214" t="inlineStr">
        <is>
          <t>Input</t>
        </is>
      </c>
      <c r="F214" t="n">
        <v/>
      </c>
      <c r="G214" t="inlineStr">
        <is>
          <t>Leasehold Land</t>
        </is>
      </c>
      <c r="H214" t="inlineStr"/>
      <c r="I214" t="inlineStr">
        <is>
          <t>General</t>
        </is>
      </c>
      <c r="J214" t="b">
        <v>1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Asset schedule</t>
        </is>
      </c>
      <c r="B215" t="inlineStr">
        <is>
          <t>B17</t>
        </is>
      </c>
      <c r="C215" t="n">
        <v>17</v>
      </c>
      <c r="D215" t="n">
        <v>2</v>
      </c>
      <c r="E215" t="inlineStr">
        <is>
          <t>Input</t>
        </is>
      </c>
      <c r="F215" t="n">
        <v/>
      </c>
      <c r="G215" t="n">
        <v>2015</v>
      </c>
      <c r="H215" t="inlineStr"/>
      <c r="I215" t="inlineStr">
        <is>
          <t>General</t>
        </is>
      </c>
      <c r="J215" t="b">
        <v>1</v>
      </c>
      <c r="K215" t="b">
        <v>0</v>
      </c>
      <c r="L215" t="n">
        <v>11</v>
      </c>
      <c r="M215" t="inlineStr">
        <is>
          <t>Values must be of type &lt;class 'str'&gt;</t>
        </is>
      </c>
      <c r="N215" t="inlineStr">
        <is>
          <t>Values must be of type &lt;class 'str'&gt;</t>
        </is>
      </c>
      <c r="O215" t="inlineStr">
        <is>
          <t>center</t>
        </is>
      </c>
      <c r="P215" t="inlineStr">
        <is>
          <t>center</t>
        </is>
      </c>
      <c r="R215" t="b">
        <v>1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Asset schedule</t>
        </is>
      </c>
      <c r="B216" t="inlineStr">
        <is>
          <t>C17</t>
        </is>
      </c>
      <c r="C216" t="n">
        <v>17</v>
      </c>
      <c r="D216" t="n">
        <v>3</v>
      </c>
      <c r="E216" t="inlineStr">
        <is>
          <t>Input</t>
        </is>
      </c>
      <c r="F216" t="n">
        <v/>
      </c>
      <c r="G216" t="n">
        <v>2016</v>
      </c>
      <c r="H216" t="inlineStr"/>
      <c r="I216" t="inlineStr">
        <is>
          <t>General</t>
        </is>
      </c>
      <c r="J216" t="b">
        <v>1</v>
      </c>
      <c r="K216" t="b">
        <v>0</v>
      </c>
      <c r="L216" t="n">
        <v>11</v>
      </c>
      <c r="M216" t="inlineStr">
        <is>
          <t>Values must be of type &lt;class 'str'&gt;</t>
        </is>
      </c>
      <c r="N216" t="inlineStr">
        <is>
          <t>Values must be of type &lt;class 'str'&gt;</t>
        </is>
      </c>
      <c r="O216" t="inlineStr">
        <is>
          <t>center</t>
        </is>
      </c>
      <c r="P216" t="inlineStr">
        <is>
          <t>center</t>
        </is>
      </c>
      <c r="R216" t="b">
        <v>1</v>
      </c>
      <c r="S216" t="n">
        <v/>
      </c>
      <c r="T216" t="n">
        <v/>
      </c>
      <c r="U216" t="n">
        <v/>
      </c>
      <c r="V216" t="b">
        <v>0</v>
      </c>
      <c r="W216" t="inlineStr"/>
      <c r="X216" t="n">
        <v/>
      </c>
    </row>
    <row r="217">
      <c r="A217" t="inlineStr">
        <is>
          <t>Asset schedule</t>
        </is>
      </c>
      <c r="B217" t="inlineStr">
        <is>
          <t>D17</t>
        </is>
      </c>
      <c r="C217" t="n">
        <v>17</v>
      </c>
      <c r="D217" t="n">
        <v>4</v>
      </c>
      <c r="E217" t="inlineStr">
        <is>
          <t>Input</t>
        </is>
      </c>
      <c r="F217" t="n">
        <v/>
      </c>
      <c r="G217" t="n">
        <v>2017</v>
      </c>
      <c r="H217" t="inlineStr"/>
      <c r="I217" t="inlineStr">
        <is>
          <t>General</t>
        </is>
      </c>
      <c r="J217" t="b">
        <v>1</v>
      </c>
      <c r="K217" t="b">
        <v>0</v>
      </c>
      <c r="L217" t="n">
        <v>11</v>
      </c>
      <c r="M217" t="inlineStr">
        <is>
          <t>Values must be of type &lt;class 'str'&gt;</t>
        </is>
      </c>
      <c r="N217" t="inlineStr">
        <is>
          <t>Values must be of type &lt;class 'str'&gt;</t>
        </is>
      </c>
      <c r="O217" t="inlineStr">
        <is>
          <t>center</t>
        </is>
      </c>
      <c r="P217" t="inlineStr">
        <is>
          <t>center</t>
        </is>
      </c>
      <c r="R217" t="b">
        <v>1</v>
      </c>
      <c r="S217" t="n">
        <v/>
      </c>
      <c r="T217" t="n">
        <v/>
      </c>
      <c r="U217" t="n">
        <v/>
      </c>
      <c r="V217" t="b">
        <v>0</v>
      </c>
      <c r="W217" t="inlineStr"/>
      <c r="X217" t="n">
        <v/>
      </c>
    </row>
    <row r="218">
      <c r="A218" t="inlineStr">
        <is>
          <t>Asset schedule</t>
        </is>
      </c>
      <c r="B218" t="inlineStr">
        <is>
          <t>E17</t>
        </is>
      </c>
      <c r="C218" t="n">
        <v>17</v>
      </c>
      <c r="D218" t="n">
        <v>5</v>
      </c>
      <c r="E218" t="inlineStr">
        <is>
          <t>Input</t>
        </is>
      </c>
      <c r="F218" t="n">
        <v/>
      </c>
      <c r="G218" t="inlineStr">
        <is>
          <t>2018 F</t>
        </is>
      </c>
      <c r="H218" t="inlineStr"/>
      <c r="I218" t="inlineStr">
        <is>
          <t>General</t>
        </is>
      </c>
      <c r="J218" t="b">
        <v>1</v>
      </c>
      <c r="K218" t="b">
        <v>0</v>
      </c>
      <c r="L218" t="n">
        <v>11</v>
      </c>
      <c r="M218" t="inlineStr">
        <is>
          <t>Values must be of type &lt;class 'str'&gt;</t>
        </is>
      </c>
      <c r="N218" t="inlineStr">
        <is>
          <t>Values must be of type &lt;class 'str'&gt;</t>
        </is>
      </c>
      <c r="O218" t="inlineStr">
        <is>
          <t>center</t>
        </is>
      </c>
      <c r="P218" t="inlineStr">
        <is>
          <t>center</t>
        </is>
      </c>
      <c r="R218" t="b">
        <v>1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Asset schedule</t>
        </is>
      </c>
      <c r="B219" t="inlineStr">
        <is>
          <t>F17</t>
        </is>
      </c>
      <c r="C219" t="n">
        <v>17</v>
      </c>
      <c r="D219" t="n">
        <v>6</v>
      </c>
      <c r="E219" t="inlineStr">
        <is>
          <t>Input</t>
        </is>
      </c>
      <c r="F219" t="n">
        <v/>
      </c>
      <c r="G219" t="inlineStr">
        <is>
          <t>2019 F</t>
        </is>
      </c>
      <c r="H219" t="inlineStr"/>
      <c r="I219" t="inlineStr">
        <is>
          <t>General</t>
        </is>
      </c>
      <c r="J219" t="b">
        <v>1</v>
      </c>
      <c r="K219" t="b">
        <v>0</v>
      </c>
      <c r="L219" t="n">
        <v>11</v>
      </c>
      <c r="M219" t="inlineStr">
        <is>
          <t>Values must be of type &lt;class 'str'&gt;</t>
        </is>
      </c>
      <c r="N219" t="inlineStr">
        <is>
          <t>Values must be of type &lt;class 'str'&gt;</t>
        </is>
      </c>
      <c r="O219" t="inlineStr">
        <is>
          <t>center</t>
        </is>
      </c>
      <c r="P219" t="inlineStr">
        <is>
          <t>center</t>
        </is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Asset schedule</t>
        </is>
      </c>
      <c r="B220" t="inlineStr">
        <is>
          <t>G17</t>
        </is>
      </c>
      <c r="C220" t="n">
        <v>17</v>
      </c>
      <c r="D220" t="n">
        <v>7</v>
      </c>
      <c r="E220" t="inlineStr">
        <is>
          <t>Input</t>
        </is>
      </c>
      <c r="F220" t="n">
        <v/>
      </c>
      <c r="G220" t="inlineStr">
        <is>
          <t>2020 F</t>
        </is>
      </c>
      <c r="H220" t="inlineStr"/>
      <c r="I220" t="inlineStr">
        <is>
          <t>General</t>
        </is>
      </c>
      <c r="J220" t="b">
        <v>1</v>
      </c>
      <c r="K220" t="b">
        <v>0</v>
      </c>
      <c r="L220" t="n">
        <v>11</v>
      </c>
      <c r="M220" t="inlineStr">
        <is>
          <t>Values must be of type &lt;class 'str'&gt;</t>
        </is>
      </c>
      <c r="N220" t="inlineStr">
        <is>
          <t>Values must be of type &lt;class 'str'&gt;</t>
        </is>
      </c>
      <c r="O220" t="inlineStr">
        <is>
          <t>center</t>
        </is>
      </c>
      <c r="P220" t="inlineStr">
        <is>
          <t>center</t>
        </is>
      </c>
      <c r="R220" t="b">
        <v>1</v>
      </c>
      <c r="S220" t="n">
        <v/>
      </c>
      <c r="T220" t="n">
        <v/>
      </c>
      <c r="U220" t="n">
        <v/>
      </c>
      <c r="V220" t="b">
        <v>0</v>
      </c>
      <c r="W220" t="inlineStr"/>
      <c r="X220" t="n">
        <v/>
      </c>
    </row>
    <row r="221">
      <c r="A221" t="inlineStr">
        <is>
          <t>Asset schedule</t>
        </is>
      </c>
      <c r="B221" t="inlineStr">
        <is>
          <t>H17</t>
        </is>
      </c>
      <c r="C221" t="n">
        <v>17</v>
      </c>
      <c r="D221" t="n">
        <v>8</v>
      </c>
      <c r="E221" t="inlineStr">
        <is>
          <t>Input</t>
        </is>
      </c>
      <c r="F221" t="n">
        <v/>
      </c>
      <c r="G221" t="inlineStr">
        <is>
          <t>2021 F</t>
        </is>
      </c>
      <c r="H221" t="inlineStr"/>
      <c r="I221" t="inlineStr">
        <is>
          <t>General</t>
        </is>
      </c>
      <c r="J221" t="b">
        <v>1</v>
      </c>
      <c r="K221" t="b">
        <v>0</v>
      </c>
      <c r="L221" t="n">
        <v>11</v>
      </c>
      <c r="M221" t="inlineStr">
        <is>
          <t>Values must be of type &lt;class 'str'&gt;</t>
        </is>
      </c>
      <c r="N221" t="inlineStr">
        <is>
          <t>Values must be of type &lt;class 'str'&gt;</t>
        </is>
      </c>
      <c r="O221" t="inlineStr">
        <is>
          <t>center</t>
        </is>
      </c>
      <c r="P221" t="inlineStr">
        <is>
          <t>center</t>
        </is>
      </c>
      <c r="R221" t="b">
        <v>1</v>
      </c>
      <c r="S221" t="n">
        <v/>
      </c>
      <c r="T221" t="n">
        <v/>
      </c>
      <c r="U221" t="n">
        <v/>
      </c>
      <c r="V221" t="b">
        <v>0</v>
      </c>
      <c r="W221" t="inlineStr"/>
      <c r="X221" t="n">
        <v/>
      </c>
    </row>
    <row r="222">
      <c r="A222" t="inlineStr">
        <is>
          <t>Asset schedule</t>
        </is>
      </c>
      <c r="B222" t="inlineStr">
        <is>
          <t>I17</t>
        </is>
      </c>
      <c r="C222" t="n">
        <v>17</v>
      </c>
      <c r="D222" t="n">
        <v>9</v>
      </c>
      <c r="E222" t="inlineStr">
        <is>
          <t>Input</t>
        </is>
      </c>
      <c r="F222" t="n">
        <v/>
      </c>
      <c r="G222" t="inlineStr">
        <is>
          <t>2022 F</t>
        </is>
      </c>
      <c r="H222" t="inlineStr"/>
      <c r="I222" t="inlineStr">
        <is>
          <t>General</t>
        </is>
      </c>
      <c r="J222" t="b">
        <v>1</v>
      </c>
      <c r="K222" t="b">
        <v>0</v>
      </c>
      <c r="L222" t="n">
        <v>11</v>
      </c>
      <c r="M222" t="inlineStr">
        <is>
          <t>Values must be of type &lt;class 'str'&gt;</t>
        </is>
      </c>
      <c r="N222" t="inlineStr">
        <is>
          <t>Values must be of type &lt;class 'str'&gt;</t>
        </is>
      </c>
      <c r="O222" t="inlineStr">
        <is>
          <t>center</t>
        </is>
      </c>
      <c r="P222" t="inlineStr">
        <is>
          <t>center</t>
        </is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Asset schedule</t>
        </is>
      </c>
      <c r="B223" t="inlineStr">
        <is>
          <t>A18</t>
        </is>
      </c>
      <c r="C223" t="n">
        <v>18</v>
      </c>
      <c r="D223" t="n">
        <v>1</v>
      </c>
      <c r="E223" t="inlineStr">
        <is>
          <t>Input</t>
        </is>
      </c>
      <c r="F223" t="n">
        <v/>
      </c>
      <c r="G223" t="inlineStr">
        <is>
          <t>Opening balance</t>
        </is>
      </c>
      <c r="H223" t="inlineStr"/>
      <c r="I223" t="inlineStr">
        <is>
          <t>General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Asset schedule</t>
        </is>
      </c>
      <c r="B224" t="inlineStr">
        <is>
          <t>D18</t>
        </is>
      </c>
      <c r="C224" t="n">
        <v>18</v>
      </c>
      <c r="D224" t="n">
        <v>4</v>
      </c>
      <c r="E224" t="inlineStr">
        <is>
          <t>Input</t>
        </is>
      </c>
      <c r="F224" t="n">
        <v/>
      </c>
      <c r="G224" t="n">
        <v>36.1</v>
      </c>
      <c r="H224" t="inlineStr"/>
      <c r="I224" t="inlineStr">
        <is>
          <t>General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1</v>
      </c>
      <c r="S224" t="n">
        <v/>
      </c>
      <c r="T224" t="n">
        <v/>
      </c>
      <c r="U224" t="n">
        <v/>
      </c>
      <c r="V224" t="b">
        <v>0</v>
      </c>
      <c r="W224" t="inlineStr"/>
      <c r="X224" t="n">
        <v/>
      </c>
    </row>
    <row r="225">
      <c r="A225" t="inlineStr">
        <is>
          <t>Asset schedule</t>
        </is>
      </c>
      <c r="B225" t="inlineStr">
        <is>
          <t>E18</t>
        </is>
      </c>
      <c r="C225" t="n">
        <v>18</v>
      </c>
      <c r="D225" t="n">
        <v>5</v>
      </c>
      <c r="E225" t="inlineStr">
        <is>
          <t>Calculation</t>
        </is>
      </c>
      <c r="F225" t="inlineStr">
        <is>
          <t>'=D22</t>
        </is>
      </c>
      <c r="G225" t="n">
        <v>38.46</v>
      </c>
      <c r="H225" t="inlineStr"/>
      <c r="I225" t="inlineStr">
        <is>
          <t>General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P225" t="n">
        <v/>
      </c>
      <c r="R225" t="b">
        <v>1</v>
      </c>
      <c r="S225" t="inlineStr">
        <is>
          <t>G000080</t>
        </is>
      </c>
      <c r="T225" t="inlineStr">
        <is>
          <t>Horizontal</t>
        </is>
      </c>
      <c r="U225" t="n">
        <v>5</v>
      </c>
      <c r="V225" t="b">
        <v>1</v>
      </c>
      <c r="W225" t="inlineStr">
        <is>
          <t>Asset schedule!E18:I18</t>
        </is>
      </c>
      <c r="X225">
        <f>R[4]C[-1]</f>
        <v/>
      </c>
    </row>
    <row r="226">
      <c r="A226" t="inlineStr">
        <is>
          <t>Asset schedule</t>
        </is>
      </c>
      <c r="B226" t="inlineStr">
        <is>
          <t>F18</t>
        </is>
      </c>
      <c r="C226" t="n">
        <v>18</v>
      </c>
      <c r="D226" t="n">
        <v>6</v>
      </c>
      <c r="E226" t="inlineStr">
        <is>
          <t>Calculation</t>
        </is>
      </c>
      <c r="F226" t="inlineStr">
        <is>
          <t>'=E22</t>
        </is>
      </c>
      <c r="G226" t="n">
        <v>41.04646550413658</v>
      </c>
      <c r="H226" t="inlineStr"/>
      <c r="I226" t="inlineStr">
        <is>
          <t>General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inlineStr">
        <is>
          <t>G000080</t>
        </is>
      </c>
      <c r="T226" t="inlineStr">
        <is>
          <t>Horizontal</t>
        </is>
      </c>
      <c r="U226" t="n">
        <v>5</v>
      </c>
      <c r="V226" t="b">
        <v>1</v>
      </c>
      <c r="W226" t="inlineStr">
        <is>
          <t>Asset schedule!E18:I18</t>
        </is>
      </c>
      <c r="X226">
        <f>R[4]C[-1]</f>
        <v/>
      </c>
    </row>
    <row r="227">
      <c r="A227" t="inlineStr">
        <is>
          <t>Asset schedule</t>
        </is>
      </c>
      <c r="B227" t="inlineStr">
        <is>
          <t>G18</t>
        </is>
      </c>
      <c r="C227" t="n">
        <v>18</v>
      </c>
      <c r="D227" t="n">
        <v>7</v>
      </c>
      <c r="E227" t="inlineStr">
        <is>
          <t>Calculation</t>
        </is>
      </c>
      <c r="F227" t="inlineStr">
        <is>
          <t>'=F22</t>
        </is>
      </c>
      <c r="G227" t="n">
        <v>43.83367721326965</v>
      </c>
      <c r="H227" t="inlineStr"/>
      <c r="I227" t="inlineStr">
        <is>
          <t>General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inlineStr">
        <is>
          <t>G000080</t>
        </is>
      </c>
      <c r="T227" t="inlineStr">
        <is>
          <t>Horizontal</t>
        </is>
      </c>
      <c r="U227" t="n">
        <v>5</v>
      </c>
      <c r="V227" t="b">
        <v>1</v>
      </c>
      <c r="W227" t="inlineStr">
        <is>
          <t>Asset schedule!E18:I18</t>
        </is>
      </c>
      <c r="X227">
        <f>R[4]C[-1]</f>
        <v/>
      </c>
    </row>
    <row r="228">
      <c r="A228" t="inlineStr">
        <is>
          <t>Asset schedule</t>
        </is>
      </c>
      <c r="B228" t="inlineStr">
        <is>
          <t>H18</t>
        </is>
      </c>
      <c r="C228" t="n">
        <v>18</v>
      </c>
      <c r="D228" t="n">
        <v>8</v>
      </c>
      <c r="E228" t="inlineStr">
        <is>
          <t>Calculation</t>
        </is>
      </c>
      <c r="F228" t="inlineStr">
        <is>
          <t>'=G22</t>
        </is>
      </c>
      <c r="G228" t="n">
        <v>46.83474301129178</v>
      </c>
      <c r="H228" t="inlineStr"/>
      <c r="I228" t="inlineStr">
        <is>
          <t>General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P228" t="n">
        <v/>
      </c>
      <c r="R228" t="b">
        <v>1</v>
      </c>
      <c r="S228" t="inlineStr">
        <is>
          <t>G000080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Asset schedule!E18:I18</t>
        </is>
      </c>
      <c r="X228">
        <f>R[4]C[-1]</f>
        <v/>
      </c>
    </row>
    <row r="229">
      <c r="A229" t="inlineStr">
        <is>
          <t>Asset schedule</t>
        </is>
      </c>
      <c r="B229" t="inlineStr">
        <is>
          <t>I18</t>
        </is>
      </c>
      <c r="C229" t="n">
        <v>18</v>
      </c>
      <c r="D229" t="n">
        <v>9</v>
      </c>
      <c r="E229" t="inlineStr">
        <is>
          <t>Calculation</t>
        </is>
      </c>
      <c r="F229" t="inlineStr">
        <is>
          <t>'=H22</t>
        </is>
      </c>
      <c r="G229" t="n">
        <v>50.06358625596415</v>
      </c>
      <c r="H229" t="inlineStr"/>
      <c r="I229" t="inlineStr">
        <is>
          <t>General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P229" t="n">
        <v/>
      </c>
      <c r="R229" t="b">
        <v>1</v>
      </c>
      <c r="S229" t="inlineStr">
        <is>
          <t>G000080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Asset schedule!E18:I18</t>
        </is>
      </c>
      <c r="X229">
        <f>R[4]C[-1]</f>
        <v/>
      </c>
    </row>
    <row r="230">
      <c r="A230" t="inlineStr">
        <is>
          <t>Asset schedule</t>
        </is>
      </c>
      <c r="B230" t="inlineStr">
        <is>
          <t>A19</t>
        </is>
      </c>
      <c r="C230" t="n">
        <v>19</v>
      </c>
      <c r="D230" t="n">
        <v>1</v>
      </c>
      <c r="E230" t="inlineStr">
        <is>
          <t>Input</t>
        </is>
      </c>
      <c r="F230" t="n">
        <v/>
      </c>
      <c r="G230" t="inlineStr">
        <is>
          <t>Add: purchase during the year</t>
        </is>
      </c>
      <c r="H230" t="inlineStr"/>
      <c r="I230" t="inlineStr">
        <is>
          <t>General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P230" t="n">
        <v/>
      </c>
      <c r="R230" t="b">
        <v>1</v>
      </c>
      <c r="S230" t="n">
        <v/>
      </c>
      <c r="T230" t="n">
        <v/>
      </c>
      <c r="U230" t="n">
        <v/>
      </c>
      <c r="V230" t="b">
        <v>0</v>
      </c>
      <c r="W230" t="inlineStr"/>
      <c r="X230" t="n">
        <v/>
      </c>
    </row>
    <row r="231">
      <c r="A231" t="inlineStr">
        <is>
          <t>Asset schedule</t>
        </is>
      </c>
      <c r="B231" t="inlineStr">
        <is>
          <t>D19</t>
        </is>
      </c>
      <c r="C231" t="n">
        <v>19</v>
      </c>
      <c r="D231" t="n">
        <v>4</v>
      </c>
      <c r="E231" t="inlineStr">
        <is>
          <t>Input</t>
        </is>
      </c>
      <c r="F231" t="n">
        <v/>
      </c>
      <c r="G231" t="n">
        <v>2.87</v>
      </c>
      <c r="H231" t="inlineStr"/>
      <c r="I231" t="inlineStr">
        <is>
          <t>General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P231" t="n">
        <v/>
      </c>
      <c r="R231" t="b">
        <v>1</v>
      </c>
      <c r="S231" t="n">
        <v/>
      </c>
      <c r="T231" t="n">
        <v/>
      </c>
      <c r="U231" t="n">
        <v/>
      </c>
      <c r="V231" t="b">
        <v>0</v>
      </c>
      <c r="W231" t="inlineStr"/>
      <c r="X231" t="n">
        <v/>
      </c>
    </row>
    <row r="232">
      <c r="A232" t="inlineStr">
        <is>
          <t>Asset schedule</t>
        </is>
      </c>
      <c r="B232" t="inlineStr">
        <is>
          <t>E19</t>
        </is>
      </c>
      <c r="C232" t="n">
        <v>19</v>
      </c>
      <c r="D232" t="n">
        <v>5</v>
      </c>
      <c r="E232" t="inlineStr">
        <is>
          <t>Calculation</t>
        </is>
      </c>
      <c r="F232" t="inlineStr">
        <is>
          <t>'=INDEX($L$4:$T$15,MATCH($A17,$L$4:$L$15,0),MATCH(E17,$L$4:$T$4,0))</t>
        </is>
      </c>
      <c r="G232" t="n">
        <v>3.089791139240507</v>
      </c>
      <c r="H232" t="inlineStr"/>
      <c r="I232" t="inlineStr">
        <is>
          <t>0.0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P232" t="n">
        <v/>
      </c>
      <c r="R232" t="b">
        <v>1</v>
      </c>
      <c r="S232" t="inlineStr">
        <is>
          <t>G000092</t>
        </is>
      </c>
      <c r="T232" t="inlineStr">
        <is>
          <t>Horizontal</t>
        </is>
      </c>
      <c r="U232" t="n">
        <v>5</v>
      </c>
      <c r="V232" t="b">
        <v>1</v>
      </c>
      <c r="W232" t="inlineStr">
        <is>
          <t>Asset schedule!E19:I19</t>
        </is>
      </c>
      <c r="X232">
        <f>INDEX(R4C12:R15C20,MATCH(R[-2]C1,R4C12:R15C12,0),MATCH(R[-2]C[0],R4C12:R4C20,0))</f>
        <v/>
      </c>
    </row>
    <row r="233">
      <c r="A233" t="inlineStr">
        <is>
          <t>Asset schedule</t>
        </is>
      </c>
      <c r="B233" t="inlineStr">
        <is>
          <t>F19</t>
        </is>
      </c>
      <c r="C233" t="n">
        <v>19</v>
      </c>
      <c r="D233" t="n">
        <v>6</v>
      </c>
      <c r="E233" t="inlineStr">
        <is>
          <t>Calculation</t>
        </is>
      </c>
      <c r="F233" t="inlineStr">
        <is>
          <t>'=INDEX($L$4:$T$15,MATCH($A17,$L$4:$L$15,0),MATCH(F17,$L$4:$T$4,0))</t>
        </is>
      </c>
      <c r="G233" t="n">
        <v>3.324386392405064</v>
      </c>
      <c r="H233" t="inlineStr"/>
      <c r="I233" t="inlineStr">
        <is>
          <t>0.0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P233" t="n">
        <v/>
      </c>
      <c r="R233" t="b">
        <v>1</v>
      </c>
      <c r="S233" t="inlineStr">
        <is>
          <t>G000092</t>
        </is>
      </c>
      <c r="T233" t="inlineStr">
        <is>
          <t>Horizontal</t>
        </is>
      </c>
      <c r="U233" t="n">
        <v>5</v>
      </c>
      <c r="V233" t="b">
        <v>1</v>
      </c>
      <c r="W233" t="inlineStr">
        <is>
          <t>Asset schedule!E19:I19</t>
        </is>
      </c>
      <c r="X233">
        <f>INDEX(R4C12:R15C20,MATCH(R[-2]C1,R4C12:R15C12,0),MATCH(R[-2]C[0],R4C12:R4C20,0))</f>
        <v/>
      </c>
    </row>
    <row r="234">
      <c r="A234" t="inlineStr">
        <is>
          <t>Asset schedule</t>
        </is>
      </c>
      <c r="B234" t="inlineStr">
        <is>
          <t>G19</t>
        </is>
      </c>
      <c r="C234" t="n">
        <v>19</v>
      </c>
      <c r="D234" t="n">
        <v>7</v>
      </c>
      <c r="E234" t="inlineStr">
        <is>
          <t>Calculation</t>
        </is>
      </c>
      <c r="F234" t="inlineStr">
        <is>
          <t>'=INDEX($L$4:$T$15,MATCH($A17,$L$4:$L$15,0),MATCH(G17,$L$4:$T$4,0))</t>
        </is>
      </c>
      <c r="G234" t="n">
        <v>3.574716693037975</v>
      </c>
      <c r="H234" t="inlineStr"/>
      <c r="I234" t="inlineStr">
        <is>
          <t>0.0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inlineStr">
        <is>
          <t>G000092</t>
        </is>
      </c>
      <c r="T234" t="inlineStr">
        <is>
          <t>Horizontal</t>
        </is>
      </c>
      <c r="U234" t="n">
        <v>5</v>
      </c>
      <c r="V234" t="b">
        <v>1</v>
      </c>
      <c r="W234" t="inlineStr">
        <is>
          <t>Asset schedule!E19:I19</t>
        </is>
      </c>
      <c r="X234">
        <f>INDEX(R4C12:R15C20,MATCH(R[-2]C1,R4C12:R15C12,0),MATCH(R[-2]C[0],R4C12:R4C20,0))</f>
        <v/>
      </c>
    </row>
    <row r="235">
      <c r="A235" t="inlineStr">
        <is>
          <t>Asset schedule</t>
        </is>
      </c>
      <c r="B235" t="inlineStr">
        <is>
          <t>H19</t>
        </is>
      </c>
      <c r="C235" t="n">
        <v>19</v>
      </c>
      <c r="D235" t="n">
        <v>8</v>
      </c>
      <c r="E235" t="inlineStr">
        <is>
          <t>Calculation</t>
        </is>
      </c>
      <c r="F235" t="inlineStr">
        <is>
          <t>'=INDEX($L$4:$T$15,MATCH($A17,$L$4:$L$15,0),MATCH(H17,$L$4:$T$4,0))</t>
        </is>
      </c>
      <c r="G235" t="n">
        <v>3.841769057753165</v>
      </c>
      <c r="H235" t="inlineStr"/>
      <c r="I235" t="inlineStr">
        <is>
          <t>0.0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inlineStr">
        <is>
          <t>G000092</t>
        </is>
      </c>
      <c r="T235" t="inlineStr">
        <is>
          <t>Horizontal</t>
        </is>
      </c>
      <c r="U235" t="n">
        <v>5</v>
      </c>
      <c r="V235" t="b">
        <v>1</v>
      </c>
      <c r="W235" t="inlineStr">
        <is>
          <t>Asset schedule!E19:I19</t>
        </is>
      </c>
      <c r="X235">
        <f>INDEX(R4C12:R15C20,MATCH(R[-2]C1,R4C12:R15C12,0),MATCH(R[-2]C[0],R4C12:R4C20,0))</f>
        <v/>
      </c>
    </row>
    <row r="236">
      <c r="A236" t="inlineStr">
        <is>
          <t>Asset schedule</t>
        </is>
      </c>
      <c r="B236" t="inlineStr">
        <is>
          <t>I19</t>
        </is>
      </c>
      <c r="C236" t="n">
        <v>19</v>
      </c>
      <c r="D236" t="n">
        <v>9</v>
      </c>
      <c r="E236" t="inlineStr">
        <is>
          <t>Calculation</t>
        </is>
      </c>
      <c r="F236" t="inlineStr">
        <is>
          <t>'=INDEX($L$4:$T$15,MATCH($A17,$L$4:$L$15,0),MATCH(I17,$L$4:$T$4,0))</t>
        </is>
      </c>
      <c r="G236" t="n">
        <v>4.126589867207281</v>
      </c>
      <c r="H236" t="inlineStr"/>
      <c r="I236" t="inlineStr">
        <is>
          <t>0.0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P236" t="n">
        <v/>
      </c>
      <c r="R236" t="b">
        <v>1</v>
      </c>
      <c r="S236" t="inlineStr">
        <is>
          <t>G000092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Asset schedule!E19:I19</t>
        </is>
      </c>
      <c r="X236">
        <f>INDEX(R4C12:R15C20,MATCH(R[-2]C1,R4C12:R15C12,0),MATCH(R[-2]C[0],R4C12:R4C20,0))</f>
        <v/>
      </c>
    </row>
    <row r="237">
      <c r="A237" t="inlineStr">
        <is>
          <t>Asset schedule</t>
        </is>
      </c>
      <c r="B237" t="inlineStr">
        <is>
          <t>A20</t>
        </is>
      </c>
      <c r="C237" t="n">
        <v>20</v>
      </c>
      <c r="D237" t="n">
        <v>1</v>
      </c>
      <c r="E237" t="inlineStr">
        <is>
          <t>Input</t>
        </is>
      </c>
      <c r="F237" t="n">
        <v/>
      </c>
      <c r="G237" t="inlineStr">
        <is>
          <t>Less: Sale during the year</t>
        </is>
      </c>
      <c r="H237" t="inlineStr"/>
      <c r="I237" t="inlineStr">
        <is>
          <t>General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P237" t="n">
        <v/>
      </c>
      <c r="R237" t="b">
        <v>1</v>
      </c>
      <c r="S237" t="n">
        <v/>
      </c>
      <c r="T237" t="n">
        <v/>
      </c>
      <c r="U237" t="n">
        <v/>
      </c>
      <c r="V237" t="b">
        <v>0</v>
      </c>
      <c r="W237" t="inlineStr"/>
      <c r="X237" t="n">
        <v/>
      </c>
    </row>
    <row r="238">
      <c r="A238" t="inlineStr">
        <is>
          <t>Asset schedule</t>
        </is>
      </c>
      <c r="B238" t="inlineStr">
        <is>
          <t>D20</t>
        </is>
      </c>
      <c r="C238" t="n">
        <v>20</v>
      </c>
      <c r="D238" t="n">
        <v>4</v>
      </c>
      <c r="E238" t="inlineStr">
        <is>
          <t>Input</t>
        </is>
      </c>
      <c r="F238" t="n">
        <v/>
      </c>
      <c r="G238" t="n">
        <v>0</v>
      </c>
      <c r="H238" t="inlineStr"/>
      <c r="I238" t="inlineStr">
        <is>
          <t>General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P238" t="n">
        <v/>
      </c>
      <c r="R238" t="b">
        <v>1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Asset schedule</t>
        </is>
      </c>
      <c r="B239" t="inlineStr">
        <is>
          <t>E20</t>
        </is>
      </c>
      <c r="C239" t="n">
        <v>20</v>
      </c>
      <c r="D239" t="n">
        <v>5</v>
      </c>
      <c r="E239" t="inlineStr">
        <is>
          <t>Input</t>
        </is>
      </c>
      <c r="F239" t="n">
        <v/>
      </c>
      <c r="G239" t="n">
        <v>0</v>
      </c>
      <c r="H239" t="inlineStr"/>
      <c r="I239" t="inlineStr">
        <is>
          <t>General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P239" t="n">
        <v/>
      </c>
      <c r="R239" t="b">
        <v>1</v>
      </c>
      <c r="S239" t="n">
        <v/>
      </c>
      <c r="T239" t="n">
        <v/>
      </c>
      <c r="U239" t="n">
        <v/>
      </c>
      <c r="V239" t="b">
        <v>0</v>
      </c>
      <c r="W239" t="inlineStr"/>
      <c r="X239" t="n">
        <v/>
      </c>
    </row>
    <row r="240">
      <c r="A240" t="inlineStr">
        <is>
          <t>Asset schedule</t>
        </is>
      </c>
      <c r="B240" t="inlineStr">
        <is>
          <t>F20</t>
        </is>
      </c>
      <c r="C240" t="n">
        <v>20</v>
      </c>
      <c r="D240" t="n">
        <v>6</v>
      </c>
      <c r="E240" t="inlineStr">
        <is>
          <t>Input</t>
        </is>
      </c>
      <c r="F240" t="n">
        <v/>
      </c>
      <c r="G240" t="n">
        <v>0</v>
      </c>
      <c r="H240" t="inlineStr"/>
      <c r="I240" t="inlineStr">
        <is>
          <t>General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P240" t="n">
        <v/>
      </c>
      <c r="R240" t="b">
        <v>1</v>
      </c>
      <c r="S240" t="n">
        <v/>
      </c>
      <c r="T240" t="n">
        <v/>
      </c>
      <c r="U240" t="n">
        <v/>
      </c>
      <c r="V240" t="b">
        <v>0</v>
      </c>
      <c r="W240" t="inlineStr"/>
      <c r="X240" t="n">
        <v/>
      </c>
    </row>
    <row r="241">
      <c r="A241" t="inlineStr">
        <is>
          <t>Asset schedule</t>
        </is>
      </c>
      <c r="B241" t="inlineStr">
        <is>
          <t>G20</t>
        </is>
      </c>
      <c r="C241" t="n">
        <v>20</v>
      </c>
      <c r="D241" t="n">
        <v>7</v>
      </c>
      <c r="E241" t="inlineStr">
        <is>
          <t>Input</t>
        </is>
      </c>
      <c r="F241" t="n">
        <v/>
      </c>
      <c r="G241" t="n">
        <v>0</v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Asset schedule</t>
        </is>
      </c>
      <c r="B242" t="inlineStr">
        <is>
          <t>H20</t>
        </is>
      </c>
      <c r="C242" t="n">
        <v>20</v>
      </c>
      <c r="D242" t="n">
        <v>8</v>
      </c>
      <c r="E242" t="inlineStr">
        <is>
          <t>Input</t>
        </is>
      </c>
      <c r="F242" t="n">
        <v/>
      </c>
      <c r="G242" t="n">
        <v>0</v>
      </c>
      <c r="H242" t="inlineStr"/>
      <c r="I242" t="inlineStr">
        <is>
          <t>General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Asset schedule</t>
        </is>
      </c>
      <c r="B243" t="inlineStr">
        <is>
          <t>I20</t>
        </is>
      </c>
      <c r="C243" t="n">
        <v>20</v>
      </c>
      <c r="D243" t="n">
        <v>9</v>
      </c>
      <c r="E243" t="inlineStr">
        <is>
          <t>Input</t>
        </is>
      </c>
      <c r="F243" t="n">
        <v/>
      </c>
      <c r="G243" t="n">
        <v>0</v>
      </c>
      <c r="H243" t="inlineStr"/>
      <c r="I243" t="inlineStr">
        <is>
          <t>General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 t="n">
        <v/>
      </c>
    </row>
    <row r="244">
      <c r="A244" t="inlineStr">
        <is>
          <t>Asset schedule</t>
        </is>
      </c>
      <c r="B244" t="inlineStr">
        <is>
          <t>A21</t>
        </is>
      </c>
      <c r="C244" t="n">
        <v>21</v>
      </c>
      <c r="D244" t="n">
        <v>1</v>
      </c>
      <c r="E244" t="inlineStr">
        <is>
          <t>Input</t>
        </is>
      </c>
      <c r="F244" t="n">
        <v/>
      </c>
      <c r="G244" t="inlineStr">
        <is>
          <t>Less: Dep</t>
        </is>
      </c>
      <c r="H244" t="inlineStr"/>
      <c r="I244" t="inlineStr">
        <is>
          <t>General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n">
        <v/>
      </c>
      <c r="T244" t="n">
        <v/>
      </c>
      <c r="U244" t="n">
        <v/>
      </c>
      <c r="V244" t="b">
        <v>0</v>
      </c>
      <c r="W244" t="inlineStr"/>
      <c r="X244" t="n">
        <v/>
      </c>
    </row>
    <row r="245">
      <c r="A245" t="inlineStr">
        <is>
          <t>Asset schedule</t>
        </is>
      </c>
      <c r="B245" t="inlineStr">
        <is>
          <t>D21</t>
        </is>
      </c>
      <c r="C245" t="n">
        <v>21</v>
      </c>
      <c r="D245" t="n">
        <v>4</v>
      </c>
      <c r="E245" t="inlineStr">
        <is>
          <t>Input</t>
        </is>
      </c>
      <c r="F245" t="n">
        <v/>
      </c>
      <c r="G245" t="n">
        <v>0.51</v>
      </c>
      <c r="H245" t="inlineStr"/>
      <c r="I245" t="inlineStr">
        <is>
          <t>General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n">
        <v/>
      </c>
      <c r="T245" t="n">
        <v/>
      </c>
      <c r="U245" t="n">
        <v/>
      </c>
      <c r="V245" t="b">
        <v>0</v>
      </c>
      <c r="W245" t="inlineStr"/>
      <c r="X245" t="n">
        <v/>
      </c>
    </row>
    <row r="246">
      <c r="A246" t="inlineStr">
        <is>
          <t>Asset schedule</t>
        </is>
      </c>
      <c r="B246" t="inlineStr">
        <is>
          <t>E21</t>
        </is>
      </c>
      <c r="C246" t="n">
        <v>21</v>
      </c>
      <c r="D246" t="n">
        <v>5</v>
      </c>
      <c r="E246" t="inlineStr">
        <is>
          <t>Calculation</t>
        </is>
      </c>
      <c r="F246" t="inlineStr">
        <is>
          <t>'=E18*$B23</t>
        </is>
      </c>
      <c r="G246" t="n">
        <v>0.5033256351039261</v>
      </c>
      <c r="H246" t="inlineStr"/>
      <c r="I246" t="inlineStr">
        <is>
          <t>0.0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inlineStr">
        <is>
          <t>G000103</t>
        </is>
      </c>
      <c r="T246" t="inlineStr">
        <is>
          <t>Horizontal</t>
        </is>
      </c>
      <c r="U246" t="n">
        <v>5</v>
      </c>
      <c r="V246" t="b">
        <v>1</v>
      </c>
      <c r="W246" t="inlineStr">
        <is>
          <t>Asset schedule!E21:I21</t>
        </is>
      </c>
      <c r="X246">
        <f>R[-3]C[0]*R[2]C2</f>
        <v/>
      </c>
    </row>
    <row r="247">
      <c r="A247" t="inlineStr">
        <is>
          <t>Asset schedule</t>
        </is>
      </c>
      <c r="B247" t="inlineStr">
        <is>
          <t>F21</t>
        </is>
      </c>
      <c r="C247" t="n">
        <v>21</v>
      </c>
      <c r="D247" t="n">
        <v>6</v>
      </c>
      <c r="E247" t="inlineStr">
        <is>
          <t>Calculation</t>
        </is>
      </c>
      <c r="F247" t="inlineStr">
        <is>
          <t>'=F18*$B23</t>
        </is>
      </c>
      <c r="G247" t="n">
        <v>0.5371746832719952</v>
      </c>
      <c r="H247" t="inlineStr"/>
      <c r="I247" t="inlineStr">
        <is>
          <t>0.0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inlineStr">
        <is>
          <t>G000103</t>
        </is>
      </c>
      <c r="T247" t="inlineStr">
        <is>
          <t>Horizontal</t>
        </is>
      </c>
      <c r="U247" t="n">
        <v>5</v>
      </c>
      <c r="V247" t="b">
        <v>1</v>
      </c>
      <c r="W247" t="inlineStr">
        <is>
          <t>Asset schedule!E21:I21</t>
        </is>
      </c>
      <c r="X247">
        <f>R[-3]C[0]*R[2]C2</f>
        <v/>
      </c>
    </row>
    <row r="248">
      <c r="A248" t="inlineStr">
        <is>
          <t>Asset schedule</t>
        </is>
      </c>
      <c r="B248" t="inlineStr">
        <is>
          <t>G21</t>
        </is>
      </c>
      <c r="C248" t="n">
        <v>21</v>
      </c>
      <c r="D248" t="n">
        <v>7</v>
      </c>
      <c r="E248" t="inlineStr">
        <is>
          <t>Calculation</t>
        </is>
      </c>
      <c r="F248" t="inlineStr">
        <is>
          <t>'=G18*$B23</t>
        </is>
      </c>
      <c r="G248" t="n">
        <v>0.5736508950158461</v>
      </c>
      <c r="H248" t="inlineStr"/>
      <c r="I248" t="inlineStr">
        <is>
          <t>0.0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inlineStr">
        <is>
          <t>G000103</t>
        </is>
      </c>
      <c r="T248" t="inlineStr">
        <is>
          <t>Horizontal</t>
        </is>
      </c>
      <c r="U248" t="n">
        <v>5</v>
      </c>
      <c r="V248" t="b">
        <v>1</v>
      </c>
      <c r="W248" t="inlineStr">
        <is>
          <t>Asset schedule!E21:I21</t>
        </is>
      </c>
      <c r="X248">
        <f>R[-3]C[0]*R[2]C2</f>
        <v/>
      </c>
    </row>
    <row r="249">
      <c r="A249" t="inlineStr">
        <is>
          <t>Asset schedule</t>
        </is>
      </c>
      <c r="B249" t="inlineStr">
        <is>
          <t>H21</t>
        </is>
      </c>
      <c r="C249" t="n">
        <v>21</v>
      </c>
      <c r="D249" t="n">
        <v>8</v>
      </c>
      <c r="E249" t="inlineStr">
        <is>
          <t>Calculation</t>
        </is>
      </c>
      <c r="F249" t="inlineStr">
        <is>
          <t>'=H18*$B23</t>
        </is>
      </c>
      <c r="G249" t="n">
        <v>0.6129258130808009</v>
      </c>
      <c r="H249" t="inlineStr"/>
      <c r="I249" t="inlineStr">
        <is>
          <t>0.0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inlineStr">
        <is>
          <t>G000103</t>
        </is>
      </c>
      <c r="T249" t="inlineStr">
        <is>
          <t>Horizontal</t>
        </is>
      </c>
      <c r="U249" t="n">
        <v>5</v>
      </c>
      <c r="V249" t="b">
        <v>1</v>
      </c>
      <c r="W249" t="inlineStr">
        <is>
          <t>Asset schedule!E21:I21</t>
        </is>
      </c>
      <c r="X249">
        <f>R[-3]C[0]*R[2]C2</f>
        <v/>
      </c>
    </row>
    <row r="250">
      <c r="A250" t="inlineStr">
        <is>
          <t>Asset schedule</t>
        </is>
      </c>
      <c r="B250" t="inlineStr">
        <is>
          <t>I21</t>
        </is>
      </c>
      <c r="C250" t="n">
        <v>21</v>
      </c>
      <c r="D250" t="n">
        <v>9</v>
      </c>
      <c r="E250" t="inlineStr">
        <is>
          <t>Calculation</t>
        </is>
      </c>
      <c r="F250" t="inlineStr">
        <is>
          <t>'=I18*$B23</t>
        </is>
      </c>
      <c r="G250" t="n">
        <v>0.6551816523105393</v>
      </c>
      <c r="H250" t="inlineStr"/>
      <c r="I250" t="inlineStr">
        <is>
          <t>0.0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1</v>
      </c>
      <c r="S250" t="inlineStr">
        <is>
          <t>G000103</t>
        </is>
      </c>
      <c r="T250" t="inlineStr">
        <is>
          <t>Horizontal</t>
        </is>
      </c>
      <c r="U250" t="n">
        <v>5</v>
      </c>
      <c r="V250" t="b">
        <v>1</v>
      </c>
      <c r="W250" t="inlineStr">
        <is>
          <t>Asset schedule!E21:I21</t>
        </is>
      </c>
      <c r="X250">
        <f>R[-3]C[0]*R[2]C2</f>
        <v/>
      </c>
    </row>
    <row r="251">
      <c r="A251" t="inlineStr">
        <is>
          <t>Asset schedule</t>
        </is>
      </c>
      <c r="B251" t="inlineStr">
        <is>
          <t>A22</t>
        </is>
      </c>
      <c r="C251" t="n">
        <v>22</v>
      </c>
      <c r="D251" t="n">
        <v>1</v>
      </c>
      <c r="E251" t="inlineStr">
        <is>
          <t>Input</t>
        </is>
      </c>
      <c r="F251" t="n">
        <v/>
      </c>
      <c r="G251" t="inlineStr">
        <is>
          <t>Closing balance</t>
        </is>
      </c>
      <c r="H251" t="inlineStr"/>
      <c r="I251" t="inlineStr">
        <is>
          <t>General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n">
        <v/>
      </c>
      <c r="T251" t="n">
        <v/>
      </c>
      <c r="U251" t="n">
        <v/>
      </c>
      <c r="V251" t="b">
        <v>0</v>
      </c>
      <c r="W251" t="inlineStr"/>
      <c r="X251" t="n">
        <v/>
      </c>
    </row>
    <row r="252">
      <c r="A252" t="inlineStr">
        <is>
          <t>Asset schedule</t>
        </is>
      </c>
      <c r="B252" t="inlineStr">
        <is>
          <t>D22</t>
        </is>
      </c>
      <c r="C252" t="n">
        <v>22</v>
      </c>
      <c r="D252" t="n">
        <v>4</v>
      </c>
      <c r="E252" t="inlineStr">
        <is>
          <t>Input</t>
        </is>
      </c>
      <c r="F252" t="n">
        <v/>
      </c>
      <c r="G252" t="n">
        <v>38.46</v>
      </c>
      <c r="H252" t="inlineStr"/>
      <c r="I252" t="inlineStr">
        <is>
          <t>General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n">
        <v/>
      </c>
      <c r="T252" t="n">
        <v/>
      </c>
      <c r="U252" t="n">
        <v/>
      </c>
      <c r="V252" t="b">
        <v>0</v>
      </c>
      <c r="W252" t="inlineStr"/>
      <c r="X252" t="n">
        <v/>
      </c>
    </row>
    <row r="253">
      <c r="A253" t="inlineStr">
        <is>
          <t>Asset schedule</t>
        </is>
      </c>
      <c r="B253" t="inlineStr">
        <is>
          <t>E22</t>
        </is>
      </c>
      <c r="C253" t="n">
        <v>22</v>
      </c>
      <c r="D253" t="n">
        <v>5</v>
      </c>
      <c r="E253" t="inlineStr">
        <is>
          <t>Calculation</t>
        </is>
      </c>
      <c r="F253" t="inlineStr">
        <is>
          <t>'=E18+E19-E20-E21</t>
        </is>
      </c>
      <c r="G253" t="n">
        <v>41.04646550413658</v>
      </c>
      <c r="H253" t="inlineStr"/>
      <c r="I253" t="inlineStr">
        <is>
          <t>0.00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G000127</t>
        </is>
      </c>
      <c r="T253" t="inlineStr">
        <is>
          <t>Horizontal</t>
        </is>
      </c>
      <c r="U253" t="n">
        <v>5</v>
      </c>
      <c r="V253" t="b">
        <v>1</v>
      </c>
      <c r="W253" t="inlineStr">
        <is>
          <t>Asset schedule!E22:I22</t>
        </is>
      </c>
      <c r="X253">
        <f>R[-4]C[0]+R[-3]C[0]-R[-2]C[0]-R[-1]C[0]</f>
        <v/>
      </c>
    </row>
    <row r="254">
      <c r="A254" t="inlineStr">
        <is>
          <t>Asset schedule</t>
        </is>
      </c>
      <c r="B254" t="inlineStr">
        <is>
          <t>F22</t>
        </is>
      </c>
      <c r="C254" t="n">
        <v>22</v>
      </c>
      <c r="D254" t="n">
        <v>6</v>
      </c>
      <c r="E254" t="inlineStr">
        <is>
          <t>Calculation</t>
        </is>
      </c>
      <c r="F254" t="inlineStr">
        <is>
          <t>'=F18+F19-F20-F21</t>
        </is>
      </c>
      <c r="G254" t="n">
        <v>43.83367721326965</v>
      </c>
      <c r="H254" t="inlineStr"/>
      <c r="I254" t="inlineStr">
        <is>
          <t>0.00</t>
        </is>
      </c>
      <c r="J254" t="b">
        <v>0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G000127</t>
        </is>
      </c>
      <c r="T254" t="inlineStr">
        <is>
          <t>Horizontal</t>
        </is>
      </c>
      <c r="U254" t="n">
        <v>5</v>
      </c>
      <c r="V254" t="b">
        <v>1</v>
      </c>
      <c r="W254" t="inlineStr">
        <is>
          <t>Asset schedule!E22:I22</t>
        </is>
      </c>
      <c r="X254">
        <f>R[-4]C[0]+R[-3]C[0]-R[-2]C[0]-R[-1]C[0]</f>
        <v/>
      </c>
    </row>
    <row r="255">
      <c r="A255" t="inlineStr">
        <is>
          <t>Asset schedule</t>
        </is>
      </c>
      <c r="B255" t="inlineStr">
        <is>
          <t>G22</t>
        </is>
      </c>
      <c r="C255" t="n">
        <v>22</v>
      </c>
      <c r="D255" t="n">
        <v>7</v>
      </c>
      <c r="E255" t="inlineStr">
        <is>
          <t>Calculation</t>
        </is>
      </c>
      <c r="F255" t="inlineStr">
        <is>
          <t>'=G18+G19-G20-G21</t>
        </is>
      </c>
      <c r="G255" t="n">
        <v>46.83474301129178</v>
      </c>
      <c r="H255" t="inlineStr"/>
      <c r="I255" t="inlineStr">
        <is>
          <t>0.00</t>
        </is>
      </c>
      <c r="J255" t="b">
        <v>0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G000127</t>
        </is>
      </c>
      <c r="T255" t="inlineStr">
        <is>
          <t>Horizontal</t>
        </is>
      </c>
      <c r="U255" t="n">
        <v>5</v>
      </c>
      <c r="V255" t="b">
        <v>1</v>
      </c>
      <c r="W255" t="inlineStr">
        <is>
          <t>Asset schedule!E22:I22</t>
        </is>
      </c>
      <c r="X255">
        <f>R[-4]C[0]+R[-3]C[0]-R[-2]C[0]-R[-1]C[0]</f>
        <v/>
      </c>
    </row>
    <row r="256">
      <c r="A256" t="inlineStr">
        <is>
          <t>Asset schedule</t>
        </is>
      </c>
      <c r="B256" t="inlineStr">
        <is>
          <t>H22</t>
        </is>
      </c>
      <c r="C256" t="n">
        <v>22</v>
      </c>
      <c r="D256" t="n">
        <v>8</v>
      </c>
      <c r="E256" t="inlineStr">
        <is>
          <t>Calculation</t>
        </is>
      </c>
      <c r="F256" t="inlineStr">
        <is>
          <t>'=H18+H19-H20-H21</t>
        </is>
      </c>
      <c r="G256" t="n">
        <v>50.06358625596415</v>
      </c>
      <c r="H256" t="inlineStr"/>
      <c r="I256" t="inlineStr">
        <is>
          <t>0.00</t>
        </is>
      </c>
      <c r="J256" t="b">
        <v>0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G000127</t>
        </is>
      </c>
      <c r="T256" t="inlineStr">
        <is>
          <t>Horizontal</t>
        </is>
      </c>
      <c r="U256" t="n">
        <v>5</v>
      </c>
      <c r="V256" t="b">
        <v>1</v>
      </c>
      <c r="W256" t="inlineStr">
        <is>
          <t>Asset schedule!E22:I22</t>
        </is>
      </c>
      <c r="X256">
        <f>R[-4]C[0]+R[-3]C[0]-R[-2]C[0]-R[-1]C[0]</f>
        <v/>
      </c>
    </row>
    <row r="257">
      <c r="A257" t="inlineStr">
        <is>
          <t>Asset schedule</t>
        </is>
      </c>
      <c r="B257" t="inlineStr">
        <is>
          <t>I22</t>
        </is>
      </c>
      <c r="C257" t="n">
        <v>22</v>
      </c>
      <c r="D257" t="n">
        <v>9</v>
      </c>
      <c r="E257" t="inlineStr">
        <is>
          <t>Calculation</t>
        </is>
      </c>
      <c r="F257" t="inlineStr">
        <is>
          <t>'=I18+I19-I20-I21</t>
        </is>
      </c>
      <c r="G257" t="n">
        <v>53.53499447086089</v>
      </c>
      <c r="H257" t="inlineStr"/>
      <c r="I257" t="inlineStr">
        <is>
          <t>0.00</t>
        </is>
      </c>
      <c r="J257" t="b">
        <v>0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G000127</t>
        </is>
      </c>
      <c r="T257" t="inlineStr">
        <is>
          <t>Horizontal</t>
        </is>
      </c>
      <c r="U257" t="n">
        <v>5</v>
      </c>
      <c r="V257" t="b">
        <v>1</v>
      </c>
      <c r="W257" t="inlineStr">
        <is>
          <t>Asset schedule!E22:I22</t>
        </is>
      </c>
      <c r="X257">
        <f>R[-4]C[0]+R[-3]C[0]-R[-2]C[0]-R[-1]C[0]</f>
        <v/>
      </c>
    </row>
    <row r="258">
      <c r="A258" t="inlineStr">
        <is>
          <t>Asset schedule</t>
        </is>
      </c>
      <c r="B258" t="inlineStr">
        <is>
          <t>A23</t>
        </is>
      </c>
      <c r="C258" t="n">
        <v>23</v>
      </c>
      <c r="D258" t="n">
        <v>1</v>
      </c>
      <c r="E258" t="inlineStr">
        <is>
          <t>Input</t>
        </is>
      </c>
      <c r="F258" t="n">
        <v/>
      </c>
      <c r="G258" t="inlineStr">
        <is>
          <t>Depreciation rate</t>
        </is>
      </c>
      <c r="H258" t="inlineStr"/>
      <c r="I258" t="inlineStr">
        <is>
          <t>General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n">
        <v/>
      </c>
      <c r="P258" t="n">
        <v/>
      </c>
      <c r="R258" t="b">
        <v>1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Asset schedule</t>
        </is>
      </c>
      <c r="B259" t="inlineStr">
        <is>
          <t>B23</t>
        </is>
      </c>
      <c r="C259" t="n">
        <v>23</v>
      </c>
      <c r="D259" t="n">
        <v>2</v>
      </c>
      <c r="E259" t="inlineStr">
        <is>
          <t>Calculation</t>
        </is>
      </c>
      <c r="F259" t="inlineStr">
        <is>
          <t>'=D21/(D18+D19-D20)</t>
        </is>
      </c>
      <c r="G259" t="n">
        <v>0.01308698999230177</v>
      </c>
      <c r="H259" t="inlineStr"/>
      <c r="I259" t="inlineStr">
        <is>
          <t>0%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1</v>
      </c>
      <c r="S259" t="inlineStr">
        <is>
          <t>G000136</t>
        </is>
      </c>
      <c r="T259" t="inlineStr">
        <is>
          <t>Block</t>
        </is>
      </c>
      <c r="U259" t="n">
        <v>11</v>
      </c>
      <c r="V259" t="b">
        <v>1</v>
      </c>
      <c r="W259" t="inlineStr">
        <is>
          <t>Asset schedule!B7:B87</t>
        </is>
      </c>
      <c r="X259">
        <f>R[-2]C[2]/(R[-5]C[2]+R[-4]C[2]-R[-3]C[2])</f>
        <v/>
      </c>
    </row>
    <row r="260">
      <c r="A260" t="inlineStr">
        <is>
          <t>Asset schedule</t>
        </is>
      </c>
      <c r="B260" t="inlineStr">
        <is>
          <t>A25</t>
        </is>
      </c>
      <c r="C260" t="n">
        <v>25</v>
      </c>
      <c r="D260" t="n">
        <v>1</v>
      </c>
      <c r="E260" t="inlineStr">
        <is>
          <t>Input</t>
        </is>
      </c>
      <c r="F260" t="n">
        <v/>
      </c>
      <c r="G260" t="inlineStr">
        <is>
          <t>Buildings</t>
        </is>
      </c>
      <c r="H260" t="inlineStr"/>
      <c r="I260" t="inlineStr">
        <is>
          <t>General</t>
        </is>
      </c>
      <c r="J260" t="b">
        <v>1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1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Asset schedule</t>
        </is>
      </c>
      <c r="B261" t="inlineStr">
        <is>
          <t>B25</t>
        </is>
      </c>
      <c r="C261" t="n">
        <v>25</v>
      </c>
      <c r="D261" t="n">
        <v>2</v>
      </c>
      <c r="E261" t="inlineStr">
        <is>
          <t>Input</t>
        </is>
      </c>
      <c r="F261" t="n">
        <v/>
      </c>
      <c r="G261" t="n">
        <v>2015</v>
      </c>
      <c r="H261" t="inlineStr"/>
      <c r="I261" t="inlineStr">
        <is>
          <t>General</t>
        </is>
      </c>
      <c r="J261" t="b">
        <v>1</v>
      </c>
      <c r="K261" t="b">
        <v>0</v>
      </c>
      <c r="L261" t="n">
        <v>11</v>
      </c>
      <c r="M261" t="inlineStr">
        <is>
          <t>Values must be of type &lt;class 'str'&gt;</t>
        </is>
      </c>
      <c r="N261" t="inlineStr">
        <is>
          <t>Values must be of type &lt;class 'str'&gt;</t>
        </is>
      </c>
      <c r="O261" t="inlineStr">
        <is>
          <t>center</t>
        </is>
      </c>
      <c r="P261" t="inlineStr">
        <is>
          <t>center</t>
        </is>
      </c>
      <c r="R261" t="b">
        <v>1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Asset schedule</t>
        </is>
      </c>
      <c r="B262" t="inlineStr">
        <is>
          <t>C25</t>
        </is>
      </c>
      <c r="C262" t="n">
        <v>25</v>
      </c>
      <c r="D262" t="n">
        <v>3</v>
      </c>
      <c r="E262" t="inlineStr">
        <is>
          <t>Input</t>
        </is>
      </c>
      <c r="F262" t="n">
        <v/>
      </c>
      <c r="G262" t="n">
        <v>2016</v>
      </c>
      <c r="H262" t="inlineStr"/>
      <c r="I262" t="inlineStr">
        <is>
          <t>General</t>
        </is>
      </c>
      <c r="J262" t="b">
        <v>1</v>
      </c>
      <c r="K262" t="b">
        <v>0</v>
      </c>
      <c r="L262" t="n">
        <v>11</v>
      </c>
      <c r="M262" t="inlineStr">
        <is>
          <t>Values must be of type &lt;class 'str'&gt;</t>
        </is>
      </c>
      <c r="N262" t="inlineStr">
        <is>
          <t>Values must be of type &lt;class 'str'&gt;</t>
        </is>
      </c>
      <c r="O262" t="inlineStr">
        <is>
          <t>center</t>
        </is>
      </c>
      <c r="P262" t="inlineStr">
        <is>
          <t>center</t>
        </is>
      </c>
      <c r="R262" t="b">
        <v>1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Asset schedule</t>
        </is>
      </c>
      <c r="B263" t="inlineStr">
        <is>
          <t>D25</t>
        </is>
      </c>
      <c r="C263" t="n">
        <v>25</v>
      </c>
      <c r="D263" t="n">
        <v>4</v>
      </c>
      <c r="E263" t="inlineStr">
        <is>
          <t>Input</t>
        </is>
      </c>
      <c r="F263" t="n">
        <v/>
      </c>
      <c r="G263" t="n">
        <v>2017</v>
      </c>
      <c r="H263" t="inlineStr"/>
      <c r="I263" t="inlineStr">
        <is>
          <t>General</t>
        </is>
      </c>
      <c r="J263" t="b">
        <v>1</v>
      </c>
      <c r="K263" t="b">
        <v>0</v>
      </c>
      <c r="L263" t="n">
        <v>11</v>
      </c>
      <c r="M263" t="inlineStr">
        <is>
          <t>Values must be of type &lt;class 'str'&gt;</t>
        </is>
      </c>
      <c r="N263" t="inlineStr">
        <is>
          <t>Values must be of type &lt;class 'str'&gt;</t>
        </is>
      </c>
      <c r="O263" t="inlineStr">
        <is>
          <t>center</t>
        </is>
      </c>
      <c r="P263" t="inlineStr">
        <is>
          <t>center</t>
        </is>
      </c>
      <c r="R263" t="b">
        <v>1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Asset schedule</t>
        </is>
      </c>
      <c r="B264" t="inlineStr">
        <is>
          <t>E25</t>
        </is>
      </c>
      <c r="C264" t="n">
        <v>25</v>
      </c>
      <c r="D264" t="n">
        <v>5</v>
      </c>
      <c r="E264" t="inlineStr">
        <is>
          <t>Input</t>
        </is>
      </c>
      <c r="F264" t="n">
        <v/>
      </c>
      <c r="G264" t="inlineStr">
        <is>
          <t>2018 F</t>
        </is>
      </c>
      <c r="H264" t="inlineStr"/>
      <c r="I264" t="inlineStr">
        <is>
          <t>General</t>
        </is>
      </c>
      <c r="J264" t="b">
        <v>1</v>
      </c>
      <c r="K264" t="b">
        <v>0</v>
      </c>
      <c r="L264" t="n">
        <v>11</v>
      </c>
      <c r="M264" t="inlineStr">
        <is>
          <t>Values must be of type &lt;class 'str'&gt;</t>
        </is>
      </c>
      <c r="N264" t="inlineStr">
        <is>
          <t>Values must be of type &lt;class 'str'&gt;</t>
        </is>
      </c>
      <c r="O264" t="inlineStr">
        <is>
          <t>center</t>
        </is>
      </c>
      <c r="P264" t="inlineStr">
        <is>
          <t>center</t>
        </is>
      </c>
      <c r="R264" t="b">
        <v>1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Asset schedule</t>
        </is>
      </c>
      <c r="B265" t="inlineStr">
        <is>
          <t>F25</t>
        </is>
      </c>
      <c r="C265" t="n">
        <v>25</v>
      </c>
      <c r="D265" t="n">
        <v>6</v>
      </c>
      <c r="E265" t="inlineStr">
        <is>
          <t>Input</t>
        </is>
      </c>
      <c r="F265" t="n">
        <v/>
      </c>
      <c r="G265" t="inlineStr">
        <is>
          <t>2019 F</t>
        </is>
      </c>
      <c r="H265" t="inlineStr"/>
      <c r="I265" t="inlineStr">
        <is>
          <t>General</t>
        </is>
      </c>
      <c r="J265" t="b">
        <v>1</v>
      </c>
      <c r="K265" t="b">
        <v>0</v>
      </c>
      <c r="L265" t="n">
        <v>11</v>
      </c>
      <c r="M265" t="inlineStr">
        <is>
          <t>Values must be of type &lt;class 'str'&gt;</t>
        </is>
      </c>
      <c r="N265" t="inlineStr">
        <is>
          <t>Values must be of type &lt;class 'str'&gt;</t>
        </is>
      </c>
      <c r="O265" t="inlineStr">
        <is>
          <t>center</t>
        </is>
      </c>
      <c r="P265" t="inlineStr">
        <is>
          <t>center</t>
        </is>
      </c>
      <c r="R265" t="b">
        <v>1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Asset schedule</t>
        </is>
      </c>
      <c r="B266" t="inlineStr">
        <is>
          <t>G25</t>
        </is>
      </c>
      <c r="C266" t="n">
        <v>25</v>
      </c>
      <c r="D266" t="n">
        <v>7</v>
      </c>
      <c r="E266" t="inlineStr">
        <is>
          <t>Input</t>
        </is>
      </c>
      <c r="F266" t="n">
        <v/>
      </c>
      <c r="G266" t="inlineStr">
        <is>
          <t>2020 F</t>
        </is>
      </c>
      <c r="H266" t="inlineStr"/>
      <c r="I266" t="inlineStr">
        <is>
          <t>General</t>
        </is>
      </c>
      <c r="J266" t="b">
        <v>1</v>
      </c>
      <c r="K266" t="b">
        <v>0</v>
      </c>
      <c r="L266" t="n">
        <v>11</v>
      </c>
      <c r="M266" t="inlineStr">
        <is>
          <t>Values must be of type &lt;class 'str'&gt;</t>
        </is>
      </c>
      <c r="N266" t="inlineStr">
        <is>
          <t>Values must be of type &lt;class 'str'&gt;</t>
        </is>
      </c>
      <c r="O266" t="inlineStr">
        <is>
          <t>center</t>
        </is>
      </c>
      <c r="P266" t="inlineStr">
        <is>
          <t>center</t>
        </is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Asset schedule</t>
        </is>
      </c>
      <c r="B267" t="inlineStr">
        <is>
          <t>H25</t>
        </is>
      </c>
      <c r="C267" t="n">
        <v>25</v>
      </c>
      <c r="D267" t="n">
        <v>8</v>
      </c>
      <c r="E267" t="inlineStr">
        <is>
          <t>Input</t>
        </is>
      </c>
      <c r="F267" t="n">
        <v/>
      </c>
      <c r="G267" t="inlineStr">
        <is>
          <t>2021 F</t>
        </is>
      </c>
      <c r="H267" t="inlineStr"/>
      <c r="I267" t="inlineStr">
        <is>
          <t>General</t>
        </is>
      </c>
      <c r="J267" t="b">
        <v>1</v>
      </c>
      <c r="K267" t="b">
        <v>0</v>
      </c>
      <c r="L267" t="n">
        <v>11</v>
      </c>
      <c r="M267" t="inlineStr">
        <is>
          <t>Values must be of type &lt;class 'str'&gt;</t>
        </is>
      </c>
      <c r="N267" t="inlineStr">
        <is>
          <t>Values must be of type &lt;class 'str'&gt;</t>
        </is>
      </c>
      <c r="O267" t="inlineStr">
        <is>
          <t>center</t>
        </is>
      </c>
      <c r="P267" t="inlineStr">
        <is>
          <t>center</t>
        </is>
      </c>
      <c r="R267" t="b">
        <v>1</v>
      </c>
      <c r="S267" t="n">
        <v/>
      </c>
      <c r="T267" t="n">
        <v/>
      </c>
      <c r="U267" t="n">
        <v/>
      </c>
      <c r="V267" t="b">
        <v>0</v>
      </c>
      <c r="W267" t="inlineStr"/>
      <c r="X267" t="n">
        <v/>
      </c>
    </row>
    <row r="268">
      <c r="A268" t="inlineStr">
        <is>
          <t>Asset schedule</t>
        </is>
      </c>
      <c r="B268" t="inlineStr">
        <is>
          <t>I25</t>
        </is>
      </c>
      <c r="C268" t="n">
        <v>25</v>
      </c>
      <c r="D268" t="n">
        <v>9</v>
      </c>
      <c r="E268" t="inlineStr">
        <is>
          <t>Input</t>
        </is>
      </c>
      <c r="F268" t="n">
        <v/>
      </c>
      <c r="G268" t="inlineStr">
        <is>
          <t>2022 F</t>
        </is>
      </c>
      <c r="H268" t="inlineStr"/>
      <c r="I268" t="inlineStr">
        <is>
          <t>General</t>
        </is>
      </c>
      <c r="J268" t="b">
        <v>1</v>
      </c>
      <c r="K268" t="b">
        <v>0</v>
      </c>
      <c r="L268" t="n">
        <v>11</v>
      </c>
      <c r="M268" t="inlineStr">
        <is>
          <t>Values must be of type &lt;class 'str'&gt;</t>
        </is>
      </c>
      <c r="N268" t="inlineStr">
        <is>
          <t>Values must be of type &lt;class 'str'&gt;</t>
        </is>
      </c>
      <c r="O268" t="inlineStr">
        <is>
          <t>center</t>
        </is>
      </c>
      <c r="P268" t="inlineStr">
        <is>
          <t>center</t>
        </is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Asset schedule</t>
        </is>
      </c>
      <c r="B269" t="inlineStr">
        <is>
          <t>A26</t>
        </is>
      </c>
      <c r="C269" t="n">
        <v>26</v>
      </c>
      <c r="D269" t="n">
        <v>1</v>
      </c>
      <c r="E269" t="inlineStr">
        <is>
          <t>Input</t>
        </is>
      </c>
      <c r="F269" t="n">
        <v/>
      </c>
      <c r="G269" t="inlineStr">
        <is>
          <t>Opening balance</t>
        </is>
      </c>
      <c r="H269" t="inlineStr"/>
      <c r="I269" t="inlineStr">
        <is>
          <t>General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n">
        <v/>
      </c>
      <c r="T269" t="n">
        <v/>
      </c>
      <c r="U269" t="n">
        <v/>
      </c>
      <c r="V269" t="b">
        <v>0</v>
      </c>
      <c r="W269" t="inlineStr"/>
      <c r="X269" t="n">
        <v/>
      </c>
    </row>
    <row r="270">
      <c r="A270" t="inlineStr">
        <is>
          <t>Asset schedule</t>
        </is>
      </c>
      <c r="B270" t="inlineStr">
        <is>
          <t>D26</t>
        </is>
      </c>
      <c r="C270" t="n">
        <v>26</v>
      </c>
      <c r="D270" t="n">
        <v>4</v>
      </c>
      <c r="E270" t="inlineStr">
        <is>
          <t>Input</t>
        </is>
      </c>
      <c r="F270" t="n">
        <v/>
      </c>
      <c r="G270" t="n">
        <v>1515.39</v>
      </c>
      <c r="H270" t="inlineStr"/>
      <c r="I270" t="inlineStr">
        <is>
          <t>General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n">
        <v/>
      </c>
      <c r="T270" t="n">
        <v/>
      </c>
      <c r="U270" t="n">
        <v/>
      </c>
      <c r="V270" t="b">
        <v>0</v>
      </c>
      <c r="W270" t="inlineStr"/>
      <c r="X270" t="n">
        <v/>
      </c>
    </row>
    <row r="271">
      <c r="A271" t="inlineStr">
        <is>
          <t>Asset schedule</t>
        </is>
      </c>
      <c r="B271" t="inlineStr">
        <is>
          <t>E26</t>
        </is>
      </c>
      <c r="C271" t="n">
        <v>26</v>
      </c>
      <c r="D271" t="n">
        <v>5</v>
      </c>
      <c r="E271" t="inlineStr">
        <is>
          <t>Calculation</t>
        </is>
      </c>
      <c r="F271" t="inlineStr">
        <is>
          <t>'=D30</t>
        </is>
      </c>
      <c r="G271" t="n">
        <v>1472.4</v>
      </c>
      <c r="H271" t="inlineStr"/>
      <c r="I271" t="inlineStr">
        <is>
          <t>General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inlineStr">
        <is>
          <t>G000081</t>
        </is>
      </c>
      <c r="T271" t="inlineStr">
        <is>
          <t>Horizontal</t>
        </is>
      </c>
      <c r="U271" t="n">
        <v>5</v>
      </c>
      <c r="V271" t="b">
        <v>1</v>
      </c>
      <c r="W271" t="inlineStr">
        <is>
          <t>Asset schedule!E26:I26</t>
        </is>
      </c>
      <c r="X271">
        <f>R[4]C[-1]</f>
        <v/>
      </c>
    </row>
    <row r="272">
      <c r="A272" t="inlineStr">
        <is>
          <t>Asset schedule</t>
        </is>
      </c>
      <c r="B272" t="inlineStr">
        <is>
          <t>F26</t>
        </is>
      </c>
      <c r="C272" t="n">
        <v>26</v>
      </c>
      <c r="D272" t="n">
        <v>6</v>
      </c>
      <c r="E272" t="inlineStr">
        <is>
          <t>Calculation</t>
        </is>
      </c>
      <c r="F272" t="inlineStr">
        <is>
          <t>'=E30</t>
        </is>
      </c>
      <c r="G272" t="n">
        <v>1436.901306966578</v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n">
        <v/>
      </c>
      <c r="P272" t="n">
        <v/>
      </c>
      <c r="R272" t="b">
        <v>1</v>
      </c>
      <c r="S272" t="inlineStr">
        <is>
          <t>G000081</t>
        </is>
      </c>
      <c r="T272" t="inlineStr">
        <is>
          <t>Horizontal</t>
        </is>
      </c>
      <c r="U272" t="n">
        <v>5</v>
      </c>
      <c r="V272" t="b">
        <v>1</v>
      </c>
      <c r="W272" t="inlineStr">
        <is>
          <t>Asset schedule!E26:I26</t>
        </is>
      </c>
      <c r="X272">
        <f>R[4]C[-1]</f>
        <v/>
      </c>
    </row>
    <row r="273">
      <c r="A273" t="inlineStr">
        <is>
          <t>Asset schedule</t>
        </is>
      </c>
      <c r="B273" t="inlineStr">
        <is>
          <t>G26</t>
        </is>
      </c>
      <c r="C273" t="n">
        <v>26</v>
      </c>
      <c r="D273" t="n">
        <v>7</v>
      </c>
      <c r="E273" t="inlineStr">
        <is>
          <t>Calculation</t>
        </is>
      </c>
      <c r="F273" t="inlineStr">
        <is>
          <t>'=F30</t>
        </is>
      </c>
      <c r="G273" t="n">
        <v>1406.11076193844</v>
      </c>
      <c r="H273" t="inlineStr"/>
      <c r="I273" t="inlineStr">
        <is>
          <t>General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inlineStr">
        <is>
          <t>G000081</t>
        </is>
      </c>
      <c r="T273" t="inlineStr">
        <is>
          <t>Horizontal</t>
        </is>
      </c>
      <c r="U273" t="n">
        <v>5</v>
      </c>
      <c r="V273" t="b">
        <v>1</v>
      </c>
      <c r="W273" t="inlineStr">
        <is>
          <t>Asset schedule!E26:I26</t>
        </is>
      </c>
      <c r="X273">
        <f>R[4]C[-1]</f>
        <v/>
      </c>
    </row>
    <row r="274">
      <c r="A274" t="inlineStr">
        <is>
          <t>Asset schedule</t>
        </is>
      </c>
      <c r="B274" t="inlineStr">
        <is>
          <t>H26</t>
        </is>
      </c>
      <c r="C274" t="n">
        <v>26</v>
      </c>
      <c r="D274" t="n">
        <v>8</v>
      </c>
      <c r="E274" t="inlineStr">
        <is>
          <t>Calculation</t>
        </is>
      </c>
      <c r="F274" t="inlineStr">
        <is>
          <t>'=G30</t>
        </is>
      </c>
      <c r="G274" t="n">
        <v>1379.987829135409</v>
      </c>
      <c r="H274" t="inlineStr"/>
      <c r="I274" t="inlineStr">
        <is>
          <t>General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inlineStr">
        <is>
          <t>G000081</t>
        </is>
      </c>
      <c r="T274" t="inlineStr">
        <is>
          <t>Horizontal</t>
        </is>
      </c>
      <c r="U274" t="n">
        <v>5</v>
      </c>
      <c r="V274" t="b">
        <v>1</v>
      </c>
      <c r="W274" t="inlineStr">
        <is>
          <t>Asset schedule!E26:I26</t>
        </is>
      </c>
      <c r="X274">
        <f>R[4]C[-1]</f>
        <v/>
      </c>
    </row>
    <row r="275">
      <c r="A275" t="inlineStr">
        <is>
          <t>Asset schedule</t>
        </is>
      </c>
      <c r="B275" t="inlineStr">
        <is>
          <t>I26</t>
        </is>
      </c>
      <c r="C275" t="n">
        <v>26</v>
      </c>
      <c r="D275" t="n">
        <v>9</v>
      </c>
      <c r="E275" t="inlineStr">
        <is>
          <t>Calculation</t>
        </is>
      </c>
      <c r="F275" t="inlineStr">
        <is>
          <t>'=H30</t>
        </is>
      </c>
      <c r="G275" t="n">
        <v>1358.506311846563</v>
      </c>
      <c r="H275" t="inlineStr"/>
      <c r="I275" t="inlineStr">
        <is>
          <t>General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inlineStr">
        <is>
          <t>G000081</t>
        </is>
      </c>
      <c r="T275" t="inlineStr">
        <is>
          <t>Horizontal</t>
        </is>
      </c>
      <c r="U275" t="n">
        <v>5</v>
      </c>
      <c r="V275" t="b">
        <v>1</v>
      </c>
      <c r="W275" t="inlineStr">
        <is>
          <t>Asset schedule!E26:I26</t>
        </is>
      </c>
      <c r="X275">
        <f>R[4]C[-1]</f>
        <v/>
      </c>
    </row>
    <row r="276">
      <c r="A276" t="inlineStr">
        <is>
          <t>Asset schedule</t>
        </is>
      </c>
      <c r="B276" t="inlineStr">
        <is>
          <t>A27</t>
        </is>
      </c>
      <c r="C276" t="n">
        <v>27</v>
      </c>
      <c r="D276" t="n">
        <v>1</v>
      </c>
      <c r="E276" t="inlineStr">
        <is>
          <t>Input</t>
        </is>
      </c>
      <c r="F276" t="n">
        <v/>
      </c>
      <c r="G276" t="inlineStr">
        <is>
          <t>Add: purchase during the year</t>
        </is>
      </c>
      <c r="H276" t="inlineStr"/>
      <c r="I276" t="inlineStr">
        <is>
          <t>General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n">
        <v/>
      </c>
      <c r="T276" t="n">
        <v/>
      </c>
      <c r="U276" t="n">
        <v/>
      </c>
      <c r="V276" t="b">
        <v>0</v>
      </c>
      <c r="W276" t="inlineStr"/>
      <c r="X276" t="n">
        <v/>
      </c>
    </row>
    <row r="277">
      <c r="A277" t="inlineStr">
        <is>
          <t>Asset schedule</t>
        </is>
      </c>
      <c r="B277" t="inlineStr">
        <is>
          <t>D27</t>
        </is>
      </c>
      <c r="C277" t="n">
        <v>27</v>
      </c>
      <c r="D277" t="n">
        <v>4</v>
      </c>
      <c r="E277" t="inlineStr">
        <is>
          <t>Input</t>
        </is>
      </c>
      <c r="F277" t="n">
        <v/>
      </c>
      <c r="G277" t="n">
        <v>35.77</v>
      </c>
      <c r="H277" t="inlineStr"/>
      <c r="I277" t="inlineStr">
        <is>
          <t>General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Asset schedule</t>
        </is>
      </c>
      <c r="B278" t="inlineStr">
        <is>
          <t>E27</t>
        </is>
      </c>
      <c r="C278" t="n">
        <v>27</v>
      </c>
      <c r="D278" t="n">
        <v>5</v>
      </c>
      <c r="E278" t="inlineStr">
        <is>
          <t>Calculation</t>
        </is>
      </c>
      <c r="F278" t="inlineStr">
        <is>
          <t>'=INDEX($L$4:$T$15,MATCH($A25,$L$4:$L$15,0),MATCH(E25,$L$4:$T$4,0))</t>
        </is>
      </c>
      <c r="G278" t="n">
        <v>38.50934810126583</v>
      </c>
      <c r="H278" t="inlineStr"/>
      <c r="I278" t="inlineStr">
        <is>
          <t>0.0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inlineStr">
        <is>
          <t>G000093</t>
        </is>
      </c>
      <c r="T278" t="inlineStr">
        <is>
          <t>Horizontal</t>
        </is>
      </c>
      <c r="U278" t="n">
        <v>5</v>
      </c>
      <c r="V278" t="b">
        <v>1</v>
      </c>
      <c r="W278" t="inlineStr">
        <is>
          <t>Asset schedule!E27:I27</t>
        </is>
      </c>
      <c r="X278">
        <f>INDEX(R4C12:R15C20,MATCH(R[-2]C1,R4C12:R15C12,0),MATCH(R[-2]C[0],R4C12:R4C20,0))</f>
        <v/>
      </c>
    </row>
    <row r="279">
      <c r="A279" t="inlineStr">
        <is>
          <t>Asset schedule</t>
        </is>
      </c>
      <c r="B279" t="inlineStr">
        <is>
          <t>F27</t>
        </is>
      </c>
      <c r="C279" t="n">
        <v>27</v>
      </c>
      <c r="D279" t="n">
        <v>6</v>
      </c>
      <c r="E279" t="inlineStr">
        <is>
          <t>Calculation</t>
        </is>
      </c>
      <c r="F279" t="inlineStr">
        <is>
          <t>'=INDEX($L$4:$T$15,MATCH($A25,$L$4:$L$15,0),MATCH(F25,$L$4:$T$4,0))</t>
        </is>
      </c>
      <c r="G279" t="n">
        <v>41.43320601265824</v>
      </c>
      <c r="H279" t="inlineStr"/>
      <c r="I279" t="inlineStr">
        <is>
          <t>0.0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inlineStr">
        <is>
          <t>G000093</t>
        </is>
      </c>
      <c r="T279" t="inlineStr">
        <is>
          <t>Horizontal</t>
        </is>
      </c>
      <c r="U279" t="n">
        <v>5</v>
      </c>
      <c r="V279" t="b">
        <v>1</v>
      </c>
      <c r="W279" t="inlineStr">
        <is>
          <t>Asset schedule!E27:I27</t>
        </is>
      </c>
      <c r="X279">
        <f>INDEX(R4C12:R15C20,MATCH(R[-2]C1,R4C12:R15C12,0),MATCH(R[-2]C[0],R4C12:R4C20,0))</f>
        <v/>
      </c>
    </row>
    <row r="280">
      <c r="A280" t="inlineStr">
        <is>
          <t>Asset schedule</t>
        </is>
      </c>
      <c r="B280" t="inlineStr">
        <is>
          <t>G27</t>
        </is>
      </c>
      <c r="C280" t="n">
        <v>27</v>
      </c>
      <c r="D280" t="n">
        <v>7</v>
      </c>
      <c r="E280" t="inlineStr">
        <is>
          <t>Calculation</t>
        </is>
      </c>
      <c r="F280" t="inlineStr">
        <is>
          <t>'=INDEX($L$4:$T$15,MATCH($A25,$L$4:$L$15,0),MATCH(G25,$L$4:$T$4,0))</t>
        </is>
      </c>
      <c r="G280" t="n">
        <v>44.55317634493672</v>
      </c>
      <c r="H280" t="inlineStr"/>
      <c r="I280" t="inlineStr">
        <is>
          <t>0.0</t>
        </is>
      </c>
      <c r="J280" t="b">
        <v>0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n">
        <v/>
      </c>
      <c r="P280" t="n">
        <v/>
      </c>
      <c r="R280" t="b">
        <v>1</v>
      </c>
      <c r="S280" t="inlineStr">
        <is>
          <t>G000093</t>
        </is>
      </c>
      <c r="T280" t="inlineStr">
        <is>
          <t>Horizontal</t>
        </is>
      </c>
      <c r="U280" t="n">
        <v>5</v>
      </c>
      <c r="V280" t="b">
        <v>1</v>
      </c>
      <c r="W280" t="inlineStr">
        <is>
          <t>Asset schedule!E27:I27</t>
        </is>
      </c>
      <c r="X280">
        <f>INDEX(R4C12:R15C20,MATCH(R[-2]C1,R4C12:R15C12,0),MATCH(R[-2]C[0],R4C12:R4C20,0))</f>
        <v/>
      </c>
    </row>
    <row r="281">
      <c r="A281" t="inlineStr">
        <is>
          <t>Asset schedule</t>
        </is>
      </c>
      <c r="B281" t="inlineStr">
        <is>
          <t>H27</t>
        </is>
      </c>
      <c r="C281" t="n">
        <v>27</v>
      </c>
      <c r="D281" t="n">
        <v>8</v>
      </c>
      <c r="E281" t="inlineStr">
        <is>
          <t>Calculation</t>
        </is>
      </c>
      <c r="F281" t="inlineStr">
        <is>
          <t>'=INDEX($L$4:$T$15,MATCH($A25,$L$4:$L$15,0),MATCH(H25,$L$4:$T$4,0))</t>
        </is>
      </c>
      <c r="G281" t="n">
        <v>47.8815606954114</v>
      </c>
      <c r="H281" t="inlineStr"/>
      <c r="I281" t="inlineStr">
        <is>
          <t>0.0</t>
        </is>
      </c>
      <c r="J281" t="b">
        <v>0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1</v>
      </c>
      <c r="S281" t="inlineStr">
        <is>
          <t>G000093</t>
        </is>
      </c>
      <c r="T281" t="inlineStr">
        <is>
          <t>Horizontal</t>
        </is>
      </c>
      <c r="U281" t="n">
        <v>5</v>
      </c>
      <c r="V281" t="b">
        <v>1</v>
      </c>
      <c r="W281" t="inlineStr">
        <is>
          <t>Asset schedule!E27:I27</t>
        </is>
      </c>
      <c r="X281">
        <f>INDEX(R4C12:R15C20,MATCH(R[-2]C1,R4C12:R15C12,0),MATCH(R[-2]C[0],R4C12:R4C20,0))</f>
        <v/>
      </c>
    </row>
    <row r="282">
      <c r="A282" t="inlineStr">
        <is>
          <t>Asset schedule</t>
        </is>
      </c>
      <c r="B282" t="inlineStr">
        <is>
          <t>I27</t>
        </is>
      </c>
      <c r="C282" t="n">
        <v>27</v>
      </c>
      <c r="D282" t="n">
        <v>9</v>
      </c>
      <c r="E282" t="inlineStr">
        <is>
          <t>Calculation</t>
        </is>
      </c>
      <c r="F282" t="inlineStr">
        <is>
          <t>'=INDEX($L$4:$T$15,MATCH($A25,$L$4:$L$15,0),MATCH(I25,$L$4:$T$4,0))</t>
        </is>
      </c>
      <c r="G282" t="n">
        <v>51.43140054007123</v>
      </c>
      <c r="H282" t="inlineStr"/>
      <c r="I282" t="inlineStr">
        <is>
          <t>0.0</t>
        </is>
      </c>
      <c r="J282" t="b">
        <v>0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G000093</t>
        </is>
      </c>
      <c r="T282" t="inlineStr">
        <is>
          <t>Horizontal</t>
        </is>
      </c>
      <c r="U282" t="n">
        <v>5</v>
      </c>
      <c r="V282" t="b">
        <v>1</v>
      </c>
      <c r="W282" t="inlineStr">
        <is>
          <t>Asset schedule!E27:I27</t>
        </is>
      </c>
      <c r="X282">
        <f>INDEX(R4C12:R15C20,MATCH(R[-2]C1,R4C12:R15C12,0),MATCH(R[-2]C[0],R4C12:R4C20,0))</f>
        <v/>
      </c>
    </row>
    <row r="283">
      <c r="A283" t="inlineStr">
        <is>
          <t>Asset schedule</t>
        </is>
      </c>
      <c r="B283" t="inlineStr">
        <is>
          <t>A28</t>
        </is>
      </c>
      <c r="C283" t="n">
        <v>28</v>
      </c>
      <c r="D283" t="n">
        <v>1</v>
      </c>
      <c r="E283" t="inlineStr">
        <is>
          <t>Input</t>
        </is>
      </c>
      <c r="F283" t="n">
        <v/>
      </c>
      <c r="G283" t="inlineStr">
        <is>
          <t>Less: Sale during the year</t>
        </is>
      </c>
      <c r="H283" t="inlineStr"/>
      <c r="I283" t="inlineStr">
        <is>
          <t>General</t>
        </is>
      </c>
      <c r="J283" t="b">
        <v>0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n">
        <v/>
      </c>
      <c r="T283" t="n">
        <v/>
      </c>
      <c r="U283" t="n">
        <v/>
      </c>
      <c r="V283" t="b">
        <v>0</v>
      </c>
      <c r="W283" t="inlineStr"/>
      <c r="X283" t="n">
        <v/>
      </c>
    </row>
    <row r="284">
      <c r="A284" t="inlineStr">
        <is>
          <t>Asset schedule</t>
        </is>
      </c>
      <c r="B284" t="inlineStr">
        <is>
          <t>D28</t>
        </is>
      </c>
      <c r="C284" t="n">
        <v>28</v>
      </c>
      <c r="D284" t="n">
        <v>4</v>
      </c>
      <c r="E284" t="inlineStr">
        <is>
          <t>Input</t>
        </is>
      </c>
      <c r="F284" t="n">
        <v/>
      </c>
      <c r="G284" t="n">
        <v>1.13</v>
      </c>
      <c r="H284" t="inlineStr"/>
      <c r="I284" t="inlineStr">
        <is>
          <t>General</t>
        </is>
      </c>
      <c r="J284" t="b">
        <v>0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n">
        <v/>
      </c>
      <c r="T284" t="n">
        <v/>
      </c>
      <c r="U284" t="n">
        <v/>
      </c>
      <c r="V284" t="b">
        <v>0</v>
      </c>
      <c r="W284" t="inlineStr"/>
      <c r="X284" t="n">
        <v/>
      </c>
    </row>
    <row r="285">
      <c r="A285" t="inlineStr">
        <is>
          <t>Asset schedule</t>
        </is>
      </c>
      <c r="B285" t="inlineStr">
        <is>
          <t>E28</t>
        </is>
      </c>
      <c r="C285" t="n">
        <v>28</v>
      </c>
      <c r="D285" t="n">
        <v>5</v>
      </c>
      <c r="E285" t="inlineStr">
        <is>
          <t>Input</t>
        </is>
      </c>
      <c r="F285" t="n">
        <v/>
      </c>
      <c r="G285" t="n">
        <v>0</v>
      </c>
      <c r="H285" t="inlineStr"/>
      <c r="I285" t="inlineStr">
        <is>
          <t>General</t>
        </is>
      </c>
      <c r="J285" t="b">
        <v>0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n">
        <v/>
      </c>
      <c r="T285" t="n">
        <v/>
      </c>
      <c r="U285" t="n">
        <v/>
      </c>
      <c r="V285" t="b">
        <v>0</v>
      </c>
      <c r="W285" t="inlineStr"/>
      <c r="X285" t="n">
        <v/>
      </c>
    </row>
    <row r="286">
      <c r="A286" t="inlineStr">
        <is>
          <t>Asset schedule</t>
        </is>
      </c>
      <c r="B286" t="inlineStr">
        <is>
          <t>F28</t>
        </is>
      </c>
      <c r="C286" t="n">
        <v>28</v>
      </c>
      <c r="D286" t="n">
        <v>6</v>
      </c>
      <c r="E286" t="inlineStr">
        <is>
          <t>Input</t>
        </is>
      </c>
      <c r="F286" t="n">
        <v/>
      </c>
      <c r="G286" t="n">
        <v>0</v>
      </c>
      <c r="H286" t="inlineStr"/>
      <c r="I286" t="inlineStr">
        <is>
          <t>General</t>
        </is>
      </c>
      <c r="J286" t="b">
        <v>0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n">
        <v/>
      </c>
      <c r="T286" t="n">
        <v/>
      </c>
      <c r="U286" t="n">
        <v/>
      </c>
      <c r="V286" t="b">
        <v>0</v>
      </c>
      <c r="W286" t="inlineStr"/>
      <c r="X286" t="n">
        <v/>
      </c>
    </row>
    <row r="287">
      <c r="A287" t="inlineStr">
        <is>
          <t>Asset schedule</t>
        </is>
      </c>
      <c r="B287" t="inlineStr">
        <is>
          <t>G28</t>
        </is>
      </c>
      <c r="C287" t="n">
        <v>28</v>
      </c>
      <c r="D287" t="n">
        <v>7</v>
      </c>
      <c r="E287" t="inlineStr">
        <is>
          <t>Input</t>
        </is>
      </c>
      <c r="F287" t="n">
        <v/>
      </c>
      <c r="G287" t="n">
        <v>0</v>
      </c>
      <c r="H287" t="inlineStr"/>
      <c r="I287" t="inlineStr">
        <is>
          <t>General</t>
        </is>
      </c>
      <c r="J287" t="b">
        <v>0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n">
        <v/>
      </c>
      <c r="T287" t="n">
        <v/>
      </c>
      <c r="U287" t="n">
        <v/>
      </c>
      <c r="V287" t="b">
        <v>0</v>
      </c>
      <c r="W287" t="inlineStr"/>
      <c r="X287" t="n">
        <v/>
      </c>
    </row>
    <row r="288">
      <c r="A288" t="inlineStr">
        <is>
          <t>Asset schedule</t>
        </is>
      </c>
      <c r="B288" t="inlineStr">
        <is>
          <t>H28</t>
        </is>
      </c>
      <c r="C288" t="n">
        <v>28</v>
      </c>
      <c r="D288" t="n">
        <v>8</v>
      </c>
      <c r="E288" t="inlineStr">
        <is>
          <t>Input</t>
        </is>
      </c>
      <c r="F288" t="n">
        <v/>
      </c>
      <c r="G288" t="n">
        <v>0</v>
      </c>
      <c r="H288" t="inlineStr"/>
      <c r="I288" t="inlineStr">
        <is>
          <t>General</t>
        </is>
      </c>
      <c r="J288" t="b">
        <v>0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n">
        <v/>
      </c>
      <c r="T288" t="n">
        <v/>
      </c>
      <c r="U288" t="n">
        <v/>
      </c>
      <c r="V288" t="b">
        <v>0</v>
      </c>
      <c r="W288" t="inlineStr"/>
      <c r="X288" t="n">
        <v/>
      </c>
    </row>
    <row r="289">
      <c r="A289" t="inlineStr">
        <is>
          <t>Asset schedule</t>
        </is>
      </c>
      <c r="B289" t="inlineStr">
        <is>
          <t>I28</t>
        </is>
      </c>
      <c r="C289" t="n">
        <v>28</v>
      </c>
      <c r="D289" t="n">
        <v>9</v>
      </c>
      <c r="E289" t="inlineStr">
        <is>
          <t>Input</t>
        </is>
      </c>
      <c r="F289" t="n">
        <v/>
      </c>
      <c r="G289" t="n">
        <v>0</v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n">
        <v/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Asset schedule</t>
        </is>
      </c>
      <c r="B290" t="inlineStr">
        <is>
          <t>A29</t>
        </is>
      </c>
      <c r="C290" t="n">
        <v>29</v>
      </c>
      <c r="D290" t="n">
        <v>1</v>
      </c>
      <c r="E290" t="inlineStr">
        <is>
          <t>Input</t>
        </is>
      </c>
      <c r="F290" t="n">
        <v/>
      </c>
      <c r="G290" t="inlineStr">
        <is>
          <t>Less: Dep</t>
        </is>
      </c>
      <c r="H290" t="inlineStr"/>
      <c r="I290" t="inlineStr">
        <is>
          <t>General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1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Asset schedule</t>
        </is>
      </c>
      <c r="B291" t="inlineStr">
        <is>
          <t>D29</t>
        </is>
      </c>
      <c r="C291" t="n">
        <v>29</v>
      </c>
      <c r="D291" t="n">
        <v>4</v>
      </c>
      <c r="E291" t="inlineStr">
        <is>
          <t>Input</t>
        </is>
      </c>
      <c r="F291" t="n">
        <v/>
      </c>
      <c r="G291" t="n">
        <v>77.91</v>
      </c>
      <c r="H291" t="inlineStr"/>
      <c r="I291" t="inlineStr">
        <is>
          <t>General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1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Asset schedule</t>
        </is>
      </c>
      <c r="B292" t="inlineStr">
        <is>
          <t>E29</t>
        </is>
      </c>
      <c r="C292" t="n">
        <v>29</v>
      </c>
      <c r="D292" t="n">
        <v>5</v>
      </c>
      <c r="E292" t="inlineStr">
        <is>
          <t>Calculation</t>
        </is>
      </c>
      <c r="F292" t="inlineStr">
        <is>
          <t>'=E26*$B31</t>
        </is>
      </c>
      <c r="G292" t="n">
        <v>74.00804113468772</v>
      </c>
      <c r="H292" t="inlineStr"/>
      <c r="I292" t="inlineStr">
        <is>
          <t>0.0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n">
        <v/>
      </c>
      <c r="P292" t="n">
        <v/>
      </c>
      <c r="R292" t="b">
        <v>1</v>
      </c>
      <c r="S292" t="inlineStr">
        <is>
          <t>G000104</t>
        </is>
      </c>
      <c r="T292" t="inlineStr">
        <is>
          <t>Horizontal</t>
        </is>
      </c>
      <c r="U292" t="n">
        <v>5</v>
      </c>
      <c r="V292" t="b">
        <v>1</v>
      </c>
      <c r="W292" t="inlineStr">
        <is>
          <t>Asset schedule!E29:I29</t>
        </is>
      </c>
      <c r="X292">
        <f>R[-3]C[0]*R[2]C2</f>
        <v/>
      </c>
    </row>
    <row r="293">
      <c r="A293" t="inlineStr">
        <is>
          <t>Asset schedule</t>
        </is>
      </c>
      <c r="B293" t="inlineStr">
        <is>
          <t>F29</t>
        </is>
      </c>
      <c r="C293" t="n">
        <v>29</v>
      </c>
      <c r="D293" t="n">
        <v>6</v>
      </c>
      <c r="E293" t="inlineStr">
        <is>
          <t>Calculation</t>
        </is>
      </c>
      <c r="F293" t="inlineStr">
        <is>
          <t>'=F26*$B31</t>
        </is>
      </c>
      <c r="G293" t="n">
        <v>72.2237510407967</v>
      </c>
      <c r="H293" t="inlineStr"/>
      <c r="I293" t="inlineStr">
        <is>
          <t>0.0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1</v>
      </c>
      <c r="S293" t="inlineStr">
        <is>
          <t>G000104</t>
        </is>
      </c>
      <c r="T293" t="inlineStr">
        <is>
          <t>Horizontal</t>
        </is>
      </c>
      <c r="U293" t="n">
        <v>5</v>
      </c>
      <c r="V293" t="b">
        <v>1</v>
      </c>
      <c r="W293" t="inlineStr">
        <is>
          <t>Asset schedule!E29:I29</t>
        </is>
      </c>
      <c r="X293">
        <f>R[-3]C[0]*R[2]C2</f>
        <v/>
      </c>
    </row>
    <row r="294">
      <c r="A294" t="inlineStr">
        <is>
          <t>Asset schedule</t>
        </is>
      </c>
      <c r="B294" t="inlineStr">
        <is>
          <t>G29</t>
        </is>
      </c>
      <c r="C294" t="n">
        <v>29</v>
      </c>
      <c r="D294" t="n">
        <v>7</v>
      </c>
      <c r="E294" t="inlineStr">
        <is>
          <t>Calculation</t>
        </is>
      </c>
      <c r="F294" t="inlineStr">
        <is>
          <t>'=G26*$B31</t>
        </is>
      </c>
      <c r="G294" t="n">
        <v>70.67610914796735</v>
      </c>
      <c r="H294" t="inlineStr"/>
      <c r="I294" t="inlineStr">
        <is>
          <t>0.0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1</v>
      </c>
      <c r="S294" t="inlineStr">
        <is>
          <t>G000104</t>
        </is>
      </c>
      <c r="T294" t="inlineStr">
        <is>
          <t>Horizontal</t>
        </is>
      </c>
      <c r="U294" t="n">
        <v>5</v>
      </c>
      <c r="V294" t="b">
        <v>1</v>
      </c>
      <c r="W294" t="inlineStr">
        <is>
          <t>Asset schedule!E29:I29</t>
        </is>
      </c>
      <c r="X294">
        <f>R[-3]C[0]*R[2]C2</f>
        <v/>
      </c>
    </row>
    <row r="295">
      <c r="A295" t="inlineStr">
        <is>
          <t>Asset schedule</t>
        </is>
      </c>
      <c r="B295" t="inlineStr">
        <is>
          <t>H29</t>
        </is>
      </c>
      <c r="C295" t="n">
        <v>29</v>
      </c>
      <c r="D295" t="n">
        <v>8</v>
      </c>
      <c r="E295" t="inlineStr">
        <is>
          <t>Calculation</t>
        </is>
      </c>
      <c r="F295" t="inlineStr">
        <is>
          <t>'=H26*$B31</t>
        </is>
      </c>
      <c r="G295" t="n">
        <v>69.3630779842582</v>
      </c>
      <c r="H295" t="inlineStr"/>
      <c r="I295" t="inlineStr">
        <is>
          <t>0.0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n">
        <v/>
      </c>
      <c r="P295" t="n">
        <v/>
      </c>
      <c r="R295" t="b">
        <v>1</v>
      </c>
      <c r="S295" t="inlineStr">
        <is>
          <t>G000104</t>
        </is>
      </c>
      <c r="T295" t="inlineStr">
        <is>
          <t>Horizontal</t>
        </is>
      </c>
      <c r="U295" t="n">
        <v>5</v>
      </c>
      <c r="V295" t="b">
        <v>1</v>
      </c>
      <c r="W295" t="inlineStr">
        <is>
          <t>Asset schedule!E29:I29</t>
        </is>
      </c>
      <c r="X295">
        <f>R[-3]C[0]*R[2]C2</f>
        <v/>
      </c>
    </row>
    <row r="296">
      <c r="A296" t="inlineStr">
        <is>
          <t>Asset schedule</t>
        </is>
      </c>
      <c r="B296" t="inlineStr">
        <is>
          <t>I29</t>
        </is>
      </c>
      <c r="C296" t="n">
        <v>29</v>
      </c>
      <c r="D296" t="n">
        <v>9</v>
      </c>
      <c r="E296" t="inlineStr">
        <is>
          <t>Calculation</t>
        </is>
      </c>
      <c r="F296" t="inlineStr">
        <is>
          <t>'=I26*$B31</t>
        </is>
      </c>
      <c r="G296" t="n">
        <v>68.28334081015574</v>
      </c>
      <c r="H296" t="inlineStr"/>
      <c r="I296" t="inlineStr">
        <is>
          <t>0.0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inlineStr">
        <is>
          <t>G000104</t>
        </is>
      </c>
      <c r="T296" t="inlineStr">
        <is>
          <t>Horizontal</t>
        </is>
      </c>
      <c r="U296" t="n">
        <v>5</v>
      </c>
      <c r="V296" t="b">
        <v>1</v>
      </c>
      <c r="W296" t="inlineStr">
        <is>
          <t>Asset schedule!E29:I29</t>
        </is>
      </c>
      <c r="X296">
        <f>R[-3]C[0]*R[2]C2</f>
        <v/>
      </c>
    </row>
    <row r="297">
      <c r="A297" t="inlineStr">
        <is>
          <t>Asset schedule</t>
        </is>
      </c>
      <c r="B297" t="inlineStr">
        <is>
          <t>A30</t>
        </is>
      </c>
      <c r="C297" t="n">
        <v>30</v>
      </c>
      <c r="D297" t="n">
        <v>1</v>
      </c>
      <c r="E297" t="inlineStr">
        <is>
          <t>Input</t>
        </is>
      </c>
      <c r="F297" t="n">
        <v/>
      </c>
      <c r="G297" t="inlineStr">
        <is>
          <t>Closing balance</t>
        </is>
      </c>
      <c r="H297" t="inlineStr"/>
      <c r="I297" t="inlineStr">
        <is>
          <t>General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Asset schedule</t>
        </is>
      </c>
      <c r="B298" t="inlineStr">
        <is>
          <t>D30</t>
        </is>
      </c>
      <c r="C298" t="n">
        <v>30</v>
      </c>
      <c r="D298" t="n">
        <v>4</v>
      </c>
      <c r="E298" t="inlineStr">
        <is>
          <t>Input</t>
        </is>
      </c>
      <c r="F298" t="n">
        <v/>
      </c>
      <c r="G298" t="n">
        <v>1472.4</v>
      </c>
      <c r="H298" t="inlineStr"/>
      <c r="I298" t="inlineStr">
        <is>
          <t>General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00000000</t>
        </is>
      </c>
      <c r="O298" t="n">
        <v/>
      </c>
      <c r="P298" t="n">
        <v/>
      </c>
      <c r="R298" t="b">
        <v>1</v>
      </c>
      <c r="S298" t="n">
        <v/>
      </c>
      <c r="T298" t="n">
        <v/>
      </c>
      <c r="U298" t="n">
        <v/>
      </c>
      <c r="V298" t="b">
        <v>0</v>
      </c>
      <c r="W298" t="inlineStr"/>
      <c r="X298" t="n">
        <v/>
      </c>
    </row>
    <row r="299">
      <c r="A299" t="inlineStr">
        <is>
          <t>Asset schedule</t>
        </is>
      </c>
      <c r="B299" t="inlineStr">
        <is>
          <t>E30</t>
        </is>
      </c>
      <c r="C299" t="n">
        <v>30</v>
      </c>
      <c r="D299" t="n">
        <v>5</v>
      </c>
      <c r="E299" t="inlineStr">
        <is>
          <t>Calculation</t>
        </is>
      </c>
      <c r="F299" t="inlineStr">
        <is>
          <t>'=E26+E27-E28-E29</t>
        </is>
      </c>
      <c r="G299" t="n">
        <v>1436.901306966578</v>
      </c>
      <c r="H299" t="inlineStr"/>
      <c r="I299" t="inlineStr">
        <is>
          <t>0.00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00000000</t>
        </is>
      </c>
      <c r="O299" t="n">
        <v/>
      </c>
      <c r="P299" t="n">
        <v/>
      </c>
      <c r="R299" t="b">
        <v>1</v>
      </c>
      <c r="S299" t="inlineStr">
        <is>
          <t>G000128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Asset schedule!E30:I30</t>
        </is>
      </c>
      <c r="X299">
        <f>R[-4]C[0]+R[-3]C[0]-R[-2]C[0]-R[-1]C[0]</f>
        <v/>
      </c>
    </row>
    <row r="300">
      <c r="A300" t="inlineStr">
        <is>
          <t>Asset schedule</t>
        </is>
      </c>
      <c r="B300" t="inlineStr">
        <is>
          <t>F30</t>
        </is>
      </c>
      <c r="C300" t="n">
        <v>30</v>
      </c>
      <c r="D300" t="n">
        <v>6</v>
      </c>
      <c r="E300" t="inlineStr">
        <is>
          <t>Calculation</t>
        </is>
      </c>
      <c r="F300" t="inlineStr">
        <is>
          <t>'=F26+F27-F28-F29</t>
        </is>
      </c>
      <c r="G300" t="n">
        <v>1406.11076193844</v>
      </c>
      <c r="H300" t="inlineStr"/>
      <c r="I300" t="inlineStr">
        <is>
          <t>0.00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00000000</t>
        </is>
      </c>
      <c r="O300" t="n">
        <v/>
      </c>
      <c r="P300" t="n">
        <v/>
      </c>
      <c r="R300" t="b">
        <v>1</v>
      </c>
      <c r="S300" t="inlineStr">
        <is>
          <t>G000128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Asset schedule!E30:I30</t>
        </is>
      </c>
      <c r="X300">
        <f>R[-4]C[0]+R[-3]C[0]-R[-2]C[0]-R[-1]C[0]</f>
        <v/>
      </c>
    </row>
    <row r="301">
      <c r="A301" t="inlineStr">
        <is>
          <t>Asset schedule</t>
        </is>
      </c>
      <c r="B301" t="inlineStr">
        <is>
          <t>G30</t>
        </is>
      </c>
      <c r="C301" t="n">
        <v>30</v>
      </c>
      <c r="D301" t="n">
        <v>7</v>
      </c>
      <c r="E301" t="inlineStr">
        <is>
          <t>Calculation</t>
        </is>
      </c>
      <c r="F301" t="inlineStr">
        <is>
          <t>'=G26+G27-G28-G29</t>
        </is>
      </c>
      <c r="G301" t="n">
        <v>1379.987829135409</v>
      </c>
      <c r="H301" t="inlineStr"/>
      <c r="I301" t="inlineStr">
        <is>
          <t>0.00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00000000</t>
        </is>
      </c>
      <c r="O301" t="n">
        <v/>
      </c>
      <c r="P301" t="n">
        <v/>
      </c>
      <c r="R301" t="b">
        <v>1</v>
      </c>
      <c r="S301" t="inlineStr">
        <is>
          <t>G000128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Asset schedule!E30:I30</t>
        </is>
      </c>
      <c r="X301">
        <f>R[-4]C[0]+R[-3]C[0]-R[-2]C[0]-R[-1]C[0]</f>
        <v/>
      </c>
    </row>
    <row r="302">
      <c r="A302" t="inlineStr">
        <is>
          <t>Asset schedule</t>
        </is>
      </c>
      <c r="B302" t="inlineStr">
        <is>
          <t>H30</t>
        </is>
      </c>
      <c r="C302" t="n">
        <v>30</v>
      </c>
      <c r="D302" t="n">
        <v>8</v>
      </c>
      <c r="E302" t="inlineStr">
        <is>
          <t>Calculation</t>
        </is>
      </c>
      <c r="F302" t="inlineStr">
        <is>
          <t>'=H26+H27-H28-H29</t>
        </is>
      </c>
      <c r="G302" t="n">
        <v>1358.506311846563</v>
      </c>
      <c r="H302" t="inlineStr"/>
      <c r="I302" t="inlineStr">
        <is>
          <t>0.00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00000000</t>
        </is>
      </c>
      <c r="O302" t="n">
        <v/>
      </c>
      <c r="P302" t="n">
        <v/>
      </c>
      <c r="R302" t="b">
        <v>1</v>
      </c>
      <c r="S302" t="inlineStr">
        <is>
          <t>G000128</t>
        </is>
      </c>
      <c r="T302" t="inlineStr">
        <is>
          <t>Horizontal</t>
        </is>
      </c>
      <c r="U302" t="n">
        <v>5</v>
      </c>
      <c r="V302" t="b">
        <v>1</v>
      </c>
      <c r="W302" t="inlineStr">
        <is>
          <t>Asset schedule!E30:I30</t>
        </is>
      </c>
      <c r="X302">
        <f>R[-4]C[0]+R[-3]C[0]-R[-2]C[0]-R[-1]C[0]</f>
        <v/>
      </c>
    </row>
    <row r="303">
      <c r="A303" t="inlineStr">
        <is>
          <t>Asset schedule</t>
        </is>
      </c>
      <c r="B303" t="inlineStr">
        <is>
          <t>I30</t>
        </is>
      </c>
      <c r="C303" t="n">
        <v>30</v>
      </c>
      <c r="D303" t="n">
        <v>9</v>
      </c>
      <c r="E303" t="inlineStr">
        <is>
          <t>Calculation</t>
        </is>
      </c>
      <c r="F303" t="inlineStr">
        <is>
          <t>'=I26+I27-I28-I29</t>
        </is>
      </c>
      <c r="G303" t="n">
        <v>1341.654371576478</v>
      </c>
      <c r="H303" t="inlineStr"/>
      <c r="I303" t="inlineStr">
        <is>
          <t>0.00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n">
        <v/>
      </c>
      <c r="P303" t="n">
        <v/>
      </c>
      <c r="R303" t="b">
        <v>1</v>
      </c>
      <c r="S303" t="inlineStr">
        <is>
          <t>G000128</t>
        </is>
      </c>
      <c r="T303" t="inlineStr">
        <is>
          <t>Horizontal</t>
        </is>
      </c>
      <c r="U303" t="n">
        <v>5</v>
      </c>
      <c r="V303" t="b">
        <v>1</v>
      </c>
      <c r="W303" t="inlineStr">
        <is>
          <t>Asset schedule!E30:I30</t>
        </is>
      </c>
      <c r="X303">
        <f>R[-4]C[0]+R[-3]C[0]-R[-2]C[0]-R[-1]C[0]</f>
        <v/>
      </c>
    </row>
    <row r="304">
      <c r="A304" t="inlineStr">
        <is>
          <t>Asset schedule</t>
        </is>
      </c>
      <c r="B304" t="inlineStr">
        <is>
          <t>A31</t>
        </is>
      </c>
      <c r="C304" t="n">
        <v>31</v>
      </c>
      <c r="D304" t="n">
        <v>1</v>
      </c>
      <c r="E304" t="inlineStr">
        <is>
          <t>Input</t>
        </is>
      </c>
      <c r="F304" t="n">
        <v/>
      </c>
      <c r="G304" t="inlineStr">
        <is>
          <t>Depreciation rate</t>
        </is>
      </c>
      <c r="H304" t="inlineStr"/>
      <c r="I304" t="inlineStr">
        <is>
          <t>General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Asset schedule</t>
        </is>
      </c>
      <c r="B305" t="inlineStr">
        <is>
          <t>B31</t>
        </is>
      </c>
      <c r="C305" t="n">
        <v>31</v>
      </c>
      <c r="D305" t="n">
        <v>2</v>
      </c>
      <c r="E305" t="inlineStr">
        <is>
          <t>Calculation</t>
        </is>
      </c>
      <c r="F305" t="inlineStr">
        <is>
          <t>'=D29/(D26+D27-D28)</t>
        </is>
      </c>
      <c r="G305" t="n">
        <v>0.05026354328625898</v>
      </c>
      <c r="H305" t="inlineStr"/>
      <c r="I305" t="inlineStr">
        <is>
          <t>0%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inlineStr">
        <is>
          <t>G000136</t>
        </is>
      </c>
      <c r="T305" t="inlineStr">
        <is>
          <t>Block</t>
        </is>
      </c>
      <c r="U305" t="n">
        <v>11</v>
      </c>
      <c r="V305" t="b">
        <v>1</v>
      </c>
      <c r="W305" t="inlineStr">
        <is>
          <t>Asset schedule!B7:B87</t>
        </is>
      </c>
      <c r="X305">
        <f>R[-2]C[2]/(R[-5]C[2]+R[-4]C[2]-R[-3]C[2])</f>
        <v/>
      </c>
    </row>
    <row r="306">
      <c r="A306" t="inlineStr">
        <is>
          <t>Asset schedule</t>
        </is>
      </c>
      <c r="B306" t="inlineStr">
        <is>
          <t>A33</t>
        </is>
      </c>
      <c r="C306" t="n">
        <v>33</v>
      </c>
      <c r="D306" t="n">
        <v>1</v>
      </c>
      <c r="E306" t="inlineStr">
        <is>
          <t>Input</t>
        </is>
      </c>
      <c r="F306" t="n">
        <v/>
      </c>
      <c r="G306" t="inlineStr">
        <is>
          <t>Plants &amp; Eq</t>
        </is>
      </c>
      <c r="H306" t="inlineStr"/>
      <c r="I306" t="inlineStr">
        <is>
          <t>General</t>
        </is>
      </c>
      <c r="J306" t="b">
        <v>1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Asset schedule</t>
        </is>
      </c>
      <c r="B307" t="inlineStr">
        <is>
          <t>B33</t>
        </is>
      </c>
      <c r="C307" t="n">
        <v>33</v>
      </c>
      <c r="D307" t="n">
        <v>2</v>
      </c>
      <c r="E307" t="inlineStr">
        <is>
          <t>Input</t>
        </is>
      </c>
      <c r="F307" t="n">
        <v/>
      </c>
      <c r="G307" t="n">
        <v>2015</v>
      </c>
      <c r="H307" t="inlineStr"/>
      <c r="I307" t="inlineStr">
        <is>
          <t>General</t>
        </is>
      </c>
      <c r="J307" t="b">
        <v>1</v>
      </c>
      <c r="K307" t="b">
        <v>0</v>
      </c>
      <c r="L307" t="n">
        <v>11</v>
      </c>
      <c r="M307" t="inlineStr">
        <is>
          <t>Values must be of type &lt;class 'str'&gt;</t>
        </is>
      </c>
      <c r="N307" t="inlineStr">
        <is>
          <t>Values must be of type &lt;class 'str'&gt;</t>
        </is>
      </c>
      <c r="O307" t="inlineStr">
        <is>
          <t>center</t>
        </is>
      </c>
      <c r="P307" t="inlineStr">
        <is>
          <t>center</t>
        </is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Asset schedule</t>
        </is>
      </c>
      <c r="B308" t="inlineStr">
        <is>
          <t>C33</t>
        </is>
      </c>
      <c r="C308" t="n">
        <v>33</v>
      </c>
      <c r="D308" t="n">
        <v>3</v>
      </c>
      <c r="E308" t="inlineStr">
        <is>
          <t>Input</t>
        </is>
      </c>
      <c r="F308" t="n">
        <v/>
      </c>
      <c r="G308" t="n">
        <v>2016</v>
      </c>
      <c r="H308" t="inlineStr"/>
      <c r="I308" t="inlineStr">
        <is>
          <t>General</t>
        </is>
      </c>
      <c r="J308" t="b">
        <v>1</v>
      </c>
      <c r="K308" t="b">
        <v>0</v>
      </c>
      <c r="L308" t="n">
        <v>11</v>
      </c>
      <c r="M308" t="inlineStr">
        <is>
          <t>Values must be of type &lt;class 'str'&gt;</t>
        </is>
      </c>
      <c r="N308" t="inlineStr">
        <is>
          <t>Values must be of type &lt;class 'str'&gt;</t>
        </is>
      </c>
      <c r="O308" t="inlineStr">
        <is>
          <t>center</t>
        </is>
      </c>
      <c r="P308" t="inlineStr">
        <is>
          <t>center</t>
        </is>
      </c>
      <c r="R308" t="b">
        <v>1</v>
      </c>
      <c r="S308" t="n">
        <v/>
      </c>
      <c r="T308" t="n">
        <v/>
      </c>
      <c r="U308" t="n">
        <v/>
      </c>
      <c r="V308" t="b">
        <v>0</v>
      </c>
      <c r="W308" t="inlineStr"/>
      <c r="X308" t="n">
        <v/>
      </c>
    </row>
    <row r="309">
      <c r="A309" t="inlineStr">
        <is>
          <t>Asset schedule</t>
        </is>
      </c>
      <c r="B309" t="inlineStr">
        <is>
          <t>D33</t>
        </is>
      </c>
      <c r="C309" t="n">
        <v>33</v>
      </c>
      <c r="D309" t="n">
        <v>4</v>
      </c>
      <c r="E309" t="inlineStr">
        <is>
          <t>Input</t>
        </is>
      </c>
      <c r="F309" t="n">
        <v/>
      </c>
      <c r="G309" t="n">
        <v>2017</v>
      </c>
      <c r="H309" t="inlineStr"/>
      <c r="I309" t="inlineStr">
        <is>
          <t>General</t>
        </is>
      </c>
      <c r="J309" t="b">
        <v>1</v>
      </c>
      <c r="K309" t="b">
        <v>0</v>
      </c>
      <c r="L309" t="n">
        <v>11</v>
      </c>
      <c r="M309" t="inlineStr">
        <is>
          <t>Values must be of type &lt;class 'str'&gt;</t>
        </is>
      </c>
      <c r="N309" t="inlineStr">
        <is>
          <t>Values must be of type &lt;class 'str'&gt;</t>
        </is>
      </c>
      <c r="O309" t="inlineStr">
        <is>
          <t>center</t>
        </is>
      </c>
      <c r="P309" t="inlineStr">
        <is>
          <t>center</t>
        </is>
      </c>
      <c r="R309" t="b">
        <v>1</v>
      </c>
      <c r="S309" t="n">
        <v/>
      </c>
      <c r="T309" t="n">
        <v/>
      </c>
      <c r="U309" t="n">
        <v/>
      </c>
      <c r="V309" t="b">
        <v>0</v>
      </c>
      <c r="W309" t="inlineStr"/>
      <c r="X309" t="n">
        <v/>
      </c>
    </row>
    <row r="310">
      <c r="A310" t="inlineStr">
        <is>
          <t>Asset schedule</t>
        </is>
      </c>
      <c r="B310" t="inlineStr">
        <is>
          <t>E33</t>
        </is>
      </c>
      <c r="C310" t="n">
        <v>33</v>
      </c>
      <c r="D310" t="n">
        <v>5</v>
      </c>
      <c r="E310" t="inlineStr">
        <is>
          <t>Input</t>
        </is>
      </c>
      <c r="F310" t="n">
        <v/>
      </c>
      <c r="G310" t="inlineStr">
        <is>
          <t>2018 F</t>
        </is>
      </c>
      <c r="H310" t="inlineStr"/>
      <c r="I310" t="inlineStr">
        <is>
          <t>General</t>
        </is>
      </c>
      <c r="J310" t="b">
        <v>1</v>
      </c>
      <c r="K310" t="b">
        <v>0</v>
      </c>
      <c r="L310" t="n">
        <v>11</v>
      </c>
      <c r="M310" t="inlineStr">
        <is>
          <t>Values must be of type &lt;class 'str'&gt;</t>
        </is>
      </c>
      <c r="N310" t="inlineStr">
        <is>
          <t>Values must be of type &lt;class 'str'&gt;</t>
        </is>
      </c>
      <c r="O310" t="inlineStr">
        <is>
          <t>center</t>
        </is>
      </c>
      <c r="P310" t="inlineStr">
        <is>
          <t>center</t>
        </is>
      </c>
      <c r="R310" t="b">
        <v>1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Asset schedule</t>
        </is>
      </c>
      <c r="B311" t="inlineStr">
        <is>
          <t>F33</t>
        </is>
      </c>
      <c r="C311" t="n">
        <v>33</v>
      </c>
      <c r="D311" t="n">
        <v>6</v>
      </c>
      <c r="E311" t="inlineStr">
        <is>
          <t>Input</t>
        </is>
      </c>
      <c r="F311" t="n">
        <v/>
      </c>
      <c r="G311" t="inlineStr">
        <is>
          <t>2019 F</t>
        </is>
      </c>
      <c r="H311" t="inlineStr"/>
      <c r="I311" t="inlineStr">
        <is>
          <t>General</t>
        </is>
      </c>
      <c r="J311" t="b">
        <v>1</v>
      </c>
      <c r="K311" t="b">
        <v>0</v>
      </c>
      <c r="L311" t="n">
        <v>11</v>
      </c>
      <c r="M311" t="inlineStr">
        <is>
          <t>Values must be of type &lt;class 'str'&gt;</t>
        </is>
      </c>
      <c r="N311" t="inlineStr">
        <is>
          <t>Values must be of type &lt;class 'str'&gt;</t>
        </is>
      </c>
      <c r="O311" t="inlineStr">
        <is>
          <t>center</t>
        </is>
      </c>
      <c r="P311" t="inlineStr">
        <is>
          <t>center</t>
        </is>
      </c>
      <c r="R311" t="b">
        <v>1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Asset schedule</t>
        </is>
      </c>
      <c r="B312" t="inlineStr">
        <is>
          <t>G33</t>
        </is>
      </c>
      <c r="C312" t="n">
        <v>33</v>
      </c>
      <c r="D312" t="n">
        <v>7</v>
      </c>
      <c r="E312" t="inlineStr">
        <is>
          <t>Input</t>
        </is>
      </c>
      <c r="F312" t="n">
        <v/>
      </c>
      <c r="G312" t="inlineStr">
        <is>
          <t>2020 F</t>
        </is>
      </c>
      <c r="H312" t="inlineStr"/>
      <c r="I312" t="inlineStr">
        <is>
          <t>General</t>
        </is>
      </c>
      <c r="J312" t="b">
        <v>1</v>
      </c>
      <c r="K312" t="b">
        <v>0</v>
      </c>
      <c r="L312" t="n">
        <v>11</v>
      </c>
      <c r="M312" t="inlineStr">
        <is>
          <t>Values must be of type &lt;class 'str'&gt;</t>
        </is>
      </c>
      <c r="N312" t="inlineStr">
        <is>
          <t>Values must be of type &lt;class 'str'&gt;</t>
        </is>
      </c>
      <c r="O312" t="inlineStr">
        <is>
          <t>center</t>
        </is>
      </c>
      <c r="P312" t="inlineStr">
        <is>
          <t>center</t>
        </is>
      </c>
      <c r="R312" t="b">
        <v>1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Asset schedule</t>
        </is>
      </c>
      <c r="B313" t="inlineStr">
        <is>
          <t>H33</t>
        </is>
      </c>
      <c r="C313" t="n">
        <v>33</v>
      </c>
      <c r="D313" t="n">
        <v>8</v>
      </c>
      <c r="E313" t="inlineStr">
        <is>
          <t>Input</t>
        </is>
      </c>
      <c r="F313" t="n">
        <v/>
      </c>
      <c r="G313" t="inlineStr">
        <is>
          <t>2021 F</t>
        </is>
      </c>
      <c r="H313" t="inlineStr"/>
      <c r="I313" t="inlineStr">
        <is>
          <t>General</t>
        </is>
      </c>
      <c r="J313" t="b">
        <v>1</v>
      </c>
      <c r="K313" t="b">
        <v>0</v>
      </c>
      <c r="L313" t="n">
        <v>11</v>
      </c>
      <c r="M313" t="inlineStr">
        <is>
          <t>Values must be of type &lt;class 'str'&gt;</t>
        </is>
      </c>
      <c r="N313" t="inlineStr">
        <is>
          <t>Values must be of type &lt;class 'str'&gt;</t>
        </is>
      </c>
      <c r="O313" t="inlineStr">
        <is>
          <t>center</t>
        </is>
      </c>
      <c r="P313" t="inlineStr">
        <is>
          <t>center</t>
        </is>
      </c>
      <c r="R313" t="b">
        <v>1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Asset schedule</t>
        </is>
      </c>
      <c r="B314" t="inlineStr">
        <is>
          <t>I33</t>
        </is>
      </c>
      <c r="C314" t="n">
        <v>33</v>
      </c>
      <c r="D314" t="n">
        <v>9</v>
      </c>
      <c r="E314" t="inlineStr">
        <is>
          <t>Input</t>
        </is>
      </c>
      <c r="F314" t="n">
        <v/>
      </c>
      <c r="G314" t="inlineStr">
        <is>
          <t>2022 F</t>
        </is>
      </c>
      <c r="H314" t="inlineStr"/>
      <c r="I314" t="inlineStr">
        <is>
          <t>General</t>
        </is>
      </c>
      <c r="J314" t="b">
        <v>1</v>
      </c>
      <c r="K314" t="b">
        <v>0</v>
      </c>
      <c r="L314" t="n">
        <v>11</v>
      </c>
      <c r="M314" t="inlineStr">
        <is>
          <t>Values must be of type &lt;class 'str'&gt;</t>
        </is>
      </c>
      <c r="N314" t="inlineStr">
        <is>
          <t>Values must be of type &lt;class 'str'&gt;</t>
        </is>
      </c>
      <c r="O314" t="inlineStr">
        <is>
          <t>center</t>
        </is>
      </c>
      <c r="P314" t="inlineStr">
        <is>
          <t>center</t>
        </is>
      </c>
      <c r="R314" t="b">
        <v>1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Asset schedule</t>
        </is>
      </c>
      <c r="B315" t="inlineStr">
        <is>
          <t>A34</t>
        </is>
      </c>
      <c r="C315" t="n">
        <v>34</v>
      </c>
      <c r="D315" t="n">
        <v>1</v>
      </c>
      <c r="E315" t="inlineStr">
        <is>
          <t>Input</t>
        </is>
      </c>
      <c r="F315" t="n">
        <v/>
      </c>
      <c r="G315" t="inlineStr">
        <is>
          <t>Opening balance</t>
        </is>
      </c>
      <c r="H315" t="inlineStr"/>
      <c r="I315" t="inlineStr">
        <is>
          <t>General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Asset schedule</t>
        </is>
      </c>
      <c r="B316" t="inlineStr">
        <is>
          <t>D34</t>
        </is>
      </c>
      <c r="C316" t="n">
        <v>34</v>
      </c>
      <c r="D316" t="n">
        <v>4</v>
      </c>
      <c r="E316" t="inlineStr">
        <is>
          <t>Input</t>
        </is>
      </c>
      <c r="F316" t="n">
        <v/>
      </c>
      <c r="G316" t="n">
        <v>5264.32</v>
      </c>
      <c r="H316" t="inlineStr"/>
      <c r="I316" t="inlineStr">
        <is>
          <t>General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Asset schedule</t>
        </is>
      </c>
      <c r="B317" t="inlineStr">
        <is>
          <t>E34</t>
        </is>
      </c>
      <c r="C317" t="n">
        <v>34</v>
      </c>
      <c r="D317" t="n">
        <v>5</v>
      </c>
      <c r="E317" t="inlineStr">
        <is>
          <t>Calculation</t>
        </is>
      </c>
      <c r="F317" t="inlineStr">
        <is>
          <t>'=D38</t>
        </is>
      </c>
      <c r="G317" t="n">
        <v>4984.63</v>
      </c>
      <c r="H317" t="inlineStr"/>
      <c r="I317" t="inlineStr">
        <is>
          <t>General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inlineStr">
        <is>
          <t>G000082</t>
        </is>
      </c>
      <c r="T317" t="inlineStr">
        <is>
          <t>Horizontal</t>
        </is>
      </c>
      <c r="U317" t="n">
        <v>5</v>
      </c>
      <c r="V317" t="b">
        <v>1</v>
      </c>
      <c r="W317" t="inlineStr">
        <is>
          <t>Asset schedule!E34:I34</t>
        </is>
      </c>
      <c r="X317">
        <f>R[4]C[-1]</f>
        <v/>
      </c>
    </row>
    <row r="318">
      <c r="A318" t="inlineStr">
        <is>
          <t>Asset schedule</t>
        </is>
      </c>
      <c r="B318" t="inlineStr">
        <is>
          <t>F34</t>
        </is>
      </c>
      <c r="C318" t="n">
        <v>34</v>
      </c>
      <c r="D318" t="n">
        <v>6</v>
      </c>
      <c r="E318" t="inlineStr">
        <is>
          <t>Calculation</t>
        </is>
      </c>
      <c r="F318" t="inlineStr">
        <is>
          <t>'=E38</t>
        </is>
      </c>
      <c r="G318" t="n">
        <v>4789.876427870993</v>
      </c>
      <c r="H318" t="inlineStr"/>
      <c r="I318" t="inlineStr">
        <is>
          <t>General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inlineStr">
        <is>
          <t>G000082</t>
        </is>
      </c>
      <c r="T318" t="inlineStr">
        <is>
          <t>Horizontal</t>
        </is>
      </c>
      <c r="U318" t="n">
        <v>5</v>
      </c>
      <c r="V318" t="b">
        <v>1</v>
      </c>
      <c r="W318" t="inlineStr">
        <is>
          <t>Asset schedule!E34:I34</t>
        </is>
      </c>
      <c r="X318">
        <f>R[4]C[-1]</f>
        <v/>
      </c>
    </row>
    <row r="319">
      <c r="A319" t="inlineStr">
        <is>
          <t>Asset schedule</t>
        </is>
      </c>
      <c r="B319" t="inlineStr">
        <is>
          <t>G34</t>
        </is>
      </c>
      <c r="C319" t="n">
        <v>34</v>
      </c>
      <c r="D319" t="n">
        <v>7</v>
      </c>
      <c r="E319" t="inlineStr">
        <is>
          <t>Calculation</t>
        </is>
      </c>
      <c r="F319" t="inlineStr">
        <is>
          <t>'=F38</t>
        </is>
      </c>
      <c r="G319" t="n">
        <v>4633.987457821441</v>
      </c>
      <c r="H319" t="inlineStr"/>
      <c r="I319" t="inlineStr">
        <is>
          <t>General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n">
        <v/>
      </c>
      <c r="P319" t="n">
        <v/>
      </c>
      <c r="R319" t="b">
        <v>1</v>
      </c>
      <c r="S319" t="inlineStr">
        <is>
          <t>G000082</t>
        </is>
      </c>
      <c r="T319" t="inlineStr">
        <is>
          <t>Horizontal</t>
        </is>
      </c>
      <c r="U319" t="n">
        <v>5</v>
      </c>
      <c r="V319" t="b">
        <v>1</v>
      </c>
      <c r="W319" t="inlineStr">
        <is>
          <t>Asset schedule!E34:I34</t>
        </is>
      </c>
      <c r="X319">
        <f>R[4]C[-1]</f>
        <v/>
      </c>
    </row>
    <row r="320">
      <c r="A320" t="inlineStr">
        <is>
          <t>Asset schedule</t>
        </is>
      </c>
      <c r="B320" t="inlineStr">
        <is>
          <t>H34</t>
        </is>
      </c>
      <c r="C320" t="n">
        <v>34</v>
      </c>
      <c r="D320" t="n">
        <v>8</v>
      </c>
      <c r="E320" t="inlineStr">
        <is>
          <t>Calculation</t>
        </is>
      </c>
      <c r="F320" t="inlineStr">
        <is>
          <t>'=G38</t>
        </is>
      </c>
      <c r="G320" t="n">
        <v>4514.709606875374</v>
      </c>
      <c r="H320" t="inlineStr"/>
      <c r="I320" t="inlineStr">
        <is>
          <t>General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inlineStr">
        <is>
          <t>G000082</t>
        </is>
      </c>
      <c r="T320" t="inlineStr">
        <is>
          <t>Horizontal</t>
        </is>
      </c>
      <c r="U320" t="n">
        <v>5</v>
      </c>
      <c r="V320" t="b">
        <v>1</v>
      </c>
      <c r="W320" t="inlineStr">
        <is>
          <t>Asset schedule!E34:I34</t>
        </is>
      </c>
      <c r="X320">
        <f>R[4]C[-1]</f>
        <v/>
      </c>
    </row>
    <row r="321">
      <c r="A321" t="inlineStr">
        <is>
          <t>Asset schedule</t>
        </is>
      </c>
      <c r="B321" t="inlineStr">
        <is>
          <t>I34</t>
        </is>
      </c>
      <c r="C321" t="n">
        <v>34</v>
      </c>
      <c r="D321" t="n">
        <v>9</v>
      </c>
      <c r="E321" t="inlineStr">
        <is>
          <t>Calculation</t>
        </is>
      </c>
      <c r="F321" t="inlineStr">
        <is>
          <t>'=H38</t>
        </is>
      </c>
      <c r="G321" t="n">
        <v>4430.087134880485</v>
      </c>
      <c r="H321" t="inlineStr"/>
      <c r="I321" t="inlineStr">
        <is>
          <t>General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inlineStr">
        <is>
          <t>G000082</t>
        </is>
      </c>
      <c r="T321" t="inlineStr">
        <is>
          <t>Horizontal</t>
        </is>
      </c>
      <c r="U321" t="n">
        <v>5</v>
      </c>
      <c r="V321" t="b">
        <v>1</v>
      </c>
      <c r="W321" t="inlineStr">
        <is>
          <t>Asset schedule!E34:I34</t>
        </is>
      </c>
      <c r="X321">
        <f>R[4]C[-1]</f>
        <v/>
      </c>
    </row>
    <row r="322">
      <c r="A322" t="inlineStr">
        <is>
          <t>Asset schedule</t>
        </is>
      </c>
      <c r="B322" t="inlineStr">
        <is>
          <t>A35</t>
        </is>
      </c>
      <c r="C322" t="n">
        <v>35</v>
      </c>
      <c r="D322" t="n">
        <v>1</v>
      </c>
      <c r="E322" t="inlineStr">
        <is>
          <t>Input</t>
        </is>
      </c>
      <c r="F322" t="n">
        <v/>
      </c>
      <c r="G322" t="inlineStr">
        <is>
          <t>Add: purchase during the year</t>
        </is>
      </c>
      <c r="H322" t="inlineStr"/>
      <c r="I322" t="inlineStr">
        <is>
          <t>General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1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Asset schedule</t>
        </is>
      </c>
      <c r="B323" t="inlineStr">
        <is>
          <t>D35</t>
        </is>
      </c>
      <c r="C323" t="n">
        <v>35</v>
      </c>
      <c r="D323" t="n">
        <v>4</v>
      </c>
      <c r="E323" t="inlineStr">
        <is>
          <t>Input</t>
        </is>
      </c>
      <c r="F323" t="n">
        <v/>
      </c>
      <c r="G323" t="n">
        <v>252.46</v>
      </c>
      <c r="H323" t="inlineStr"/>
      <c r="I323" t="inlineStr">
        <is>
          <t>General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  <row r="324">
      <c r="A324" t="inlineStr">
        <is>
          <t>Asset schedule</t>
        </is>
      </c>
      <c r="B324" t="inlineStr">
        <is>
          <t>E35</t>
        </is>
      </c>
      <c r="C324" t="n">
        <v>35</v>
      </c>
      <c r="D324" t="n">
        <v>5</v>
      </c>
      <c r="E324" t="inlineStr">
        <is>
          <t>Calculation</t>
        </is>
      </c>
      <c r="F324" t="inlineStr">
        <is>
          <t>'=INDEX($L$4:$T$15,MATCH($A33,$L$4:$L$15,0),MATCH(E33,$L$4:$T$4,0))</t>
        </is>
      </c>
      <c r="G324" t="n">
        <v>271.7939620253165</v>
      </c>
      <c r="H324" t="inlineStr"/>
      <c r="I324" t="inlineStr">
        <is>
          <t>0.0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inlineStr">
        <is>
          <t>G000094</t>
        </is>
      </c>
      <c r="T324" t="inlineStr">
        <is>
          <t>Horizontal</t>
        </is>
      </c>
      <c r="U324" t="n">
        <v>5</v>
      </c>
      <c r="V324" t="b">
        <v>1</v>
      </c>
      <c r="W324" t="inlineStr">
        <is>
          <t>Asset schedule!E35:I35</t>
        </is>
      </c>
      <c r="X324">
        <f>INDEX(R4C12:R15C20,MATCH(R[-2]C1,R4C12:R15C12,0),MATCH(R[-2]C[0],R4C12:R4C20,0))</f>
        <v/>
      </c>
    </row>
    <row r="325">
      <c r="A325" t="inlineStr">
        <is>
          <t>Asset schedule</t>
        </is>
      </c>
      <c r="B325" t="inlineStr">
        <is>
          <t>F35</t>
        </is>
      </c>
      <c r="C325" t="n">
        <v>35</v>
      </c>
      <c r="D325" t="n">
        <v>6</v>
      </c>
      <c r="E325" t="inlineStr">
        <is>
          <t>Calculation</t>
        </is>
      </c>
      <c r="F325" t="inlineStr">
        <is>
          <t>'=INDEX($L$4:$T$15,MATCH($A33,$L$4:$L$15,0),MATCH(F33,$L$4:$T$4,0))</t>
        </is>
      </c>
      <c r="G325" t="n">
        <v>292.4301702531646</v>
      </c>
      <c r="H325" t="inlineStr"/>
      <c r="I325" t="inlineStr">
        <is>
          <t>0.0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inlineStr">
        <is>
          <t>G000094</t>
        </is>
      </c>
      <c r="T325" t="inlineStr">
        <is>
          <t>Horizontal</t>
        </is>
      </c>
      <c r="U325" t="n">
        <v>5</v>
      </c>
      <c r="V325" t="b">
        <v>1</v>
      </c>
      <c r="W325" t="inlineStr">
        <is>
          <t>Asset schedule!E35:I35</t>
        </is>
      </c>
      <c r="X325">
        <f>INDEX(R4C12:R15C20,MATCH(R[-2]C1,R4C12:R15C12,0),MATCH(R[-2]C[0],R4C12:R4C20,0))</f>
        <v/>
      </c>
    </row>
    <row r="326">
      <c r="A326" t="inlineStr">
        <is>
          <t>Asset schedule</t>
        </is>
      </c>
      <c r="B326" t="inlineStr">
        <is>
          <t>G35</t>
        </is>
      </c>
      <c r="C326" t="n">
        <v>35</v>
      </c>
      <c r="D326" t="n">
        <v>7</v>
      </c>
      <c r="E326" t="inlineStr">
        <is>
          <t>Calculation</t>
        </is>
      </c>
      <c r="F326" t="inlineStr">
        <is>
          <t>'=INDEX($L$4:$T$15,MATCH($A33,$L$4:$L$15,0),MATCH(G33,$L$4:$T$4,0))</t>
        </is>
      </c>
      <c r="G326" t="n">
        <v>314.4505143987342</v>
      </c>
      <c r="H326" t="inlineStr"/>
      <c r="I326" t="inlineStr">
        <is>
          <t>0.0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inlineStr">
        <is>
          <t>G000094</t>
        </is>
      </c>
      <c r="T326" t="inlineStr">
        <is>
          <t>Horizontal</t>
        </is>
      </c>
      <c r="U326" t="n">
        <v>5</v>
      </c>
      <c r="V326" t="b">
        <v>1</v>
      </c>
      <c r="W326" t="inlineStr">
        <is>
          <t>Asset schedule!E35:I35</t>
        </is>
      </c>
      <c r="X326">
        <f>INDEX(R4C12:R15C20,MATCH(R[-2]C1,R4C12:R15C12,0),MATCH(R[-2]C[0],R4C12:R4C20,0))</f>
        <v/>
      </c>
    </row>
    <row r="327">
      <c r="A327" t="inlineStr">
        <is>
          <t>Asset schedule</t>
        </is>
      </c>
      <c r="B327" t="inlineStr">
        <is>
          <t>H35</t>
        </is>
      </c>
      <c r="C327" t="n">
        <v>35</v>
      </c>
      <c r="D327" t="n">
        <v>8</v>
      </c>
      <c r="E327" t="inlineStr">
        <is>
          <t>Calculation</t>
        </is>
      </c>
      <c r="F327" t="inlineStr">
        <is>
          <t>'=INDEX($L$4:$T$15,MATCH($A33,$L$4:$L$15,0),MATCH(H33,$L$4:$T$4,0))</t>
        </is>
      </c>
      <c r="G327" t="n">
        <v>337.9418175332279</v>
      </c>
      <c r="H327" t="inlineStr"/>
      <c r="I327" t="inlineStr">
        <is>
          <t>0.0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n">
        <v/>
      </c>
      <c r="P327" t="n">
        <v/>
      </c>
      <c r="R327" t="b">
        <v>1</v>
      </c>
      <c r="S327" t="inlineStr">
        <is>
          <t>G000094</t>
        </is>
      </c>
      <c r="T327" t="inlineStr">
        <is>
          <t>Horizontal</t>
        </is>
      </c>
      <c r="U327" t="n">
        <v>5</v>
      </c>
      <c r="V327" t="b">
        <v>1</v>
      </c>
      <c r="W327" t="inlineStr">
        <is>
          <t>Asset schedule!E35:I35</t>
        </is>
      </c>
      <c r="X327">
        <f>INDEX(R4C12:R15C20,MATCH(R[-2]C1,R4C12:R15C12,0),MATCH(R[-2]C[0],R4C12:R4C20,0))</f>
        <v/>
      </c>
    </row>
    <row r="328">
      <c r="A328" t="inlineStr">
        <is>
          <t>Asset schedule</t>
        </is>
      </c>
      <c r="B328" t="inlineStr">
        <is>
          <t>I35</t>
        </is>
      </c>
      <c r="C328" t="n">
        <v>35</v>
      </c>
      <c r="D328" t="n">
        <v>9</v>
      </c>
      <c r="E328" t="inlineStr">
        <is>
          <t>Calculation</t>
        </is>
      </c>
      <c r="F328" t="inlineStr">
        <is>
          <t>'=INDEX($L$4:$T$15,MATCH($A33,$L$4:$L$15,0),MATCH(I33,$L$4:$T$4,0))</t>
        </is>
      </c>
      <c r="G328" t="n">
        <v>362.9961246951742</v>
      </c>
      <c r="H328" t="inlineStr"/>
      <c r="I328" t="inlineStr">
        <is>
          <t>0.0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1</v>
      </c>
      <c r="S328" t="inlineStr">
        <is>
          <t>G000094</t>
        </is>
      </c>
      <c r="T328" t="inlineStr">
        <is>
          <t>Horizontal</t>
        </is>
      </c>
      <c r="U328" t="n">
        <v>5</v>
      </c>
      <c r="V328" t="b">
        <v>1</v>
      </c>
      <c r="W328" t="inlineStr">
        <is>
          <t>Asset schedule!E35:I35</t>
        </is>
      </c>
      <c r="X328">
        <f>INDEX(R4C12:R15C20,MATCH(R[-2]C1,R4C12:R15C12,0),MATCH(R[-2]C[0],R4C12:R4C20,0))</f>
        <v/>
      </c>
    </row>
    <row r="329">
      <c r="A329" t="inlineStr">
        <is>
          <t>Asset schedule</t>
        </is>
      </c>
      <c r="B329" t="inlineStr">
        <is>
          <t>A36</t>
        </is>
      </c>
      <c r="C329" t="n">
        <v>36</v>
      </c>
      <c r="D329" t="n">
        <v>1</v>
      </c>
      <c r="E329" t="inlineStr">
        <is>
          <t>Input</t>
        </is>
      </c>
      <c r="F329" t="n">
        <v/>
      </c>
      <c r="G329" t="inlineStr">
        <is>
          <t>Less: Sale during the year</t>
        </is>
      </c>
      <c r="H329" t="inlineStr"/>
      <c r="I329" t="inlineStr">
        <is>
          <t>General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n">
        <v/>
      </c>
      <c r="T329" t="n">
        <v/>
      </c>
      <c r="U329" t="n">
        <v/>
      </c>
      <c r="V329" t="b">
        <v>0</v>
      </c>
      <c r="W329" t="inlineStr"/>
      <c r="X329" t="n">
        <v/>
      </c>
    </row>
    <row r="330">
      <c r="A330" t="inlineStr">
        <is>
          <t>Asset schedule</t>
        </is>
      </c>
      <c r="B330" t="inlineStr">
        <is>
          <t>D36</t>
        </is>
      </c>
      <c r="C330" t="n">
        <v>36</v>
      </c>
      <c r="D330" t="n">
        <v>4</v>
      </c>
      <c r="E330" t="inlineStr">
        <is>
          <t>Input</t>
        </is>
      </c>
      <c r="F330" t="n">
        <v/>
      </c>
      <c r="G330" t="n">
        <v>22.6</v>
      </c>
      <c r="H330" t="inlineStr"/>
      <c r="I330" t="inlineStr">
        <is>
          <t>General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n">
        <v/>
      </c>
      <c r="T330" t="n">
        <v/>
      </c>
      <c r="U330" t="n">
        <v/>
      </c>
      <c r="V330" t="b">
        <v>0</v>
      </c>
      <c r="W330" t="inlineStr"/>
      <c r="X330" t="n">
        <v/>
      </c>
    </row>
    <row r="331">
      <c r="A331" t="inlineStr">
        <is>
          <t>Asset schedule</t>
        </is>
      </c>
      <c r="B331" t="inlineStr">
        <is>
          <t>E36</t>
        </is>
      </c>
      <c r="C331" t="n">
        <v>36</v>
      </c>
      <c r="D331" t="n">
        <v>5</v>
      </c>
      <c r="E331" t="inlineStr">
        <is>
          <t>Input</t>
        </is>
      </c>
      <c r="F331" t="n">
        <v/>
      </c>
      <c r="G331" t="n">
        <v>0</v>
      </c>
      <c r="H331" t="inlineStr"/>
      <c r="I331" t="inlineStr">
        <is>
          <t>General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n">
        <v/>
      </c>
      <c r="T331" t="n">
        <v/>
      </c>
      <c r="U331" t="n">
        <v/>
      </c>
      <c r="V331" t="b">
        <v>0</v>
      </c>
      <c r="W331" t="inlineStr"/>
      <c r="X331" t="n">
        <v/>
      </c>
    </row>
    <row r="332">
      <c r="A332" t="inlineStr">
        <is>
          <t>Asset schedule</t>
        </is>
      </c>
      <c r="B332" t="inlineStr">
        <is>
          <t>F36</t>
        </is>
      </c>
      <c r="C332" t="n">
        <v>36</v>
      </c>
      <c r="D332" t="n">
        <v>6</v>
      </c>
      <c r="E332" t="inlineStr">
        <is>
          <t>Input</t>
        </is>
      </c>
      <c r="F332" t="n">
        <v/>
      </c>
      <c r="G332" t="n">
        <v>0</v>
      </c>
      <c r="H332" t="inlineStr"/>
      <c r="I332" t="inlineStr">
        <is>
          <t>General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n">
        <v/>
      </c>
      <c r="T332" t="n">
        <v/>
      </c>
      <c r="U332" t="n">
        <v/>
      </c>
      <c r="V332" t="b">
        <v>0</v>
      </c>
      <c r="W332" t="inlineStr"/>
      <c r="X332" t="n">
        <v/>
      </c>
    </row>
    <row r="333">
      <c r="A333" t="inlineStr">
        <is>
          <t>Asset schedule</t>
        </is>
      </c>
      <c r="B333" t="inlineStr">
        <is>
          <t>G36</t>
        </is>
      </c>
      <c r="C333" t="n">
        <v>36</v>
      </c>
      <c r="D333" t="n">
        <v>7</v>
      </c>
      <c r="E333" t="inlineStr">
        <is>
          <t>Input</t>
        </is>
      </c>
      <c r="F333" t="n">
        <v/>
      </c>
      <c r="G333" t="n">
        <v>0</v>
      </c>
      <c r="H333" t="inlineStr"/>
      <c r="I333" t="inlineStr">
        <is>
          <t>General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n">
        <v/>
      </c>
      <c r="T333" t="n">
        <v/>
      </c>
      <c r="U333" t="n">
        <v/>
      </c>
      <c r="V333" t="b">
        <v>0</v>
      </c>
      <c r="W333" t="inlineStr"/>
      <c r="X333" t="n">
        <v/>
      </c>
    </row>
    <row r="334">
      <c r="A334" t="inlineStr">
        <is>
          <t>Asset schedule</t>
        </is>
      </c>
      <c r="B334" t="inlineStr">
        <is>
          <t>H36</t>
        </is>
      </c>
      <c r="C334" t="n">
        <v>36</v>
      </c>
      <c r="D334" t="n">
        <v>8</v>
      </c>
      <c r="E334" t="inlineStr">
        <is>
          <t>Input</t>
        </is>
      </c>
      <c r="F334" t="n">
        <v/>
      </c>
      <c r="G334" t="n">
        <v>0</v>
      </c>
      <c r="H334" t="inlineStr"/>
      <c r="I334" t="inlineStr">
        <is>
          <t>General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Asset schedule</t>
        </is>
      </c>
      <c r="B335" t="inlineStr">
        <is>
          <t>I36</t>
        </is>
      </c>
      <c r="C335" t="n">
        <v>36</v>
      </c>
      <c r="D335" t="n">
        <v>9</v>
      </c>
      <c r="E335" t="inlineStr">
        <is>
          <t>Input</t>
        </is>
      </c>
      <c r="F335" t="n">
        <v/>
      </c>
      <c r="G335" t="n">
        <v>0</v>
      </c>
      <c r="H335" t="inlineStr"/>
      <c r="I335" t="inlineStr">
        <is>
          <t>General</t>
        </is>
      </c>
      <c r="J335" t="b">
        <v>0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Asset schedule</t>
        </is>
      </c>
      <c r="B336" t="inlineStr">
        <is>
          <t>A37</t>
        </is>
      </c>
      <c r="C336" t="n">
        <v>37</v>
      </c>
      <c r="D336" t="n">
        <v>1</v>
      </c>
      <c r="E336" t="inlineStr">
        <is>
          <t>Input</t>
        </is>
      </c>
      <c r="F336" t="n">
        <v/>
      </c>
      <c r="G336" t="inlineStr">
        <is>
          <t>Less: Dep</t>
        </is>
      </c>
      <c r="H336" t="inlineStr"/>
      <c r="I336" t="inlineStr">
        <is>
          <t>General</t>
        </is>
      </c>
      <c r="J336" t="b">
        <v>0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1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Asset schedule</t>
        </is>
      </c>
      <c r="B337" t="inlineStr">
        <is>
          <t>D37</t>
        </is>
      </c>
      <c r="C337" t="n">
        <v>37</v>
      </c>
      <c r="D337" t="n">
        <v>4</v>
      </c>
      <c r="E337" t="inlineStr">
        <is>
          <t>Input</t>
        </is>
      </c>
      <c r="F337" t="n">
        <v/>
      </c>
      <c r="G337" t="n">
        <v>514.24</v>
      </c>
      <c r="H337" t="inlineStr"/>
      <c r="I337" t="inlineStr">
        <is>
          <t>General</t>
        </is>
      </c>
      <c r="J337" t="b">
        <v>0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n">
        <v/>
      </c>
      <c r="T337" t="n">
        <v/>
      </c>
      <c r="U337" t="n">
        <v/>
      </c>
      <c r="V337" t="b">
        <v>0</v>
      </c>
      <c r="W337" t="inlineStr"/>
      <c r="X337" t="n">
        <v/>
      </c>
    </row>
    <row r="338">
      <c r="A338" t="inlineStr">
        <is>
          <t>Asset schedule</t>
        </is>
      </c>
      <c r="B338" t="inlineStr">
        <is>
          <t>E37</t>
        </is>
      </c>
      <c r="C338" t="n">
        <v>37</v>
      </c>
      <c r="D338" t="n">
        <v>5</v>
      </c>
      <c r="E338" t="inlineStr">
        <is>
          <t>Calculation</t>
        </is>
      </c>
      <c r="F338" t="inlineStr">
        <is>
          <t>'=E34*$B39</t>
        </is>
      </c>
      <c r="G338" t="n">
        <v>466.5475341543233</v>
      </c>
      <c r="H338" t="inlineStr"/>
      <c r="I338" t="inlineStr">
        <is>
          <t>0.0</t>
        </is>
      </c>
      <c r="J338" t="b">
        <v>0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inlineStr">
        <is>
          <t>G000105</t>
        </is>
      </c>
      <c r="T338" t="inlineStr">
        <is>
          <t>Horizontal</t>
        </is>
      </c>
      <c r="U338" t="n">
        <v>5</v>
      </c>
      <c r="V338" t="b">
        <v>1</v>
      </c>
      <c r="W338" t="inlineStr">
        <is>
          <t>Asset schedule!E37:I37</t>
        </is>
      </c>
      <c r="X338">
        <f>R[-3]C[0]*R[2]C2</f>
        <v/>
      </c>
    </row>
    <row r="339">
      <c r="A339" t="inlineStr">
        <is>
          <t>Asset schedule</t>
        </is>
      </c>
      <c r="B339" t="inlineStr">
        <is>
          <t>F37</t>
        </is>
      </c>
      <c r="C339" t="n">
        <v>37</v>
      </c>
      <c r="D339" t="n">
        <v>6</v>
      </c>
      <c r="E339" t="inlineStr">
        <is>
          <t>Calculation</t>
        </is>
      </c>
      <c r="F339" t="inlineStr">
        <is>
          <t>'=F34*$B39</t>
        </is>
      </c>
      <c r="G339" t="n">
        <v>448.3191403027166</v>
      </c>
      <c r="H339" t="inlineStr"/>
      <c r="I339" t="inlineStr">
        <is>
          <t>0.0</t>
        </is>
      </c>
      <c r="J339" t="b">
        <v>0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inlineStr">
        <is>
          <t>G000105</t>
        </is>
      </c>
      <c r="T339" t="inlineStr">
        <is>
          <t>Horizontal</t>
        </is>
      </c>
      <c r="U339" t="n">
        <v>5</v>
      </c>
      <c r="V339" t="b">
        <v>1</v>
      </c>
      <c r="W339" t="inlineStr">
        <is>
          <t>Asset schedule!E37:I37</t>
        </is>
      </c>
      <c r="X339">
        <f>R[-3]C[0]*R[2]C2</f>
        <v/>
      </c>
    </row>
    <row r="340">
      <c r="A340" t="inlineStr">
        <is>
          <t>Asset schedule</t>
        </is>
      </c>
      <c r="B340" t="inlineStr">
        <is>
          <t>G37</t>
        </is>
      </c>
      <c r="C340" t="n">
        <v>37</v>
      </c>
      <c r="D340" t="n">
        <v>7</v>
      </c>
      <c r="E340" t="inlineStr">
        <is>
          <t>Calculation</t>
        </is>
      </c>
      <c r="F340" t="inlineStr">
        <is>
          <t>'=G34*$B39</t>
        </is>
      </c>
      <c r="G340" t="n">
        <v>433.7283653448009</v>
      </c>
      <c r="H340" t="inlineStr"/>
      <c r="I340" t="inlineStr">
        <is>
          <t>0.0</t>
        </is>
      </c>
      <c r="J340" t="b">
        <v>0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inlineStr">
        <is>
          <t>G000105</t>
        </is>
      </c>
      <c r="T340" t="inlineStr">
        <is>
          <t>Horizontal</t>
        </is>
      </c>
      <c r="U340" t="n">
        <v>5</v>
      </c>
      <c r="V340" t="b">
        <v>1</v>
      </c>
      <c r="W340" t="inlineStr">
        <is>
          <t>Asset schedule!E37:I37</t>
        </is>
      </c>
      <c r="X340">
        <f>R[-3]C[0]*R[2]C2</f>
        <v/>
      </c>
    </row>
    <row r="341">
      <c r="A341" t="inlineStr">
        <is>
          <t>Asset schedule</t>
        </is>
      </c>
      <c r="B341" t="inlineStr">
        <is>
          <t>H37</t>
        </is>
      </c>
      <c r="C341" t="n">
        <v>37</v>
      </c>
      <c r="D341" t="n">
        <v>8</v>
      </c>
      <c r="E341" t="inlineStr">
        <is>
          <t>Calculation</t>
        </is>
      </c>
      <c r="F341" t="inlineStr">
        <is>
          <t>'=H34*$B39</t>
        </is>
      </c>
      <c r="G341" t="n">
        <v>422.5642895281175</v>
      </c>
      <c r="H341" t="inlineStr"/>
      <c r="I341" t="inlineStr">
        <is>
          <t>0.0</t>
        </is>
      </c>
      <c r="J341" t="b">
        <v>0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inlineStr">
        <is>
          <t>G000105</t>
        </is>
      </c>
      <c r="T341" t="inlineStr">
        <is>
          <t>Horizontal</t>
        </is>
      </c>
      <c r="U341" t="n">
        <v>5</v>
      </c>
      <c r="V341" t="b">
        <v>1</v>
      </c>
      <c r="W341" t="inlineStr">
        <is>
          <t>Asset schedule!E37:I37</t>
        </is>
      </c>
      <c r="X341">
        <f>R[-3]C[0]*R[2]C2</f>
        <v/>
      </c>
    </row>
    <row r="342">
      <c r="A342" t="inlineStr">
        <is>
          <t>Asset schedule</t>
        </is>
      </c>
      <c r="B342" t="inlineStr">
        <is>
          <t>I37</t>
        </is>
      </c>
      <c r="C342" t="n">
        <v>37</v>
      </c>
      <c r="D342" t="n">
        <v>9</v>
      </c>
      <c r="E342" t="inlineStr">
        <is>
          <t>Calculation</t>
        </is>
      </c>
      <c r="F342" t="inlineStr">
        <is>
          <t>'=I34*$B39</t>
        </is>
      </c>
      <c r="G342" t="n">
        <v>414.643861002177</v>
      </c>
      <c r="H342" t="inlineStr"/>
      <c r="I342" t="inlineStr">
        <is>
          <t>0.0</t>
        </is>
      </c>
      <c r="J342" t="b">
        <v>0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inlineStr">
        <is>
          <t>G000105</t>
        </is>
      </c>
      <c r="T342" t="inlineStr">
        <is>
          <t>Horizontal</t>
        </is>
      </c>
      <c r="U342" t="n">
        <v>5</v>
      </c>
      <c r="V342" t="b">
        <v>1</v>
      </c>
      <c r="W342" t="inlineStr">
        <is>
          <t>Asset schedule!E37:I37</t>
        </is>
      </c>
      <c r="X342">
        <f>R[-3]C[0]*R[2]C2</f>
        <v/>
      </c>
    </row>
    <row r="343">
      <c r="A343" t="inlineStr">
        <is>
          <t>Asset schedule</t>
        </is>
      </c>
      <c r="B343" t="inlineStr">
        <is>
          <t>A38</t>
        </is>
      </c>
      <c r="C343" t="n">
        <v>38</v>
      </c>
      <c r="D343" t="n">
        <v>1</v>
      </c>
      <c r="E343" t="inlineStr">
        <is>
          <t>Input</t>
        </is>
      </c>
      <c r="F343" t="n">
        <v/>
      </c>
      <c r="G343" t="inlineStr">
        <is>
          <t>Closing balance</t>
        </is>
      </c>
      <c r="H343" t="inlineStr"/>
      <c r="I343" t="inlineStr">
        <is>
          <t>General</t>
        </is>
      </c>
      <c r="J343" t="b">
        <v>0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n">
        <v/>
      </c>
      <c r="T343" t="n">
        <v/>
      </c>
      <c r="U343" t="n">
        <v/>
      </c>
      <c r="V343" t="b">
        <v>0</v>
      </c>
      <c r="W343" t="inlineStr"/>
      <c r="X343" t="n">
        <v/>
      </c>
    </row>
    <row r="344">
      <c r="A344" t="inlineStr">
        <is>
          <t>Asset schedule</t>
        </is>
      </c>
      <c r="B344" t="inlineStr">
        <is>
          <t>D38</t>
        </is>
      </c>
      <c r="C344" t="n">
        <v>38</v>
      </c>
      <c r="D344" t="n">
        <v>4</v>
      </c>
      <c r="E344" t="inlineStr">
        <is>
          <t>Input</t>
        </is>
      </c>
      <c r="F344" t="n">
        <v/>
      </c>
      <c r="G344" t="n">
        <v>4984.63</v>
      </c>
      <c r="H344" t="inlineStr"/>
      <c r="I344" t="inlineStr">
        <is>
          <t>General</t>
        </is>
      </c>
      <c r="J344" t="b">
        <v>0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Asset schedule</t>
        </is>
      </c>
      <c r="B345" t="inlineStr">
        <is>
          <t>E38</t>
        </is>
      </c>
      <c r="C345" t="n">
        <v>38</v>
      </c>
      <c r="D345" t="n">
        <v>5</v>
      </c>
      <c r="E345" t="inlineStr">
        <is>
          <t>Calculation</t>
        </is>
      </c>
      <c r="F345" t="inlineStr">
        <is>
          <t>'=E34+E35-E36-E37</t>
        </is>
      </c>
      <c r="G345" t="n">
        <v>4789.876427870993</v>
      </c>
      <c r="H345" t="inlineStr"/>
      <c r="I345" t="inlineStr">
        <is>
          <t>0.00</t>
        </is>
      </c>
      <c r="J345" t="b">
        <v>0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1</v>
      </c>
      <c r="S345" t="inlineStr">
        <is>
          <t>G000129</t>
        </is>
      </c>
      <c r="T345" t="inlineStr">
        <is>
          <t>Horizontal</t>
        </is>
      </c>
      <c r="U345" t="n">
        <v>5</v>
      </c>
      <c r="V345" t="b">
        <v>1</v>
      </c>
      <c r="W345" t="inlineStr">
        <is>
          <t>Asset schedule!E38:I38</t>
        </is>
      </c>
      <c r="X345">
        <f>R[-4]C[0]+R[-3]C[0]-R[-2]C[0]-R[-1]C[0]</f>
        <v/>
      </c>
    </row>
    <row r="346">
      <c r="A346" t="inlineStr">
        <is>
          <t>Asset schedule</t>
        </is>
      </c>
      <c r="B346" t="inlineStr">
        <is>
          <t>F38</t>
        </is>
      </c>
      <c r="C346" t="n">
        <v>38</v>
      </c>
      <c r="D346" t="n">
        <v>6</v>
      </c>
      <c r="E346" t="inlineStr">
        <is>
          <t>Calculation</t>
        </is>
      </c>
      <c r="F346" t="inlineStr">
        <is>
          <t>'=F34+F35-F36-F37</t>
        </is>
      </c>
      <c r="G346" t="n">
        <v>4633.987457821441</v>
      </c>
      <c r="H346" t="inlineStr"/>
      <c r="I346" t="inlineStr">
        <is>
          <t>0.00</t>
        </is>
      </c>
      <c r="J346" t="b">
        <v>0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inlineStr">
        <is>
          <t>G000129</t>
        </is>
      </c>
      <c r="T346" t="inlineStr">
        <is>
          <t>Horizontal</t>
        </is>
      </c>
      <c r="U346" t="n">
        <v>5</v>
      </c>
      <c r="V346" t="b">
        <v>1</v>
      </c>
      <c r="W346" t="inlineStr">
        <is>
          <t>Asset schedule!E38:I38</t>
        </is>
      </c>
      <c r="X346">
        <f>R[-4]C[0]+R[-3]C[0]-R[-2]C[0]-R[-1]C[0]</f>
        <v/>
      </c>
    </row>
    <row r="347">
      <c r="A347" t="inlineStr">
        <is>
          <t>Asset schedule</t>
        </is>
      </c>
      <c r="B347" t="inlineStr">
        <is>
          <t>G38</t>
        </is>
      </c>
      <c r="C347" t="n">
        <v>38</v>
      </c>
      <c r="D347" t="n">
        <v>7</v>
      </c>
      <c r="E347" t="inlineStr">
        <is>
          <t>Calculation</t>
        </is>
      </c>
      <c r="F347" t="inlineStr">
        <is>
          <t>'=G34+G35-G36-G37</t>
        </is>
      </c>
      <c r="G347" t="n">
        <v>4514.709606875374</v>
      </c>
      <c r="H347" t="inlineStr"/>
      <c r="I347" t="inlineStr">
        <is>
          <t>0.00</t>
        </is>
      </c>
      <c r="J347" t="b">
        <v>0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inlineStr">
        <is>
          <t>G000129</t>
        </is>
      </c>
      <c r="T347" t="inlineStr">
        <is>
          <t>Horizontal</t>
        </is>
      </c>
      <c r="U347" t="n">
        <v>5</v>
      </c>
      <c r="V347" t="b">
        <v>1</v>
      </c>
      <c r="W347" t="inlineStr">
        <is>
          <t>Asset schedule!E38:I38</t>
        </is>
      </c>
      <c r="X347">
        <f>R[-4]C[0]+R[-3]C[0]-R[-2]C[0]-R[-1]C[0]</f>
        <v/>
      </c>
    </row>
    <row r="348">
      <c r="A348" t="inlineStr">
        <is>
          <t>Asset schedule</t>
        </is>
      </c>
      <c r="B348" t="inlineStr">
        <is>
          <t>H38</t>
        </is>
      </c>
      <c r="C348" t="n">
        <v>38</v>
      </c>
      <c r="D348" t="n">
        <v>8</v>
      </c>
      <c r="E348" t="inlineStr">
        <is>
          <t>Calculation</t>
        </is>
      </c>
      <c r="F348" t="inlineStr">
        <is>
          <t>'=H34+H35-H36-H37</t>
        </is>
      </c>
      <c r="G348" t="n">
        <v>4430.087134880485</v>
      </c>
      <c r="H348" t="inlineStr"/>
      <c r="I348" t="inlineStr">
        <is>
          <t>0.00</t>
        </is>
      </c>
      <c r="J348" t="b">
        <v>0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1</v>
      </c>
      <c r="S348" t="inlineStr">
        <is>
          <t>G000129</t>
        </is>
      </c>
      <c r="T348" t="inlineStr">
        <is>
          <t>Horizontal</t>
        </is>
      </c>
      <c r="U348" t="n">
        <v>5</v>
      </c>
      <c r="V348" t="b">
        <v>1</v>
      </c>
      <c r="W348" t="inlineStr">
        <is>
          <t>Asset schedule!E38:I38</t>
        </is>
      </c>
      <c r="X348">
        <f>R[-4]C[0]+R[-3]C[0]-R[-2]C[0]-R[-1]C[0]</f>
        <v/>
      </c>
    </row>
    <row r="349">
      <c r="A349" t="inlineStr">
        <is>
          <t>Asset schedule</t>
        </is>
      </c>
      <c r="B349" t="inlineStr">
        <is>
          <t>I38</t>
        </is>
      </c>
      <c r="C349" t="n">
        <v>38</v>
      </c>
      <c r="D349" t="n">
        <v>9</v>
      </c>
      <c r="E349" t="inlineStr">
        <is>
          <t>Calculation</t>
        </is>
      </c>
      <c r="F349" t="inlineStr">
        <is>
          <t>'=I34+I35-I36-I37</t>
        </is>
      </c>
      <c r="G349" t="n">
        <v>4378.439398573482</v>
      </c>
      <c r="H349" t="inlineStr"/>
      <c r="I349" t="inlineStr">
        <is>
          <t>0.00</t>
        </is>
      </c>
      <c r="J349" t="b">
        <v>0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1</v>
      </c>
      <c r="S349" t="inlineStr">
        <is>
          <t>G000129</t>
        </is>
      </c>
      <c r="T349" t="inlineStr">
        <is>
          <t>Horizontal</t>
        </is>
      </c>
      <c r="U349" t="n">
        <v>5</v>
      </c>
      <c r="V349" t="b">
        <v>1</v>
      </c>
      <c r="W349" t="inlineStr">
        <is>
          <t>Asset schedule!E38:I38</t>
        </is>
      </c>
      <c r="X349">
        <f>R[-4]C[0]+R[-3]C[0]-R[-2]C[0]-R[-1]C[0]</f>
        <v/>
      </c>
    </row>
    <row r="350">
      <c r="A350" t="inlineStr">
        <is>
          <t>Asset schedule</t>
        </is>
      </c>
      <c r="B350" t="inlineStr">
        <is>
          <t>A39</t>
        </is>
      </c>
      <c r="C350" t="n">
        <v>39</v>
      </c>
      <c r="D350" t="n">
        <v>1</v>
      </c>
      <c r="E350" t="inlineStr">
        <is>
          <t>Input</t>
        </is>
      </c>
      <c r="F350" t="n">
        <v/>
      </c>
      <c r="G350" t="inlineStr">
        <is>
          <t>Depreciation rate</t>
        </is>
      </c>
      <c r="H350" t="inlineStr"/>
      <c r="I350" t="inlineStr">
        <is>
          <t>General</t>
        </is>
      </c>
      <c r="J350" t="b">
        <v>0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1</v>
      </c>
      <c r="S350" t="n">
        <v/>
      </c>
      <c r="T350" t="n">
        <v/>
      </c>
      <c r="U350" t="n">
        <v/>
      </c>
      <c r="V350" t="b">
        <v>0</v>
      </c>
      <c r="W350" t="inlineStr"/>
      <c r="X350" t="n">
        <v/>
      </c>
    </row>
    <row r="351">
      <c r="A351" t="inlineStr">
        <is>
          <t>Asset schedule</t>
        </is>
      </c>
      <c r="B351" t="inlineStr">
        <is>
          <t>B39</t>
        </is>
      </c>
      <c r="C351" t="n">
        <v>39</v>
      </c>
      <c r="D351" t="n">
        <v>2</v>
      </c>
      <c r="E351" t="inlineStr">
        <is>
          <t>Calculation</t>
        </is>
      </c>
      <c r="F351" t="inlineStr">
        <is>
          <t>'=D37/(D34+D35-D36)</t>
        </is>
      </c>
      <c r="G351" t="n">
        <v>0.09359722469959121</v>
      </c>
      <c r="H351" t="inlineStr"/>
      <c r="I351" t="inlineStr">
        <is>
          <t>0%</t>
        </is>
      </c>
      <c r="J351" t="b">
        <v>0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G000136</t>
        </is>
      </c>
      <c r="T351" t="inlineStr">
        <is>
          <t>Block</t>
        </is>
      </c>
      <c r="U351" t="n">
        <v>11</v>
      </c>
      <c r="V351" t="b">
        <v>1</v>
      </c>
      <c r="W351" t="inlineStr">
        <is>
          <t>Asset schedule!B7:B87</t>
        </is>
      </c>
      <c r="X351">
        <f>R[-2]C[2]/(R[-5]C[2]+R[-4]C[2]-R[-3]C[2])</f>
        <v/>
      </c>
    </row>
    <row r="352">
      <c r="A352" t="inlineStr">
        <is>
          <t>Asset schedule</t>
        </is>
      </c>
      <c r="B352" t="inlineStr">
        <is>
          <t>A41</t>
        </is>
      </c>
      <c r="C352" t="n">
        <v>41</v>
      </c>
      <c r="D352" t="n">
        <v>1</v>
      </c>
      <c r="E352" t="inlineStr">
        <is>
          <t>Input</t>
        </is>
      </c>
      <c r="F352" t="n">
        <v/>
      </c>
      <c r="G352" t="inlineStr">
        <is>
          <t>Railway sidings</t>
        </is>
      </c>
      <c r="H352" t="inlineStr"/>
      <c r="I352" t="inlineStr">
        <is>
          <t>General</t>
        </is>
      </c>
      <c r="J352" t="b">
        <v>1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n">
        <v/>
      </c>
      <c r="T352" t="n">
        <v/>
      </c>
      <c r="U352" t="n">
        <v/>
      </c>
      <c r="V352" t="b">
        <v>0</v>
      </c>
      <c r="W352" t="inlineStr"/>
      <c r="X352" t="n">
        <v/>
      </c>
    </row>
    <row r="353">
      <c r="A353" t="inlineStr">
        <is>
          <t>Asset schedule</t>
        </is>
      </c>
      <c r="B353" t="inlineStr">
        <is>
          <t>B41</t>
        </is>
      </c>
      <c r="C353" t="n">
        <v>41</v>
      </c>
      <c r="D353" t="n">
        <v>2</v>
      </c>
      <c r="E353" t="inlineStr">
        <is>
          <t>Input</t>
        </is>
      </c>
      <c r="F353" t="n">
        <v/>
      </c>
      <c r="G353" t="n">
        <v>2015</v>
      </c>
      <c r="H353" t="inlineStr"/>
      <c r="I353" t="inlineStr">
        <is>
          <t>General</t>
        </is>
      </c>
      <c r="J353" t="b">
        <v>1</v>
      </c>
      <c r="K353" t="b">
        <v>0</v>
      </c>
      <c r="L353" t="n">
        <v>11</v>
      </c>
      <c r="M353" t="inlineStr">
        <is>
          <t>Values must be of type &lt;class 'str'&gt;</t>
        </is>
      </c>
      <c r="N353" t="inlineStr">
        <is>
          <t>Values must be of type &lt;class 'str'&gt;</t>
        </is>
      </c>
      <c r="O353" t="inlineStr">
        <is>
          <t>center</t>
        </is>
      </c>
      <c r="P353" t="inlineStr">
        <is>
          <t>center</t>
        </is>
      </c>
      <c r="R353" t="b">
        <v>1</v>
      </c>
      <c r="S353" t="n">
        <v/>
      </c>
      <c r="T353" t="n">
        <v/>
      </c>
      <c r="U353" t="n">
        <v/>
      </c>
      <c r="V353" t="b">
        <v>0</v>
      </c>
      <c r="W353" t="inlineStr"/>
      <c r="X353" t="n">
        <v/>
      </c>
    </row>
    <row r="354">
      <c r="A354" t="inlineStr">
        <is>
          <t>Asset schedule</t>
        </is>
      </c>
      <c r="B354" t="inlineStr">
        <is>
          <t>C41</t>
        </is>
      </c>
      <c r="C354" t="n">
        <v>41</v>
      </c>
      <c r="D354" t="n">
        <v>3</v>
      </c>
      <c r="E354" t="inlineStr">
        <is>
          <t>Input</t>
        </is>
      </c>
      <c r="F354" t="n">
        <v/>
      </c>
      <c r="G354" t="n">
        <v>2016</v>
      </c>
      <c r="H354" t="inlineStr"/>
      <c r="I354" t="inlineStr">
        <is>
          <t>General</t>
        </is>
      </c>
      <c r="J354" t="b">
        <v>1</v>
      </c>
      <c r="K354" t="b">
        <v>0</v>
      </c>
      <c r="L354" t="n">
        <v>11</v>
      </c>
      <c r="M354" t="inlineStr">
        <is>
          <t>Values must be of type &lt;class 'str'&gt;</t>
        </is>
      </c>
      <c r="N354" t="inlineStr">
        <is>
          <t>Values must be of type &lt;class 'str'&gt;</t>
        </is>
      </c>
      <c r="O354" t="inlineStr">
        <is>
          <t>center</t>
        </is>
      </c>
      <c r="P354" t="inlineStr">
        <is>
          <t>center</t>
        </is>
      </c>
      <c r="R354" t="b">
        <v>1</v>
      </c>
      <c r="S354" t="n">
        <v/>
      </c>
      <c r="T354" t="n">
        <v/>
      </c>
      <c r="U354" t="n">
        <v/>
      </c>
      <c r="V354" t="b">
        <v>0</v>
      </c>
      <c r="W354" t="inlineStr"/>
      <c r="X354" t="n">
        <v/>
      </c>
    </row>
    <row r="355">
      <c r="A355" t="inlineStr">
        <is>
          <t>Asset schedule</t>
        </is>
      </c>
      <c r="B355" t="inlineStr">
        <is>
          <t>D41</t>
        </is>
      </c>
      <c r="C355" t="n">
        <v>41</v>
      </c>
      <c r="D355" t="n">
        <v>4</v>
      </c>
      <c r="E355" t="inlineStr">
        <is>
          <t>Input</t>
        </is>
      </c>
      <c r="F355" t="n">
        <v/>
      </c>
      <c r="G355" t="n">
        <v>2017</v>
      </c>
      <c r="H355" t="inlineStr"/>
      <c r="I355" t="inlineStr">
        <is>
          <t>General</t>
        </is>
      </c>
      <c r="J355" t="b">
        <v>1</v>
      </c>
      <c r="K355" t="b">
        <v>0</v>
      </c>
      <c r="L355" t="n">
        <v>11</v>
      </c>
      <c r="M355" t="inlineStr">
        <is>
          <t>Values must be of type &lt;class 'str'&gt;</t>
        </is>
      </c>
      <c r="N355" t="inlineStr">
        <is>
          <t>Values must be of type &lt;class 'str'&gt;</t>
        </is>
      </c>
      <c r="O355" t="inlineStr">
        <is>
          <t>center</t>
        </is>
      </c>
      <c r="P355" t="inlineStr">
        <is>
          <t>center</t>
        </is>
      </c>
      <c r="R355" t="b">
        <v>1</v>
      </c>
      <c r="S355" t="n">
        <v/>
      </c>
      <c r="T355" t="n">
        <v/>
      </c>
      <c r="U355" t="n">
        <v/>
      </c>
      <c r="V355" t="b">
        <v>0</v>
      </c>
      <c r="W355" t="inlineStr"/>
      <c r="X355" t="n">
        <v/>
      </c>
    </row>
    <row r="356">
      <c r="A356" t="inlineStr">
        <is>
          <t>Asset schedule</t>
        </is>
      </c>
      <c r="B356" t="inlineStr">
        <is>
          <t>E41</t>
        </is>
      </c>
      <c r="C356" t="n">
        <v>41</v>
      </c>
      <c r="D356" t="n">
        <v>5</v>
      </c>
      <c r="E356" t="inlineStr">
        <is>
          <t>Input</t>
        </is>
      </c>
      <c r="F356" t="n">
        <v/>
      </c>
      <c r="G356" t="inlineStr">
        <is>
          <t>2018 F</t>
        </is>
      </c>
      <c r="H356" t="inlineStr"/>
      <c r="I356" t="inlineStr">
        <is>
          <t>General</t>
        </is>
      </c>
      <c r="J356" t="b">
        <v>1</v>
      </c>
      <c r="K356" t="b">
        <v>0</v>
      </c>
      <c r="L356" t="n">
        <v>11</v>
      </c>
      <c r="M356" t="inlineStr">
        <is>
          <t>Values must be of type &lt;class 'str'&gt;</t>
        </is>
      </c>
      <c r="N356" t="inlineStr">
        <is>
          <t>Values must be of type &lt;class 'str'&gt;</t>
        </is>
      </c>
      <c r="O356" t="inlineStr">
        <is>
          <t>center</t>
        </is>
      </c>
      <c r="P356" t="inlineStr">
        <is>
          <t>center</t>
        </is>
      </c>
      <c r="R356" t="b">
        <v>1</v>
      </c>
      <c r="S356" t="n">
        <v/>
      </c>
      <c r="T356" t="n">
        <v/>
      </c>
      <c r="U356" t="n">
        <v/>
      </c>
      <c r="V356" t="b">
        <v>0</v>
      </c>
      <c r="W356" t="inlineStr"/>
      <c r="X356" t="n">
        <v/>
      </c>
    </row>
    <row r="357">
      <c r="A357" t="inlineStr">
        <is>
          <t>Asset schedule</t>
        </is>
      </c>
      <c r="B357" t="inlineStr">
        <is>
          <t>F41</t>
        </is>
      </c>
      <c r="C357" t="n">
        <v>41</v>
      </c>
      <c r="D357" t="n">
        <v>6</v>
      </c>
      <c r="E357" t="inlineStr">
        <is>
          <t>Input</t>
        </is>
      </c>
      <c r="F357" t="n">
        <v/>
      </c>
      <c r="G357" t="inlineStr">
        <is>
          <t>2019 F</t>
        </is>
      </c>
      <c r="H357" t="inlineStr"/>
      <c r="I357" t="inlineStr">
        <is>
          <t>General</t>
        </is>
      </c>
      <c r="J357" t="b">
        <v>1</v>
      </c>
      <c r="K357" t="b">
        <v>0</v>
      </c>
      <c r="L357" t="n">
        <v>11</v>
      </c>
      <c r="M357" t="inlineStr">
        <is>
          <t>Values must be of type &lt;class 'str'&gt;</t>
        </is>
      </c>
      <c r="N357" t="inlineStr">
        <is>
          <t>Values must be of type &lt;class 'str'&gt;</t>
        </is>
      </c>
      <c r="O357" t="inlineStr">
        <is>
          <t>center</t>
        </is>
      </c>
      <c r="P357" t="inlineStr">
        <is>
          <t>center</t>
        </is>
      </c>
      <c r="R357" t="b">
        <v>1</v>
      </c>
      <c r="S357" t="n">
        <v/>
      </c>
      <c r="T357" t="n">
        <v/>
      </c>
      <c r="U357" t="n">
        <v/>
      </c>
      <c r="V357" t="b">
        <v>0</v>
      </c>
      <c r="W357" t="inlineStr"/>
      <c r="X357" t="n">
        <v/>
      </c>
    </row>
    <row r="358">
      <c r="A358" t="inlineStr">
        <is>
          <t>Asset schedule</t>
        </is>
      </c>
      <c r="B358" t="inlineStr">
        <is>
          <t>G41</t>
        </is>
      </c>
      <c r="C358" t="n">
        <v>41</v>
      </c>
      <c r="D358" t="n">
        <v>7</v>
      </c>
      <c r="E358" t="inlineStr">
        <is>
          <t>Input</t>
        </is>
      </c>
      <c r="F358" t="n">
        <v/>
      </c>
      <c r="G358" t="inlineStr">
        <is>
          <t>2020 F</t>
        </is>
      </c>
      <c r="H358" t="inlineStr"/>
      <c r="I358" t="inlineStr">
        <is>
          <t>General</t>
        </is>
      </c>
      <c r="J358" t="b">
        <v>1</v>
      </c>
      <c r="K358" t="b">
        <v>0</v>
      </c>
      <c r="L358" t="n">
        <v>11</v>
      </c>
      <c r="M358" t="inlineStr">
        <is>
          <t>Values must be of type &lt;class 'str'&gt;</t>
        </is>
      </c>
      <c r="N358" t="inlineStr">
        <is>
          <t>Values must be of type &lt;class 'str'&gt;</t>
        </is>
      </c>
      <c r="O358" t="inlineStr">
        <is>
          <t>center</t>
        </is>
      </c>
      <c r="P358" t="inlineStr">
        <is>
          <t>center</t>
        </is>
      </c>
      <c r="R358" t="b">
        <v>1</v>
      </c>
      <c r="S358" t="n">
        <v/>
      </c>
      <c r="T358" t="n">
        <v/>
      </c>
      <c r="U358" t="n">
        <v/>
      </c>
      <c r="V358" t="b">
        <v>0</v>
      </c>
      <c r="W358" t="inlineStr"/>
      <c r="X358" t="n">
        <v/>
      </c>
    </row>
    <row r="359">
      <c r="A359" t="inlineStr">
        <is>
          <t>Asset schedule</t>
        </is>
      </c>
      <c r="B359" t="inlineStr">
        <is>
          <t>H41</t>
        </is>
      </c>
      <c r="C359" t="n">
        <v>41</v>
      </c>
      <c r="D359" t="n">
        <v>8</v>
      </c>
      <c r="E359" t="inlineStr">
        <is>
          <t>Input</t>
        </is>
      </c>
      <c r="F359" t="n">
        <v/>
      </c>
      <c r="G359" t="inlineStr">
        <is>
          <t>2021 F</t>
        </is>
      </c>
      <c r="H359" t="inlineStr"/>
      <c r="I359" t="inlineStr">
        <is>
          <t>General</t>
        </is>
      </c>
      <c r="J359" t="b">
        <v>1</v>
      </c>
      <c r="K359" t="b">
        <v>0</v>
      </c>
      <c r="L359" t="n">
        <v>11</v>
      </c>
      <c r="M359" t="inlineStr">
        <is>
          <t>Values must be of type &lt;class 'str'&gt;</t>
        </is>
      </c>
      <c r="N359" t="inlineStr">
        <is>
          <t>Values must be of type &lt;class 'str'&gt;</t>
        </is>
      </c>
      <c r="O359" t="inlineStr">
        <is>
          <t>center</t>
        </is>
      </c>
      <c r="P359" t="inlineStr">
        <is>
          <t>center</t>
        </is>
      </c>
      <c r="R359" t="b">
        <v>1</v>
      </c>
      <c r="S359" t="n">
        <v/>
      </c>
      <c r="T359" t="n">
        <v/>
      </c>
      <c r="U359" t="n">
        <v/>
      </c>
      <c r="V359" t="b">
        <v>0</v>
      </c>
      <c r="W359" t="inlineStr"/>
      <c r="X359" t="n">
        <v/>
      </c>
    </row>
    <row r="360">
      <c r="A360" t="inlineStr">
        <is>
          <t>Asset schedule</t>
        </is>
      </c>
      <c r="B360" t="inlineStr">
        <is>
          <t>I41</t>
        </is>
      </c>
      <c r="C360" t="n">
        <v>41</v>
      </c>
      <c r="D360" t="n">
        <v>9</v>
      </c>
      <c r="E360" t="inlineStr">
        <is>
          <t>Input</t>
        </is>
      </c>
      <c r="F360" t="n">
        <v/>
      </c>
      <c r="G360" t="inlineStr">
        <is>
          <t>2022 F</t>
        </is>
      </c>
      <c r="H360" t="inlineStr"/>
      <c r="I360" t="inlineStr">
        <is>
          <t>General</t>
        </is>
      </c>
      <c r="J360" t="b">
        <v>1</v>
      </c>
      <c r="K360" t="b">
        <v>0</v>
      </c>
      <c r="L360" t="n">
        <v>11</v>
      </c>
      <c r="M360" t="inlineStr">
        <is>
          <t>Values must be of type &lt;class 'str'&gt;</t>
        </is>
      </c>
      <c r="N360" t="inlineStr">
        <is>
          <t>Values must be of type &lt;class 'str'&gt;</t>
        </is>
      </c>
      <c r="O360" t="inlineStr">
        <is>
          <t>center</t>
        </is>
      </c>
      <c r="P360" t="inlineStr">
        <is>
          <t>center</t>
        </is>
      </c>
      <c r="R360" t="b">
        <v>1</v>
      </c>
      <c r="S360" t="n">
        <v/>
      </c>
      <c r="T360" t="n">
        <v/>
      </c>
      <c r="U360" t="n">
        <v/>
      </c>
      <c r="V360" t="b">
        <v>0</v>
      </c>
      <c r="W360" t="inlineStr"/>
      <c r="X360" t="n">
        <v/>
      </c>
    </row>
    <row r="361">
      <c r="A361" t="inlineStr">
        <is>
          <t>Asset schedule</t>
        </is>
      </c>
      <c r="B361" t="inlineStr">
        <is>
          <t>A42</t>
        </is>
      </c>
      <c r="C361" t="n">
        <v>42</v>
      </c>
      <c r="D361" t="n">
        <v>1</v>
      </c>
      <c r="E361" t="inlineStr">
        <is>
          <t>Input</t>
        </is>
      </c>
      <c r="F361" t="n">
        <v/>
      </c>
      <c r="G361" t="inlineStr">
        <is>
          <t>Opening balance</t>
        </is>
      </c>
      <c r="H361" t="inlineStr"/>
      <c r="I361" t="inlineStr">
        <is>
          <t>General</t>
        </is>
      </c>
      <c r="J361" t="b">
        <v>0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n">
        <v/>
      </c>
      <c r="T361" t="n">
        <v/>
      </c>
      <c r="U361" t="n">
        <v/>
      </c>
      <c r="V361" t="b">
        <v>0</v>
      </c>
      <c r="W361" t="inlineStr"/>
      <c r="X361" t="n">
        <v/>
      </c>
    </row>
    <row r="362">
      <c r="A362" t="inlineStr">
        <is>
          <t>Asset schedule</t>
        </is>
      </c>
      <c r="B362" t="inlineStr">
        <is>
          <t>D42</t>
        </is>
      </c>
      <c r="C362" t="n">
        <v>42</v>
      </c>
      <c r="D362" t="n">
        <v>4</v>
      </c>
      <c r="E362" t="inlineStr">
        <is>
          <t>Input</t>
        </is>
      </c>
      <c r="F362" t="n">
        <v/>
      </c>
      <c r="G362" t="n">
        <v>181.92</v>
      </c>
      <c r="H362" t="inlineStr"/>
      <c r="I362" t="inlineStr">
        <is>
          <t>General</t>
        </is>
      </c>
      <c r="J362" t="b">
        <v>0</v>
      </c>
      <c r="K362" t="b">
        <v>0</v>
      </c>
      <c r="L362" t="n">
        <v>11</v>
      </c>
      <c r="M362" t="inlineStr">
        <is>
          <t>FF000000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n">
        <v/>
      </c>
      <c r="T362" t="n">
        <v/>
      </c>
      <c r="U362" t="n">
        <v/>
      </c>
      <c r="V362" t="b">
        <v>0</v>
      </c>
      <c r="W362" t="inlineStr"/>
      <c r="X362" t="n">
        <v/>
      </c>
    </row>
    <row r="363">
      <c r="A363" t="inlineStr">
        <is>
          <t>Asset schedule</t>
        </is>
      </c>
      <c r="B363" t="inlineStr">
        <is>
          <t>E42</t>
        </is>
      </c>
      <c r="C363" t="n">
        <v>42</v>
      </c>
      <c r="D363" t="n">
        <v>5</v>
      </c>
      <c r="E363" t="inlineStr">
        <is>
          <t>Calculation</t>
        </is>
      </c>
      <c r="F363" t="inlineStr">
        <is>
          <t>'=D46</t>
        </is>
      </c>
      <c r="G363" t="n">
        <v>212.14</v>
      </c>
      <c r="H363" t="inlineStr"/>
      <c r="I363" t="inlineStr">
        <is>
          <t>General</t>
        </is>
      </c>
      <c r="J363" t="b">
        <v>0</v>
      </c>
      <c r="K363" t="b">
        <v>0</v>
      </c>
      <c r="L363" t="n">
        <v>11</v>
      </c>
      <c r="M363" t="inlineStr">
        <is>
          <t>FF000000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G000083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Asset schedule!E42:I42</t>
        </is>
      </c>
      <c r="X363">
        <f>R[4]C[-1]</f>
        <v/>
      </c>
    </row>
    <row r="364">
      <c r="A364" t="inlineStr">
        <is>
          <t>Asset schedule</t>
        </is>
      </c>
      <c r="B364" t="inlineStr">
        <is>
          <t>F42</t>
        </is>
      </c>
      <c r="C364" t="n">
        <v>42</v>
      </c>
      <c r="D364" t="n">
        <v>6</v>
      </c>
      <c r="E364" t="inlineStr">
        <is>
          <t>Calculation</t>
        </is>
      </c>
      <c r="F364" t="inlineStr">
        <is>
          <t>'=E46</t>
        </is>
      </c>
      <c r="G364" t="n">
        <v>248.0073668950734</v>
      </c>
      <c r="H364" t="inlineStr"/>
      <c r="I364" t="inlineStr">
        <is>
          <t>General</t>
        </is>
      </c>
      <c r="J364" t="b">
        <v>0</v>
      </c>
      <c r="K364" t="b">
        <v>0</v>
      </c>
      <c r="L364" t="n">
        <v>11</v>
      </c>
      <c r="M364" t="inlineStr">
        <is>
          <t>FF000000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G000083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Asset schedule!E42:I42</t>
        </is>
      </c>
      <c r="X364">
        <f>R[4]C[-1]</f>
        <v/>
      </c>
    </row>
    <row r="365">
      <c r="A365" t="inlineStr">
        <is>
          <t>Asset schedule</t>
        </is>
      </c>
      <c r="B365" t="inlineStr">
        <is>
          <t>G42</t>
        </is>
      </c>
      <c r="C365" t="n">
        <v>42</v>
      </c>
      <c r="D365" t="n">
        <v>7</v>
      </c>
      <c r="E365" t="inlineStr">
        <is>
          <t>Calculation</t>
        </is>
      </c>
      <c r="F365" t="inlineStr">
        <is>
          <t>'=F46</t>
        </is>
      </c>
      <c r="G365" t="n">
        <v>284.8907982196598</v>
      </c>
      <c r="H365" t="inlineStr"/>
      <c r="I365" t="inlineStr">
        <is>
          <t>General</t>
        </is>
      </c>
      <c r="J365" t="b">
        <v>0</v>
      </c>
      <c r="K365" t="b">
        <v>0</v>
      </c>
      <c r="L365" t="n">
        <v>11</v>
      </c>
      <c r="M365" t="inlineStr">
        <is>
          <t>FF000000</t>
        </is>
      </c>
      <c r="N365" t="inlineStr">
        <is>
          <t>00000000</t>
        </is>
      </c>
      <c r="O365" t="n">
        <v/>
      </c>
      <c r="P365" t="n">
        <v/>
      </c>
      <c r="R365" t="b">
        <v>1</v>
      </c>
      <c r="S365" t="inlineStr">
        <is>
          <t>G000083</t>
        </is>
      </c>
      <c r="T365" t="inlineStr">
        <is>
          <t>Horizontal</t>
        </is>
      </c>
      <c r="U365" t="n">
        <v>5</v>
      </c>
      <c r="V365" t="b">
        <v>1</v>
      </c>
      <c r="W365" t="inlineStr">
        <is>
          <t>Asset schedule!E42:I42</t>
        </is>
      </c>
      <c r="X365">
        <f>R[4]C[-1]</f>
        <v/>
      </c>
    </row>
    <row r="366">
      <c r="A366" t="inlineStr">
        <is>
          <t>Asset schedule</t>
        </is>
      </c>
      <c r="B366" t="inlineStr">
        <is>
          <t>H42</t>
        </is>
      </c>
      <c r="C366" t="n">
        <v>42</v>
      </c>
      <c r="D366" t="n">
        <v>8</v>
      </c>
      <c r="E366" t="inlineStr">
        <is>
          <t>Calculation</t>
        </is>
      </c>
      <c r="F366" t="inlineStr">
        <is>
          <t>'=G46</t>
        </is>
      </c>
      <c r="G366" t="n">
        <v>322.9785051573844</v>
      </c>
      <c r="H366" t="inlineStr"/>
      <c r="I366" t="inlineStr">
        <is>
          <t>General</t>
        </is>
      </c>
      <c r="J366" t="b">
        <v>0</v>
      </c>
      <c r="K366" t="b">
        <v>0</v>
      </c>
      <c r="L366" t="n">
        <v>11</v>
      </c>
      <c r="M366" t="inlineStr">
        <is>
          <t>FF000000</t>
        </is>
      </c>
      <c r="N366" t="inlineStr">
        <is>
          <t>00000000</t>
        </is>
      </c>
      <c r="O366" t="n">
        <v/>
      </c>
      <c r="P366" t="n">
        <v/>
      </c>
      <c r="R366" t="b">
        <v>1</v>
      </c>
      <c r="S366" t="inlineStr">
        <is>
          <t>G000083</t>
        </is>
      </c>
      <c r="T366" t="inlineStr">
        <is>
          <t>Horizontal</t>
        </is>
      </c>
      <c r="U366" t="n">
        <v>5</v>
      </c>
      <c r="V366" t="b">
        <v>1</v>
      </c>
      <c r="W366" t="inlineStr">
        <is>
          <t>Asset schedule!E42:I42</t>
        </is>
      </c>
      <c r="X366">
        <f>R[4]C[-1]</f>
        <v/>
      </c>
    </row>
    <row r="367">
      <c r="A367" t="inlineStr">
        <is>
          <t>Asset schedule</t>
        </is>
      </c>
      <c r="B367" t="inlineStr">
        <is>
          <t>I42</t>
        </is>
      </c>
      <c r="C367" t="n">
        <v>42</v>
      </c>
      <c r="D367" t="n">
        <v>9</v>
      </c>
      <c r="E367" t="inlineStr">
        <is>
          <t>Calculation</t>
        </is>
      </c>
      <c r="F367" t="inlineStr">
        <is>
          <t>'=H46</t>
        </is>
      </c>
      <c r="G367" t="n">
        <v>362.459750771476</v>
      </c>
      <c r="H367" t="inlineStr"/>
      <c r="I367" t="inlineStr">
        <is>
          <t>General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1</v>
      </c>
      <c r="S367" t="inlineStr">
        <is>
          <t>G000083</t>
        </is>
      </c>
      <c r="T367" t="inlineStr">
        <is>
          <t>Horizontal</t>
        </is>
      </c>
      <c r="U367" t="n">
        <v>5</v>
      </c>
      <c r="V367" t="b">
        <v>1</v>
      </c>
      <c r="W367" t="inlineStr">
        <is>
          <t>Asset schedule!E42:I42</t>
        </is>
      </c>
      <c r="X367">
        <f>R[4]C[-1]</f>
        <v/>
      </c>
    </row>
    <row r="368">
      <c r="A368" t="inlineStr">
        <is>
          <t>Asset schedule</t>
        </is>
      </c>
      <c r="B368" t="inlineStr">
        <is>
          <t>A43</t>
        </is>
      </c>
      <c r="C368" t="n">
        <v>43</v>
      </c>
      <c r="D368" t="n">
        <v>1</v>
      </c>
      <c r="E368" t="inlineStr">
        <is>
          <t>Input</t>
        </is>
      </c>
      <c r="F368" t="n">
        <v/>
      </c>
      <c r="G368" t="inlineStr">
        <is>
          <t>Add: purchase during the year</t>
        </is>
      </c>
      <c r="H368" t="inlineStr"/>
      <c r="I368" t="inlineStr">
        <is>
          <t>General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n">
        <v/>
      </c>
      <c r="T368" t="n">
        <v/>
      </c>
      <c r="U368" t="n">
        <v/>
      </c>
      <c r="V368" t="b">
        <v>0</v>
      </c>
      <c r="W368" t="inlineStr"/>
      <c r="X368" t="n">
        <v/>
      </c>
    </row>
    <row r="369">
      <c r="A369" t="inlineStr">
        <is>
          <t>Asset schedule</t>
        </is>
      </c>
      <c r="B369" t="inlineStr">
        <is>
          <t>D43</t>
        </is>
      </c>
      <c r="C369" t="n">
        <v>43</v>
      </c>
      <c r="D369" t="n">
        <v>4</v>
      </c>
      <c r="E369" t="inlineStr">
        <is>
          <t>Input</t>
        </is>
      </c>
      <c r="F369" t="n">
        <v/>
      </c>
      <c r="G369" t="n">
        <v>50.34</v>
      </c>
      <c r="H369" t="inlineStr"/>
      <c r="I369" t="inlineStr">
        <is>
          <t>General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n">
        <v/>
      </c>
      <c r="T369" t="n">
        <v/>
      </c>
      <c r="U369" t="n">
        <v/>
      </c>
      <c r="V369" t="b">
        <v>0</v>
      </c>
      <c r="W369" t="inlineStr"/>
      <c r="X369" t="n">
        <v/>
      </c>
    </row>
    <row r="370">
      <c r="A370" t="inlineStr">
        <is>
          <t>Asset schedule</t>
        </is>
      </c>
      <c r="B370" t="inlineStr">
        <is>
          <t>E43</t>
        </is>
      </c>
      <c r="C370" t="n">
        <v>43</v>
      </c>
      <c r="D370" t="n">
        <v>5</v>
      </c>
      <c r="E370" t="inlineStr">
        <is>
          <t>Calculation</t>
        </is>
      </c>
      <c r="F370" t="inlineStr">
        <is>
          <t>'=INDEX($L$4:$T$15,MATCH($A41,$L$4:$L$15,0),MATCH(E41,$L$4:$T$4,0))</t>
        </is>
      </c>
      <c r="G370" t="n">
        <v>54.19515189873419</v>
      </c>
      <c r="H370" t="inlineStr"/>
      <c r="I370" t="inlineStr">
        <is>
          <t>0.0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G000095</t>
        </is>
      </c>
      <c r="T370" t="inlineStr">
        <is>
          <t>Horizontal</t>
        </is>
      </c>
      <c r="U370" t="n">
        <v>5</v>
      </c>
      <c r="V370" t="b">
        <v>1</v>
      </c>
      <c r="W370" t="inlineStr">
        <is>
          <t>Asset schedule!E43:I43</t>
        </is>
      </c>
      <c r="X370">
        <f>INDEX(R4C12:R15C20,MATCH(R[-2]C1,R4C12:R15C12,0),MATCH(R[-2]C[0],R4C12:R4C20,0))</f>
        <v/>
      </c>
    </row>
    <row r="371">
      <c r="A371" t="inlineStr">
        <is>
          <t>Asset schedule</t>
        </is>
      </c>
      <c r="B371" t="inlineStr">
        <is>
          <t>F43</t>
        </is>
      </c>
      <c r="C371" t="n">
        <v>43</v>
      </c>
      <c r="D371" t="n">
        <v>6</v>
      </c>
      <c r="E371" t="inlineStr">
        <is>
          <t>Calculation</t>
        </is>
      </c>
      <c r="F371" t="inlineStr">
        <is>
          <t>'=INDEX($L$4:$T$15,MATCH($A41,$L$4:$L$15,0),MATCH(F41,$L$4:$T$4,0))</t>
        </is>
      </c>
      <c r="G371" t="n">
        <v>58.30996898734179</v>
      </c>
      <c r="H371" t="inlineStr"/>
      <c r="I371" t="inlineStr">
        <is>
          <t>0.0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G000095</t>
        </is>
      </c>
      <c r="T371" t="inlineStr">
        <is>
          <t>Horizontal</t>
        </is>
      </c>
      <c r="U371" t="n">
        <v>5</v>
      </c>
      <c r="V371" t="b">
        <v>1</v>
      </c>
      <c r="W371" t="inlineStr">
        <is>
          <t>Asset schedule!E43:I43</t>
        </is>
      </c>
      <c r="X371">
        <f>INDEX(R4C12:R15C20,MATCH(R[-2]C1,R4C12:R15C12,0),MATCH(R[-2]C[0],R4C12:R4C20,0))</f>
        <v/>
      </c>
    </row>
    <row r="372">
      <c r="A372" t="inlineStr">
        <is>
          <t>Asset schedule</t>
        </is>
      </c>
      <c r="B372" t="inlineStr">
        <is>
          <t>G43</t>
        </is>
      </c>
      <c r="C372" t="n">
        <v>43</v>
      </c>
      <c r="D372" t="n">
        <v>7</v>
      </c>
      <c r="E372" t="inlineStr">
        <is>
          <t>Calculation</t>
        </is>
      </c>
      <c r="F372" t="inlineStr">
        <is>
          <t>'=INDEX($L$4:$T$15,MATCH($A41,$L$4:$L$15,0),MATCH(G41,$L$4:$T$4,0))</t>
        </is>
      </c>
      <c r="G372" t="n">
        <v>62.70077990506331</v>
      </c>
      <c r="H372" t="inlineStr"/>
      <c r="I372" t="inlineStr">
        <is>
          <t>0.0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G000095</t>
        </is>
      </c>
      <c r="T372" t="inlineStr">
        <is>
          <t>Horizontal</t>
        </is>
      </c>
      <c r="U372" t="n">
        <v>5</v>
      </c>
      <c r="V372" t="b">
        <v>1</v>
      </c>
      <c r="W372" t="inlineStr">
        <is>
          <t>Asset schedule!E43:I43</t>
        </is>
      </c>
      <c r="X372">
        <f>INDEX(R4C12:R15C20,MATCH(R[-2]C1,R4C12:R15C12,0),MATCH(R[-2]C[0],R4C12:R4C20,0))</f>
        <v/>
      </c>
    </row>
    <row r="373">
      <c r="A373" t="inlineStr">
        <is>
          <t>Asset schedule</t>
        </is>
      </c>
      <c r="B373" t="inlineStr">
        <is>
          <t>H43</t>
        </is>
      </c>
      <c r="C373" t="n">
        <v>43</v>
      </c>
      <c r="D373" t="n">
        <v>8</v>
      </c>
      <c r="E373" t="inlineStr">
        <is>
          <t>Calculation</t>
        </is>
      </c>
      <c r="F373" t="inlineStr">
        <is>
          <t>'=INDEX($L$4:$T$15,MATCH($A41,$L$4:$L$15,0),MATCH(H41,$L$4:$T$4,0))</t>
        </is>
      </c>
      <c r="G373" t="n">
        <v>67.38489699208863</v>
      </c>
      <c r="H373" t="inlineStr"/>
      <c r="I373" t="inlineStr">
        <is>
          <t>0.0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inlineStr">
        <is>
          <t>G000095</t>
        </is>
      </c>
      <c r="T373" t="inlineStr">
        <is>
          <t>Horizontal</t>
        </is>
      </c>
      <c r="U373" t="n">
        <v>5</v>
      </c>
      <c r="V373" t="b">
        <v>1</v>
      </c>
      <c r="W373" t="inlineStr">
        <is>
          <t>Asset schedule!E43:I43</t>
        </is>
      </c>
      <c r="X373">
        <f>INDEX(R4C12:R15C20,MATCH(R[-2]C1,R4C12:R15C12,0),MATCH(R[-2]C[0],R4C12:R4C20,0))</f>
        <v/>
      </c>
    </row>
    <row r="374">
      <c r="A374" t="inlineStr">
        <is>
          <t>Asset schedule</t>
        </is>
      </c>
      <c r="B374" t="inlineStr">
        <is>
          <t>I43</t>
        </is>
      </c>
      <c r="C374" t="n">
        <v>43</v>
      </c>
      <c r="D374" t="n">
        <v>9</v>
      </c>
      <c r="E374" t="inlineStr">
        <is>
          <t>Calculation</t>
        </is>
      </c>
      <c r="F374" t="inlineStr">
        <is>
          <t>'=INDEX($L$4:$T$15,MATCH($A41,$L$4:$L$15,0),MATCH(I41,$L$4:$T$4,0))</t>
        </is>
      </c>
      <c r="G374" t="n">
        <v>72.38067383805384</v>
      </c>
      <c r="H374" t="inlineStr"/>
      <c r="I374" t="inlineStr">
        <is>
          <t>0.0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inlineStr">
        <is>
          <t>G000095</t>
        </is>
      </c>
      <c r="T374" t="inlineStr">
        <is>
          <t>Horizontal</t>
        </is>
      </c>
      <c r="U374" t="n">
        <v>5</v>
      </c>
      <c r="V374" t="b">
        <v>1</v>
      </c>
      <c r="W374" t="inlineStr">
        <is>
          <t>Asset schedule!E43:I43</t>
        </is>
      </c>
      <c r="X374">
        <f>INDEX(R4C12:R15C20,MATCH(R[-2]C1,R4C12:R15C12,0),MATCH(R[-2]C[0],R4C12:R4C20,0))</f>
        <v/>
      </c>
    </row>
    <row r="375">
      <c r="A375" t="inlineStr">
        <is>
          <t>Asset schedule</t>
        </is>
      </c>
      <c r="B375" t="inlineStr">
        <is>
          <t>A44</t>
        </is>
      </c>
      <c r="C375" t="n">
        <v>44</v>
      </c>
      <c r="D375" t="n">
        <v>1</v>
      </c>
      <c r="E375" t="inlineStr">
        <is>
          <t>Input</t>
        </is>
      </c>
      <c r="F375" t="n">
        <v/>
      </c>
      <c r="G375" t="inlineStr">
        <is>
          <t>Less: Sale during the year</t>
        </is>
      </c>
      <c r="H375" t="inlineStr"/>
      <c r="I375" t="inlineStr">
        <is>
          <t>General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n">
        <v/>
      </c>
      <c r="T375" t="n">
        <v/>
      </c>
      <c r="U375" t="n">
        <v/>
      </c>
      <c r="V375" t="b">
        <v>0</v>
      </c>
      <c r="W375" t="inlineStr"/>
      <c r="X375" t="n">
        <v/>
      </c>
    </row>
    <row r="376">
      <c r="A376" t="inlineStr">
        <is>
          <t>Asset schedule</t>
        </is>
      </c>
      <c r="B376" t="inlineStr">
        <is>
          <t>D44</t>
        </is>
      </c>
      <c r="C376" t="n">
        <v>44</v>
      </c>
      <c r="D376" t="n">
        <v>4</v>
      </c>
      <c r="E376" t="inlineStr">
        <is>
          <t>Input</t>
        </is>
      </c>
      <c r="F376" t="n">
        <v/>
      </c>
      <c r="G376" t="n">
        <v>0.07000000000000001</v>
      </c>
      <c r="H376" t="inlineStr"/>
      <c r="I376" t="inlineStr">
        <is>
          <t>General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n">
        <v/>
      </c>
      <c r="T376" t="n">
        <v/>
      </c>
      <c r="U376" t="n">
        <v/>
      </c>
      <c r="V376" t="b">
        <v>0</v>
      </c>
      <c r="W376" t="inlineStr"/>
      <c r="X376" t="n">
        <v/>
      </c>
    </row>
    <row r="377">
      <c r="A377" t="inlineStr">
        <is>
          <t>Asset schedule</t>
        </is>
      </c>
      <c r="B377" t="inlineStr">
        <is>
          <t>E44</t>
        </is>
      </c>
      <c r="C377" t="n">
        <v>44</v>
      </c>
      <c r="D377" t="n">
        <v>5</v>
      </c>
      <c r="E377" t="inlineStr">
        <is>
          <t>Input</t>
        </is>
      </c>
      <c r="F377" t="n">
        <v/>
      </c>
      <c r="G377" t="n">
        <v>0</v>
      </c>
      <c r="H377" t="inlineStr"/>
      <c r="I377" t="inlineStr">
        <is>
          <t>General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n">
        <v/>
      </c>
      <c r="T377" t="n">
        <v/>
      </c>
      <c r="U377" t="n">
        <v/>
      </c>
      <c r="V377" t="b">
        <v>0</v>
      </c>
      <c r="W377" t="inlineStr"/>
      <c r="X377" t="n">
        <v/>
      </c>
    </row>
    <row r="378">
      <c r="A378" t="inlineStr">
        <is>
          <t>Asset schedule</t>
        </is>
      </c>
      <c r="B378" t="inlineStr">
        <is>
          <t>F44</t>
        </is>
      </c>
      <c r="C378" t="n">
        <v>44</v>
      </c>
      <c r="D378" t="n">
        <v>6</v>
      </c>
      <c r="E378" t="inlineStr">
        <is>
          <t>Input</t>
        </is>
      </c>
      <c r="F378" t="n">
        <v/>
      </c>
      <c r="G378" t="n">
        <v>0</v>
      </c>
      <c r="H378" t="inlineStr"/>
      <c r="I378" t="inlineStr">
        <is>
          <t>General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n">
        <v/>
      </c>
      <c r="T378" t="n">
        <v/>
      </c>
      <c r="U378" t="n">
        <v/>
      </c>
      <c r="V378" t="b">
        <v>0</v>
      </c>
      <c r="W378" t="inlineStr"/>
      <c r="X378" t="n">
        <v/>
      </c>
    </row>
    <row r="379">
      <c r="A379" t="inlineStr">
        <is>
          <t>Asset schedule</t>
        </is>
      </c>
      <c r="B379" t="inlineStr">
        <is>
          <t>G44</t>
        </is>
      </c>
      <c r="C379" t="n">
        <v>44</v>
      </c>
      <c r="D379" t="n">
        <v>7</v>
      </c>
      <c r="E379" t="inlineStr">
        <is>
          <t>Input</t>
        </is>
      </c>
      <c r="F379" t="n">
        <v/>
      </c>
      <c r="G379" t="n">
        <v>0</v>
      </c>
      <c r="H379" t="inlineStr"/>
      <c r="I379" t="inlineStr">
        <is>
          <t>General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n">
        <v/>
      </c>
      <c r="T379" t="n">
        <v/>
      </c>
      <c r="U379" t="n">
        <v/>
      </c>
      <c r="V379" t="b">
        <v>0</v>
      </c>
      <c r="W379" t="inlineStr"/>
      <c r="X379" t="n">
        <v/>
      </c>
    </row>
    <row r="380">
      <c r="A380" t="inlineStr">
        <is>
          <t>Asset schedule</t>
        </is>
      </c>
      <c r="B380" t="inlineStr">
        <is>
          <t>H44</t>
        </is>
      </c>
      <c r="C380" t="n">
        <v>44</v>
      </c>
      <c r="D380" t="n">
        <v>8</v>
      </c>
      <c r="E380" t="inlineStr">
        <is>
          <t>Input</t>
        </is>
      </c>
      <c r="F380" t="n">
        <v/>
      </c>
      <c r="G380" t="n">
        <v>0</v>
      </c>
      <c r="H380" t="inlineStr"/>
      <c r="I380" t="inlineStr">
        <is>
          <t>General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n">
        <v/>
      </c>
      <c r="T380" t="n">
        <v/>
      </c>
      <c r="U380" t="n">
        <v/>
      </c>
      <c r="V380" t="b">
        <v>0</v>
      </c>
      <c r="W380" t="inlineStr"/>
      <c r="X380" t="n">
        <v/>
      </c>
    </row>
    <row r="381">
      <c r="A381" t="inlineStr">
        <is>
          <t>Asset schedule</t>
        </is>
      </c>
      <c r="B381" t="inlineStr">
        <is>
          <t>I44</t>
        </is>
      </c>
      <c r="C381" t="n">
        <v>44</v>
      </c>
      <c r="D381" t="n">
        <v>9</v>
      </c>
      <c r="E381" t="inlineStr">
        <is>
          <t>Input</t>
        </is>
      </c>
      <c r="F381" t="n">
        <v/>
      </c>
      <c r="G381" t="n">
        <v>0</v>
      </c>
      <c r="H381" t="inlineStr"/>
      <c r="I381" t="inlineStr">
        <is>
          <t>General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n">
        <v/>
      </c>
      <c r="T381" t="n">
        <v/>
      </c>
      <c r="U381" t="n">
        <v/>
      </c>
      <c r="V381" t="b">
        <v>0</v>
      </c>
      <c r="W381" t="inlineStr"/>
      <c r="X381" t="n">
        <v/>
      </c>
    </row>
    <row r="382">
      <c r="A382" t="inlineStr">
        <is>
          <t>Asset schedule</t>
        </is>
      </c>
      <c r="B382" t="inlineStr">
        <is>
          <t>A45</t>
        </is>
      </c>
      <c r="C382" t="n">
        <v>45</v>
      </c>
      <c r="D382" t="n">
        <v>1</v>
      </c>
      <c r="E382" t="inlineStr">
        <is>
          <t>Input</t>
        </is>
      </c>
      <c r="F382" t="n">
        <v/>
      </c>
      <c r="G382" t="inlineStr">
        <is>
          <t>Less: Dep</t>
        </is>
      </c>
      <c r="H382" t="inlineStr"/>
      <c r="I382" t="inlineStr">
        <is>
          <t>General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n">
        <v/>
      </c>
      <c r="T382" t="n">
        <v/>
      </c>
      <c r="U382" t="n">
        <v/>
      </c>
      <c r="V382" t="b">
        <v>0</v>
      </c>
      <c r="W382" t="inlineStr"/>
      <c r="X382" t="n">
        <v/>
      </c>
    </row>
    <row r="383">
      <c r="A383" t="inlineStr">
        <is>
          <t>Asset schedule</t>
        </is>
      </c>
      <c r="B383" t="inlineStr">
        <is>
          <t>D45</t>
        </is>
      </c>
      <c r="C383" t="n">
        <v>45</v>
      </c>
      <c r="D383" t="n">
        <v>4</v>
      </c>
      <c r="E383" t="inlineStr">
        <is>
          <t>Input</t>
        </is>
      </c>
      <c r="F383" t="n">
        <v/>
      </c>
      <c r="G383" t="n">
        <v>20.06</v>
      </c>
      <c r="H383" t="inlineStr"/>
      <c r="I383" t="inlineStr">
        <is>
          <t>General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n">
        <v/>
      </c>
      <c r="T383" t="n">
        <v/>
      </c>
      <c r="U383" t="n">
        <v/>
      </c>
      <c r="V383" t="b">
        <v>0</v>
      </c>
      <c r="W383" t="inlineStr"/>
      <c r="X383" t="n">
        <v/>
      </c>
    </row>
    <row r="384">
      <c r="A384" t="inlineStr">
        <is>
          <t>Asset schedule</t>
        </is>
      </c>
      <c r="B384" t="inlineStr">
        <is>
          <t>E45</t>
        </is>
      </c>
      <c r="C384" t="n">
        <v>45</v>
      </c>
      <c r="D384" t="n">
        <v>5</v>
      </c>
      <c r="E384" t="inlineStr">
        <is>
          <t>Calculation</t>
        </is>
      </c>
      <c r="F384" t="inlineStr">
        <is>
          <t>'=E42*$B47</t>
        </is>
      </c>
      <c r="G384" t="n">
        <v>18.32778500366079</v>
      </c>
      <c r="H384" t="inlineStr"/>
      <c r="I384" t="inlineStr">
        <is>
          <t>0.0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G000106</t>
        </is>
      </c>
      <c r="T384" t="inlineStr">
        <is>
          <t>Horizontal</t>
        </is>
      </c>
      <c r="U384" t="n">
        <v>5</v>
      </c>
      <c r="V384" t="b">
        <v>1</v>
      </c>
      <c r="W384" t="inlineStr">
        <is>
          <t>Asset schedule!E45:I45</t>
        </is>
      </c>
      <c r="X384">
        <f>R[-3]C[0]*R[2]C2</f>
        <v/>
      </c>
    </row>
    <row r="385">
      <c r="A385" t="inlineStr">
        <is>
          <t>Asset schedule</t>
        </is>
      </c>
      <c r="B385" t="inlineStr">
        <is>
          <t>F45</t>
        </is>
      </c>
      <c r="C385" t="n">
        <v>45</v>
      </c>
      <c r="D385" t="n">
        <v>6</v>
      </c>
      <c r="E385" t="inlineStr">
        <is>
          <t>Calculation</t>
        </is>
      </c>
      <c r="F385" t="inlineStr">
        <is>
          <t>'=F42*$B47</t>
        </is>
      </c>
      <c r="G385" t="n">
        <v>21.42653766275538</v>
      </c>
      <c r="H385" t="inlineStr"/>
      <c r="I385" t="inlineStr">
        <is>
          <t>0.0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G000106</t>
        </is>
      </c>
      <c r="T385" t="inlineStr">
        <is>
          <t>Horizontal</t>
        </is>
      </c>
      <c r="U385" t="n">
        <v>5</v>
      </c>
      <c r="V385" t="b">
        <v>1</v>
      </c>
      <c r="W385" t="inlineStr">
        <is>
          <t>Asset schedule!E45:I45</t>
        </is>
      </c>
      <c r="X385">
        <f>R[-3]C[0]*R[2]C2</f>
        <v/>
      </c>
    </row>
    <row r="386">
      <c r="A386" t="inlineStr">
        <is>
          <t>Asset schedule</t>
        </is>
      </c>
      <c r="B386" t="inlineStr">
        <is>
          <t>G45</t>
        </is>
      </c>
      <c r="C386" t="n">
        <v>45</v>
      </c>
      <c r="D386" t="n">
        <v>7</v>
      </c>
      <c r="E386" t="inlineStr">
        <is>
          <t>Calculation</t>
        </is>
      </c>
      <c r="F386" t="inlineStr">
        <is>
          <t>'=G42*$B47</t>
        </is>
      </c>
      <c r="G386" t="n">
        <v>24.61307296733871</v>
      </c>
      <c r="H386" t="inlineStr"/>
      <c r="I386" t="inlineStr">
        <is>
          <t>0.0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G000106</t>
        </is>
      </c>
      <c r="T386" t="inlineStr">
        <is>
          <t>Horizontal</t>
        </is>
      </c>
      <c r="U386" t="n">
        <v>5</v>
      </c>
      <c r="V386" t="b">
        <v>1</v>
      </c>
      <c r="W386" t="inlineStr">
        <is>
          <t>Asset schedule!E45:I45</t>
        </is>
      </c>
      <c r="X386">
        <f>R[-3]C[0]*R[2]C2</f>
        <v/>
      </c>
    </row>
    <row r="387">
      <c r="A387" t="inlineStr">
        <is>
          <t>Asset schedule</t>
        </is>
      </c>
      <c r="B387" t="inlineStr">
        <is>
          <t>H45</t>
        </is>
      </c>
      <c r="C387" t="n">
        <v>45</v>
      </c>
      <c r="D387" t="n">
        <v>8</v>
      </c>
      <c r="E387" t="inlineStr">
        <is>
          <t>Calculation</t>
        </is>
      </c>
      <c r="F387" t="inlineStr">
        <is>
          <t>'=H42*$B47</t>
        </is>
      </c>
      <c r="G387" t="n">
        <v>27.90365137799703</v>
      </c>
      <c r="H387" t="inlineStr"/>
      <c r="I387" t="inlineStr">
        <is>
          <t>0.0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inlineStr">
        <is>
          <t>G000106</t>
        </is>
      </c>
      <c r="T387" t="inlineStr">
        <is>
          <t>Horizontal</t>
        </is>
      </c>
      <c r="U387" t="n">
        <v>5</v>
      </c>
      <c r="V387" t="b">
        <v>1</v>
      </c>
      <c r="W387" t="inlineStr">
        <is>
          <t>Asset schedule!E45:I45</t>
        </is>
      </c>
      <c r="X387">
        <f>R[-3]C[0]*R[2]C2</f>
        <v/>
      </c>
    </row>
    <row r="388">
      <c r="A388" t="inlineStr">
        <is>
          <t>Asset schedule</t>
        </is>
      </c>
      <c r="B388" t="inlineStr">
        <is>
          <t>I45</t>
        </is>
      </c>
      <c r="C388" t="n">
        <v>45</v>
      </c>
      <c r="D388" t="n">
        <v>9</v>
      </c>
      <c r="E388" t="inlineStr">
        <is>
          <t>Calculation</t>
        </is>
      </c>
      <c r="F388" t="inlineStr">
        <is>
          <t>'=I42*$B47</t>
        </is>
      </c>
      <c r="G388" t="n">
        <v>31.31462423220556</v>
      </c>
      <c r="H388" t="inlineStr"/>
      <c r="I388" t="inlineStr">
        <is>
          <t>0.0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G000106</t>
        </is>
      </c>
      <c r="T388" t="inlineStr">
        <is>
          <t>Horizontal</t>
        </is>
      </c>
      <c r="U388" t="n">
        <v>5</v>
      </c>
      <c r="V388" t="b">
        <v>1</v>
      </c>
      <c r="W388" t="inlineStr">
        <is>
          <t>Asset schedule!E45:I45</t>
        </is>
      </c>
      <c r="X388">
        <f>R[-3]C[0]*R[2]C2</f>
        <v/>
      </c>
    </row>
    <row r="389">
      <c r="A389" t="inlineStr">
        <is>
          <t>Asset schedule</t>
        </is>
      </c>
      <c r="B389" t="inlineStr">
        <is>
          <t>A46</t>
        </is>
      </c>
      <c r="C389" t="n">
        <v>46</v>
      </c>
      <c r="D389" t="n">
        <v>1</v>
      </c>
      <c r="E389" t="inlineStr">
        <is>
          <t>Input</t>
        </is>
      </c>
      <c r="F389" t="n">
        <v/>
      </c>
      <c r="G389" t="inlineStr">
        <is>
          <t>Closing balance</t>
        </is>
      </c>
      <c r="H389" t="inlineStr"/>
      <c r="I389" t="inlineStr">
        <is>
          <t>General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n">
        <v/>
      </c>
      <c r="T389" t="n">
        <v/>
      </c>
      <c r="U389" t="n">
        <v/>
      </c>
      <c r="V389" t="b">
        <v>0</v>
      </c>
      <c r="W389" t="inlineStr"/>
      <c r="X389" t="n">
        <v/>
      </c>
    </row>
    <row r="390">
      <c r="A390" t="inlineStr">
        <is>
          <t>Asset schedule</t>
        </is>
      </c>
      <c r="B390" t="inlineStr">
        <is>
          <t>D46</t>
        </is>
      </c>
      <c r="C390" t="n">
        <v>46</v>
      </c>
      <c r="D390" t="n">
        <v>4</v>
      </c>
      <c r="E390" t="inlineStr">
        <is>
          <t>Input</t>
        </is>
      </c>
      <c r="F390" t="n">
        <v/>
      </c>
      <c r="G390" t="n">
        <v>212.14</v>
      </c>
      <c r="H390" t="inlineStr"/>
      <c r="I390" t="inlineStr">
        <is>
          <t>General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n">
        <v/>
      </c>
      <c r="T390" t="n">
        <v/>
      </c>
      <c r="U390" t="n">
        <v/>
      </c>
      <c r="V390" t="b">
        <v>0</v>
      </c>
      <c r="W390" t="inlineStr"/>
      <c r="X390" t="n">
        <v/>
      </c>
    </row>
    <row r="391">
      <c r="A391" t="inlineStr">
        <is>
          <t>Asset schedule</t>
        </is>
      </c>
      <c r="B391" t="inlineStr">
        <is>
          <t>E46</t>
        </is>
      </c>
      <c r="C391" t="n">
        <v>46</v>
      </c>
      <c r="D391" t="n">
        <v>5</v>
      </c>
      <c r="E391" t="inlineStr">
        <is>
          <t>Calculation</t>
        </is>
      </c>
      <c r="F391" t="inlineStr">
        <is>
          <t>'=E42+E43-E44-E45</t>
        </is>
      </c>
      <c r="G391" t="n">
        <v>248.0073668950734</v>
      </c>
      <c r="H391" t="inlineStr"/>
      <c r="I391" t="inlineStr">
        <is>
          <t>0.00</t>
        </is>
      </c>
      <c r="J391" t="b">
        <v>0</v>
      </c>
      <c r="K391" t="b">
        <v>0</v>
      </c>
      <c r="L391" t="n">
        <v>11</v>
      </c>
      <c r="M391" t="inlineStr">
        <is>
          <t>FF000000</t>
        </is>
      </c>
      <c r="N391" t="inlineStr">
        <is>
          <t>00000000</t>
        </is>
      </c>
      <c r="O391" t="n">
        <v/>
      </c>
      <c r="P391" t="n">
        <v/>
      </c>
      <c r="R391" t="b">
        <v>1</v>
      </c>
      <c r="S391" t="inlineStr">
        <is>
          <t>G000130</t>
        </is>
      </c>
      <c r="T391" t="inlineStr">
        <is>
          <t>Horizontal</t>
        </is>
      </c>
      <c r="U391" t="n">
        <v>5</v>
      </c>
      <c r="V391" t="b">
        <v>1</v>
      </c>
      <c r="W391" t="inlineStr">
        <is>
          <t>Asset schedule!E46:I46</t>
        </is>
      </c>
      <c r="X391">
        <f>R[-4]C[0]+R[-3]C[0]-R[-2]C[0]-R[-1]C[0]</f>
        <v/>
      </c>
    </row>
    <row r="392">
      <c r="A392" t="inlineStr">
        <is>
          <t>Asset schedule</t>
        </is>
      </c>
      <c r="B392" t="inlineStr">
        <is>
          <t>F46</t>
        </is>
      </c>
      <c r="C392" t="n">
        <v>46</v>
      </c>
      <c r="D392" t="n">
        <v>6</v>
      </c>
      <c r="E392" t="inlineStr">
        <is>
          <t>Calculation</t>
        </is>
      </c>
      <c r="F392" t="inlineStr">
        <is>
          <t>'=F42+F43-F44-F45</t>
        </is>
      </c>
      <c r="G392" t="n">
        <v>284.8907982196598</v>
      </c>
      <c r="H392" t="inlineStr"/>
      <c r="I392" t="inlineStr">
        <is>
          <t>0.00</t>
        </is>
      </c>
      <c r="J392" t="b">
        <v>0</v>
      </c>
      <c r="K392" t="b">
        <v>0</v>
      </c>
      <c r="L392" t="n">
        <v>11</v>
      </c>
      <c r="M392" t="inlineStr">
        <is>
          <t>FF000000</t>
        </is>
      </c>
      <c r="N392" t="inlineStr">
        <is>
          <t>00000000</t>
        </is>
      </c>
      <c r="O392" t="n">
        <v/>
      </c>
      <c r="P392" t="n">
        <v/>
      </c>
      <c r="R392" t="b">
        <v>1</v>
      </c>
      <c r="S392" t="inlineStr">
        <is>
          <t>G000130</t>
        </is>
      </c>
      <c r="T392" t="inlineStr">
        <is>
          <t>Horizontal</t>
        </is>
      </c>
      <c r="U392" t="n">
        <v>5</v>
      </c>
      <c r="V392" t="b">
        <v>1</v>
      </c>
      <c r="W392" t="inlineStr">
        <is>
          <t>Asset schedule!E46:I46</t>
        </is>
      </c>
      <c r="X392">
        <f>R[-4]C[0]+R[-3]C[0]-R[-2]C[0]-R[-1]C[0]</f>
        <v/>
      </c>
    </row>
    <row r="393">
      <c r="A393" t="inlineStr">
        <is>
          <t>Asset schedule</t>
        </is>
      </c>
      <c r="B393" t="inlineStr">
        <is>
          <t>G46</t>
        </is>
      </c>
      <c r="C393" t="n">
        <v>46</v>
      </c>
      <c r="D393" t="n">
        <v>7</v>
      </c>
      <c r="E393" t="inlineStr">
        <is>
          <t>Calculation</t>
        </is>
      </c>
      <c r="F393" t="inlineStr">
        <is>
          <t>'=G42+G43-G44-G45</t>
        </is>
      </c>
      <c r="G393" t="n">
        <v>322.9785051573844</v>
      </c>
      <c r="H393" t="inlineStr"/>
      <c r="I393" t="inlineStr">
        <is>
          <t>0.00</t>
        </is>
      </c>
      <c r="J393" t="b">
        <v>0</v>
      </c>
      <c r="K393" t="b">
        <v>0</v>
      </c>
      <c r="L393" t="n">
        <v>11</v>
      </c>
      <c r="M393" t="inlineStr">
        <is>
          <t>FF000000</t>
        </is>
      </c>
      <c r="N393" t="inlineStr">
        <is>
          <t>00000000</t>
        </is>
      </c>
      <c r="O393" t="n">
        <v/>
      </c>
      <c r="P393" t="n">
        <v/>
      </c>
      <c r="R393" t="b">
        <v>1</v>
      </c>
      <c r="S393" t="inlineStr">
        <is>
          <t>G000130</t>
        </is>
      </c>
      <c r="T393" t="inlineStr">
        <is>
          <t>Horizontal</t>
        </is>
      </c>
      <c r="U393" t="n">
        <v>5</v>
      </c>
      <c r="V393" t="b">
        <v>1</v>
      </c>
      <c r="W393" t="inlineStr">
        <is>
          <t>Asset schedule!E46:I46</t>
        </is>
      </c>
      <c r="X393">
        <f>R[-4]C[0]+R[-3]C[0]-R[-2]C[0]-R[-1]C[0]</f>
        <v/>
      </c>
    </row>
    <row r="394">
      <c r="A394" t="inlineStr">
        <is>
          <t>Asset schedule</t>
        </is>
      </c>
      <c r="B394" t="inlineStr">
        <is>
          <t>H46</t>
        </is>
      </c>
      <c r="C394" t="n">
        <v>46</v>
      </c>
      <c r="D394" t="n">
        <v>8</v>
      </c>
      <c r="E394" t="inlineStr">
        <is>
          <t>Calculation</t>
        </is>
      </c>
      <c r="F394" t="inlineStr">
        <is>
          <t>'=H42+H43-H44-H45</t>
        </is>
      </c>
      <c r="G394" t="n">
        <v>362.459750771476</v>
      </c>
      <c r="H394" t="inlineStr"/>
      <c r="I394" t="inlineStr">
        <is>
          <t>0.00</t>
        </is>
      </c>
      <c r="J394" t="b">
        <v>0</v>
      </c>
      <c r="K394" t="b">
        <v>0</v>
      </c>
      <c r="L394" t="n">
        <v>11</v>
      </c>
      <c r="M394" t="inlineStr">
        <is>
          <t>FF000000</t>
        </is>
      </c>
      <c r="N394" t="inlineStr">
        <is>
          <t>00000000</t>
        </is>
      </c>
      <c r="O394" t="n">
        <v/>
      </c>
      <c r="P394" t="n">
        <v/>
      </c>
      <c r="R394" t="b">
        <v>1</v>
      </c>
      <c r="S394" t="inlineStr">
        <is>
          <t>G000130</t>
        </is>
      </c>
      <c r="T394" t="inlineStr">
        <is>
          <t>Horizontal</t>
        </is>
      </c>
      <c r="U394" t="n">
        <v>5</v>
      </c>
      <c r="V394" t="b">
        <v>1</v>
      </c>
      <c r="W394" t="inlineStr">
        <is>
          <t>Asset schedule!E46:I46</t>
        </is>
      </c>
      <c r="X394">
        <f>R[-4]C[0]+R[-3]C[0]-R[-2]C[0]-R[-1]C[0]</f>
        <v/>
      </c>
    </row>
    <row r="395">
      <c r="A395" t="inlineStr">
        <is>
          <t>Asset schedule</t>
        </is>
      </c>
      <c r="B395" t="inlineStr">
        <is>
          <t>I46</t>
        </is>
      </c>
      <c r="C395" t="n">
        <v>46</v>
      </c>
      <c r="D395" t="n">
        <v>9</v>
      </c>
      <c r="E395" t="inlineStr">
        <is>
          <t>Calculation</t>
        </is>
      </c>
      <c r="F395" t="inlineStr">
        <is>
          <t>'=I42+I43-I44-I45</t>
        </is>
      </c>
      <c r="G395" t="n">
        <v>403.5258003773242</v>
      </c>
      <c r="H395" t="inlineStr"/>
      <c r="I395" t="inlineStr">
        <is>
          <t>0.00</t>
        </is>
      </c>
      <c r="J395" t="b">
        <v>0</v>
      </c>
      <c r="K395" t="b">
        <v>0</v>
      </c>
      <c r="L395" t="n">
        <v>11</v>
      </c>
      <c r="M395" t="inlineStr">
        <is>
          <t>FF000000</t>
        </is>
      </c>
      <c r="N395" t="inlineStr">
        <is>
          <t>00000000</t>
        </is>
      </c>
      <c r="O395" t="n">
        <v/>
      </c>
      <c r="P395" t="n">
        <v/>
      </c>
      <c r="R395" t="b">
        <v>1</v>
      </c>
      <c r="S395" t="inlineStr">
        <is>
          <t>G000130</t>
        </is>
      </c>
      <c r="T395" t="inlineStr">
        <is>
          <t>Horizontal</t>
        </is>
      </c>
      <c r="U395" t="n">
        <v>5</v>
      </c>
      <c r="V395" t="b">
        <v>1</v>
      </c>
      <c r="W395" t="inlineStr">
        <is>
          <t>Asset schedule!E46:I46</t>
        </is>
      </c>
      <c r="X395">
        <f>R[-4]C[0]+R[-3]C[0]-R[-2]C[0]-R[-1]C[0]</f>
        <v/>
      </c>
    </row>
    <row r="396">
      <c r="A396" t="inlineStr">
        <is>
          <t>Asset schedule</t>
        </is>
      </c>
      <c r="B396" t="inlineStr">
        <is>
          <t>A47</t>
        </is>
      </c>
      <c r="C396" t="n">
        <v>47</v>
      </c>
      <c r="D396" t="n">
        <v>1</v>
      </c>
      <c r="E396" t="inlineStr">
        <is>
          <t>Input</t>
        </is>
      </c>
      <c r="F396" t="n">
        <v/>
      </c>
      <c r="G396" t="inlineStr">
        <is>
          <t>Depreciation rate</t>
        </is>
      </c>
      <c r="H396" t="inlineStr"/>
      <c r="I396" t="inlineStr">
        <is>
          <t>General</t>
        </is>
      </c>
      <c r="J396" t="b">
        <v>0</v>
      </c>
      <c r="K396" t="b">
        <v>0</v>
      </c>
      <c r="L396" t="n">
        <v>11</v>
      </c>
      <c r="M396" t="inlineStr">
        <is>
          <t>FF000000</t>
        </is>
      </c>
      <c r="N396" t="inlineStr">
        <is>
          <t>00000000</t>
        </is>
      </c>
      <c r="O396" t="n">
        <v/>
      </c>
      <c r="P396" t="n">
        <v/>
      </c>
      <c r="R396" t="b">
        <v>1</v>
      </c>
      <c r="S396" t="n">
        <v/>
      </c>
      <c r="T396" t="n">
        <v/>
      </c>
      <c r="U396" t="n">
        <v/>
      </c>
      <c r="V396" t="b">
        <v>0</v>
      </c>
      <c r="W396" t="inlineStr"/>
      <c r="X396" t="n">
        <v/>
      </c>
    </row>
    <row r="397">
      <c r="A397" t="inlineStr">
        <is>
          <t>Asset schedule</t>
        </is>
      </c>
      <c r="B397" t="inlineStr">
        <is>
          <t>B47</t>
        </is>
      </c>
      <c r="C397" t="n">
        <v>47</v>
      </c>
      <c r="D397" t="n">
        <v>2</v>
      </c>
      <c r="E397" t="inlineStr">
        <is>
          <t>Calculation</t>
        </is>
      </c>
      <c r="F397" t="inlineStr">
        <is>
          <t>'=D45/(D42+D43-D44)</t>
        </is>
      </c>
      <c r="G397" t="n">
        <v>0.08639476290968603</v>
      </c>
      <c r="H397" t="inlineStr"/>
      <c r="I397" t="inlineStr">
        <is>
          <t>0%</t>
        </is>
      </c>
      <c r="J397" t="b">
        <v>0</v>
      </c>
      <c r="K397" t="b">
        <v>0</v>
      </c>
      <c r="L397" t="n">
        <v>11</v>
      </c>
      <c r="M397" t="inlineStr">
        <is>
          <t>FF000000</t>
        </is>
      </c>
      <c r="N397" t="inlineStr">
        <is>
          <t>00000000</t>
        </is>
      </c>
      <c r="O397" t="n">
        <v/>
      </c>
      <c r="P397" t="n">
        <v/>
      </c>
      <c r="R397" t="b">
        <v>1</v>
      </c>
      <c r="S397" t="inlineStr">
        <is>
          <t>G000136</t>
        </is>
      </c>
      <c r="T397" t="inlineStr">
        <is>
          <t>Block</t>
        </is>
      </c>
      <c r="U397" t="n">
        <v>11</v>
      </c>
      <c r="V397" t="b">
        <v>1</v>
      </c>
      <c r="W397" t="inlineStr">
        <is>
          <t>Asset schedule!B7:B87</t>
        </is>
      </c>
      <c r="X397">
        <f>R[-2]C[2]/(R[-5]C[2]+R[-4]C[2]-R[-3]C[2])</f>
        <v/>
      </c>
    </row>
    <row r="398">
      <c r="A398" t="inlineStr">
        <is>
          <t>Asset schedule</t>
        </is>
      </c>
      <c r="B398" t="inlineStr">
        <is>
          <t>A49</t>
        </is>
      </c>
      <c r="C398" t="n">
        <v>49</v>
      </c>
      <c r="D398" t="n">
        <v>1</v>
      </c>
      <c r="E398" t="inlineStr">
        <is>
          <t>Input</t>
        </is>
      </c>
      <c r="F398" t="n">
        <v/>
      </c>
      <c r="G398" t="inlineStr">
        <is>
          <t>Office Eq</t>
        </is>
      </c>
      <c r="H398" t="inlineStr"/>
      <c r="I398" t="inlineStr">
        <is>
          <t>General</t>
        </is>
      </c>
      <c r="J398" t="b">
        <v>1</v>
      </c>
      <c r="K398" t="b">
        <v>0</v>
      </c>
      <c r="L398" t="n">
        <v>11</v>
      </c>
      <c r="M398" t="inlineStr">
        <is>
          <t>FF000000</t>
        </is>
      </c>
      <c r="N398" t="inlineStr">
        <is>
          <t>00000000</t>
        </is>
      </c>
      <c r="O398" t="n">
        <v/>
      </c>
      <c r="P398" t="n">
        <v/>
      </c>
      <c r="R398" t="b">
        <v>1</v>
      </c>
      <c r="S398" t="n">
        <v/>
      </c>
      <c r="T398" t="n">
        <v/>
      </c>
      <c r="U398" t="n">
        <v/>
      </c>
      <c r="V398" t="b">
        <v>0</v>
      </c>
      <c r="W398" t="inlineStr"/>
      <c r="X398" t="n">
        <v/>
      </c>
    </row>
    <row r="399">
      <c r="A399" t="inlineStr">
        <is>
          <t>Asset schedule</t>
        </is>
      </c>
      <c r="B399" t="inlineStr">
        <is>
          <t>B49</t>
        </is>
      </c>
      <c r="C399" t="n">
        <v>49</v>
      </c>
      <c r="D399" t="n">
        <v>2</v>
      </c>
      <c r="E399" t="inlineStr">
        <is>
          <t>Input</t>
        </is>
      </c>
      <c r="F399" t="n">
        <v/>
      </c>
      <c r="G399" t="n">
        <v>2015</v>
      </c>
      <c r="H399" t="inlineStr"/>
      <c r="I399" t="inlineStr">
        <is>
          <t>General</t>
        </is>
      </c>
      <c r="J399" t="b">
        <v>1</v>
      </c>
      <c r="K399" t="b">
        <v>0</v>
      </c>
      <c r="L399" t="n">
        <v>11</v>
      </c>
      <c r="M399" t="inlineStr">
        <is>
          <t>Values must be of type &lt;class 'str'&gt;</t>
        </is>
      </c>
      <c r="N399" t="inlineStr">
        <is>
          <t>Values must be of type &lt;class 'str'&gt;</t>
        </is>
      </c>
      <c r="O399" t="inlineStr">
        <is>
          <t>center</t>
        </is>
      </c>
      <c r="P399" t="inlineStr">
        <is>
          <t>center</t>
        </is>
      </c>
      <c r="R399" t="b">
        <v>1</v>
      </c>
      <c r="S399" t="n">
        <v/>
      </c>
      <c r="T399" t="n">
        <v/>
      </c>
      <c r="U399" t="n">
        <v/>
      </c>
      <c r="V399" t="b">
        <v>0</v>
      </c>
      <c r="W399" t="inlineStr"/>
      <c r="X399" t="n">
        <v/>
      </c>
    </row>
    <row r="400">
      <c r="A400" t="inlineStr">
        <is>
          <t>Asset schedule</t>
        </is>
      </c>
      <c r="B400" t="inlineStr">
        <is>
          <t>C49</t>
        </is>
      </c>
      <c r="C400" t="n">
        <v>49</v>
      </c>
      <c r="D400" t="n">
        <v>3</v>
      </c>
      <c r="E400" t="inlineStr">
        <is>
          <t>Input</t>
        </is>
      </c>
      <c r="F400" t="n">
        <v/>
      </c>
      <c r="G400" t="n">
        <v>2016</v>
      </c>
      <c r="H400" t="inlineStr"/>
      <c r="I400" t="inlineStr">
        <is>
          <t>General</t>
        </is>
      </c>
      <c r="J400" t="b">
        <v>1</v>
      </c>
      <c r="K400" t="b">
        <v>0</v>
      </c>
      <c r="L400" t="n">
        <v>11</v>
      </c>
      <c r="M400" t="inlineStr">
        <is>
          <t>Values must be of type &lt;class 'str'&gt;</t>
        </is>
      </c>
      <c r="N400" t="inlineStr">
        <is>
          <t>Values must be of type &lt;class 'str'&gt;</t>
        </is>
      </c>
      <c r="O400" t="inlineStr">
        <is>
          <t>center</t>
        </is>
      </c>
      <c r="P400" t="inlineStr">
        <is>
          <t>center</t>
        </is>
      </c>
      <c r="R400" t="b">
        <v>1</v>
      </c>
      <c r="S400" t="n">
        <v/>
      </c>
      <c r="T400" t="n">
        <v/>
      </c>
      <c r="U400" t="n">
        <v/>
      </c>
      <c r="V400" t="b">
        <v>0</v>
      </c>
      <c r="W400" t="inlineStr"/>
      <c r="X400" t="n">
        <v/>
      </c>
    </row>
    <row r="401">
      <c r="A401" t="inlineStr">
        <is>
          <t>Asset schedule</t>
        </is>
      </c>
      <c r="B401" t="inlineStr">
        <is>
          <t>D49</t>
        </is>
      </c>
      <c r="C401" t="n">
        <v>49</v>
      </c>
      <c r="D401" t="n">
        <v>4</v>
      </c>
      <c r="E401" t="inlineStr">
        <is>
          <t>Input</t>
        </is>
      </c>
      <c r="F401" t="n">
        <v/>
      </c>
      <c r="G401" t="n">
        <v>2017</v>
      </c>
      <c r="H401" t="inlineStr"/>
      <c r="I401" t="inlineStr">
        <is>
          <t>General</t>
        </is>
      </c>
      <c r="J401" t="b">
        <v>1</v>
      </c>
      <c r="K401" t="b">
        <v>0</v>
      </c>
      <c r="L401" t="n">
        <v>11</v>
      </c>
      <c r="M401" t="inlineStr">
        <is>
          <t>Values must be of type &lt;class 'str'&gt;</t>
        </is>
      </c>
      <c r="N401" t="inlineStr">
        <is>
          <t>Values must be of type &lt;class 'str'&gt;</t>
        </is>
      </c>
      <c r="O401" t="inlineStr">
        <is>
          <t>center</t>
        </is>
      </c>
      <c r="P401" t="inlineStr">
        <is>
          <t>center</t>
        </is>
      </c>
      <c r="R401" t="b">
        <v>1</v>
      </c>
      <c r="S401" t="n">
        <v/>
      </c>
      <c r="T401" t="n">
        <v/>
      </c>
      <c r="U401" t="n">
        <v/>
      </c>
      <c r="V401" t="b">
        <v>0</v>
      </c>
      <c r="W401" t="inlineStr"/>
      <c r="X401" t="n">
        <v/>
      </c>
    </row>
    <row r="402">
      <c r="A402" t="inlineStr">
        <is>
          <t>Asset schedule</t>
        </is>
      </c>
      <c r="B402" t="inlineStr">
        <is>
          <t>E49</t>
        </is>
      </c>
      <c r="C402" t="n">
        <v>49</v>
      </c>
      <c r="D402" t="n">
        <v>5</v>
      </c>
      <c r="E402" t="inlineStr">
        <is>
          <t>Input</t>
        </is>
      </c>
      <c r="F402" t="n">
        <v/>
      </c>
      <c r="G402" t="inlineStr">
        <is>
          <t>2018 F</t>
        </is>
      </c>
      <c r="H402" t="inlineStr"/>
      <c r="I402" t="inlineStr">
        <is>
          <t>General</t>
        </is>
      </c>
      <c r="J402" t="b">
        <v>1</v>
      </c>
      <c r="K402" t="b">
        <v>0</v>
      </c>
      <c r="L402" t="n">
        <v>11</v>
      </c>
      <c r="M402" t="inlineStr">
        <is>
          <t>Values must be of type &lt;class 'str'&gt;</t>
        </is>
      </c>
      <c r="N402" t="inlineStr">
        <is>
          <t>Values must be of type &lt;class 'str'&gt;</t>
        </is>
      </c>
      <c r="O402" t="inlineStr">
        <is>
          <t>center</t>
        </is>
      </c>
      <c r="P402" t="inlineStr">
        <is>
          <t>center</t>
        </is>
      </c>
      <c r="R402" t="b">
        <v>1</v>
      </c>
      <c r="S402" t="n">
        <v/>
      </c>
      <c r="T402" t="n">
        <v/>
      </c>
      <c r="U402" t="n">
        <v/>
      </c>
      <c r="V402" t="b">
        <v>0</v>
      </c>
      <c r="W402" t="inlineStr"/>
      <c r="X402" t="n">
        <v/>
      </c>
    </row>
    <row r="403">
      <c r="A403" t="inlineStr">
        <is>
          <t>Asset schedule</t>
        </is>
      </c>
      <c r="B403" t="inlineStr">
        <is>
          <t>F49</t>
        </is>
      </c>
      <c r="C403" t="n">
        <v>49</v>
      </c>
      <c r="D403" t="n">
        <v>6</v>
      </c>
      <c r="E403" t="inlineStr">
        <is>
          <t>Input</t>
        </is>
      </c>
      <c r="F403" t="n">
        <v/>
      </c>
      <c r="G403" t="inlineStr">
        <is>
          <t>2019 F</t>
        </is>
      </c>
      <c r="H403" t="inlineStr"/>
      <c r="I403" t="inlineStr">
        <is>
          <t>General</t>
        </is>
      </c>
      <c r="J403" t="b">
        <v>1</v>
      </c>
      <c r="K403" t="b">
        <v>0</v>
      </c>
      <c r="L403" t="n">
        <v>11</v>
      </c>
      <c r="M403" t="inlineStr">
        <is>
          <t>Values must be of type &lt;class 'str'&gt;</t>
        </is>
      </c>
      <c r="N403" t="inlineStr">
        <is>
          <t>Values must be of type &lt;class 'str'&gt;</t>
        </is>
      </c>
      <c r="O403" t="inlineStr">
        <is>
          <t>center</t>
        </is>
      </c>
      <c r="P403" t="inlineStr">
        <is>
          <t>center</t>
        </is>
      </c>
      <c r="R403" t="b">
        <v>1</v>
      </c>
      <c r="S403" t="n">
        <v/>
      </c>
      <c r="T403" t="n">
        <v/>
      </c>
      <c r="U403" t="n">
        <v/>
      </c>
      <c r="V403" t="b">
        <v>0</v>
      </c>
      <c r="W403" t="inlineStr"/>
      <c r="X403" t="n">
        <v/>
      </c>
    </row>
    <row r="404">
      <c r="A404" t="inlineStr">
        <is>
          <t>Asset schedule</t>
        </is>
      </c>
      <c r="B404" t="inlineStr">
        <is>
          <t>G49</t>
        </is>
      </c>
      <c r="C404" t="n">
        <v>49</v>
      </c>
      <c r="D404" t="n">
        <v>7</v>
      </c>
      <c r="E404" t="inlineStr">
        <is>
          <t>Input</t>
        </is>
      </c>
      <c r="F404" t="n">
        <v/>
      </c>
      <c r="G404" t="inlineStr">
        <is>
          <t>2020 F</t>
        </is>
      </c>
      <c r="H404" t="inlineStr"/>
      <c r="I404" t="inlineStr">
        <is>
          <t>General</t>
        </is>
      </c>
      <c r="J404" t="b">
        <v>1</v>
      </c>
      <c r="K404" t="b">
        <v>0</v>
      </c>
      <c r="L404" t="n">
        <v>11</v>
      </c>
      <c r="M404" t="inlineStr">
        <is>
          <t>Values must be of type &lt;class 'str'&gt;</t>
        </is>
      </c>
      <c r="N404" t="inlineStr">
        <is>
          <t>Values must be of type &lt;class 'str'&gt;</t>
        </is>
      </c>
      <c r="O404" t="inlineStr">
        <is>
          <t>center</t>
        </is>
      </c>
      <c r="P404" t="inlineStr">
        <is>
          <t>center</t>
        </is>
      </c>
      <c r="R404" t="b">
        <v>1</v>
      </c>
      <c r="S404" t="n">
        <v/>
      </c>
      <c r="T404" t="n">
        <v/>
      </c>
      <c r="U404" t="n">
        <v/>
      </c>
      <c r="V404" t="b">
        <v>0</v>
      </c>
      <c r="W404" t="inlineStr"/>
      <c r="X404" t="n">
        <v/>
      </c>
    </row>
    <row r="405">
      <c r="A405" t="inlineStr">
        <is>
          <t>Asset schedule</t>
        </is>
      </c>
      <c r="B405" t="inlineStr">
        <is>
          <t>H49</t>
        </is>
      </c>
      <c r="C405" t="n">
        <v>49</v>
      </c>
      <c r="D405" t="n">
        <v>8</v>
      </c>
      <c r="E405" t="inlineStr">
        <is>
          <t>Input</t>
        </is>
      </c>
      <c r="F405" t="n">
        <v/>
      </c>
      <c r="G405" t="inlineStr">
        <is>
          <t>2021 F</t>
        </is>
      </c>
      <c r="H405" t="inlineStr"/>
      <c r="I405" t="inlineStr">
        <is>
          <t>General</t>
        </is>
      </c>
      <c r="J405" t="b">
        <v>1</v>
      </c>
      <c r="K405" t="b">
        <v>0</v>
      </c>
      <c r="L405" t="n">
        <v>11</v>
      </c>
      <c r="M405" t="inlineStr">
        <is>
          <t>Values must be of type &lt;class 'str'&gt;</t>
        </is>
      </c>
      <c r="N405" t="inlineStr">
        <is>
          <t>Values must be of type &lt;class 'str'&gt;</t>
        </is>
      </c>
      <c r="O405" t="inlineStr">
        <is>
          <t>center</t>
        </is>
      </c>
      <c r="P405" t="inlineStr">
        <is>
          <t>center</t>
        </is>
      </c>
      <c r="R405" t="b">
        <v>1</v>
      </c>
      <c r="S405" t="n">
        <v/>
      </c>
      <c r="T405" t="n">
        <v/>
      </c>
      <c r="U405" t="n">
        <v/>
      </c>
      <c r="V405" t="b">
        <v>0</v>
      </c>
      <c r="W405" t="inlineStr"/>
      <c r="X405" t="n">
        <v/>
      </c>
    </row>
    <row r="406">
      <c r="A406" t="inlineStr">
        <is>
          <t>Asset schedule</t>
        </is>
      </c>
      <c r="B406" t="inlineStr">
        <is>
          <t>I49</t>
        </is>
      </c>
      <c r="C406" t="n">
        <v>49</v>
      </c>
      <c r="D406" t="n">
        <v>9</v>
      </c>
      <c r="E406" t="inlineStr">
        <is>
          <t>Input</t>
        </is>
      </c>
      <c r="F406" t="n">
        <v/>
      </c>
      <c r="G406" t="inlineStr">
        <is>
          <t>2022 F</t>
        </is>
      </c>
      <c r="H406" t="inlineStr"/>
      <c r="I406" t="inlineStr">
        <is>
          <t>General</t>
        </is>
      </c>
      <c r="J406" t="b">
        <v>1</v>
      </c>
      <c r="K406" t="b">
        <v>0</v>
      </c>
      <c r="L406" t="n">
        <v>11</v>
      </c>
      <c r="M406" t="inlineStr">
        <is>
          <t>Values must be of type &lt;class 'str'&gt;</t>
        </is>
      </c>
      <c r="N406" t="inlineStr">
        <is>
          <t>Values must be of type &lt;class 'str'&gt;</t>
        </is>
      </c>
      <c r="O406" t="inlineStr">
        <is>
          <t>center</t>
        </is>
      </c>
      <c r="P406" t="inlineStr">
        <is>
          <t>center</t>
        </is>
      </c>
      <c r="R406" t="b">
        <v>1</v>
      </c>
      <c r="S406" t="n">
        <v/>
      </c>
      <c r="T406" t="n">
        <v/>
      </c>
      <c r="U406" t="n">
        <v/>
      </c>
      <c r="V406" t="b">
        <v>0</v>
      </c>
      <c r="W406" t="inlineStr"/>
      <c r="X406" t="n">
        <v/>
      </c>
    </row>
    <row r="407">
      <c r="A407" t="inlineStr">
        <is>
          <t>Asset schedule</t>
        </is>
      </c>
      <c r="B407" t="inlineStr">
        <is>
          <t>A50</t>
        </is>
      </c>
      <c r="C407" t="n">
        <v>50</v>
      </c>
      <c r="D407" t="n">
        <v>1</v>
      </c>
      <c r="E407" t="inlineStr">
        <is>
          <t>Input</t>
        </is>
      </c>
      <c r="F407" t="n">
        <v/>
      </c>
      <c r="G407" t="inlineStr">
        <is>
          <t>Opening balance</t>
        </is>
      </c>
      <c r="H407" t="inlineStr"/>
      <c r="I407" t="inlineStr">
        <is>
          <t>General</t>
        </is>
      </c>
      <c r="J407" t="b">
        <v>0</v>
      </c>
      <c r="K407" t="b">
        <v>0</v>
      </c>
      <c r="L407" t="n">
        <v>11</v>
      </c>
      <c r="M407" t="inlineStr">
        <is>
          <t>FF000000</t>
        </is>
      </c>
      <c r="N407" t="inlineStr">
        <is>
          <t>00000000</t>
        </is>
      </c>
      <c r="O407" t="n">
        <v/>
      </c>
      <c r="P407" t="n">
        <v/>
      </c>
      <c r="R407" t="b">
        <v>1</v>
      </c>
      <c r="S407" t="n">
        <v/>
      </c>
      <c r="T407" t="n">
        <v/>
      </c>
      <c r="U407" t="n">
        <v/>
      </c>
      <c r="V407" t="b">
        <v>0</v>
      </c>
      <c r="W407" t="inlineStr"/>
      <c r="X407" t="n">
        <v/>
      </c>
    </row>
    <row r="408">
      <c r="A408" t="inlineStr">
        <is>
          <t>Asset schedule</t>
        </is>
      </c>
      <c r="B408" t="inlineStr">
        <is>
          <t>D50</t>
        </is>
      </c>
      <c r="C408" t="n">
        <v>50</v>
      </c>
      <c r="D408" t="n">
        <v>4</v>
      </c>
      <c r="E408" t="inlineStr">
        <is>
          <t>Input</t>
        </is>
      </c>
      <c r="F408" t="n">
        <v/>
      </c>
      <c r="G408" t="n">
        <v>32.42</v>
      </c>
      <c r="H408" t="inlineStr"/>
      <c r="I408" t="inlineStr">
        <is>
          <t>General</t>
        </is>
      </c>
      <c r="J408" t="b">
        <v>0</v>
      </c>
      <c r="K408" t="b">
        <v>0</v>
      </c>
      <c r="L408" t="n">
        <v>11</v>
      </c>
      <c r="M408" t="inlineStr">
        <is>
          <t>FF000000</t>
        </is>
      </c>
      <c r="N408" t="inlineStr">
        <is>
          <t>00000000</t>
        </is>
      </c>
      <c r="O408" t="n">
        <v/>
      </c>
      <c r="P408" t="n">
        <v/>
      </c>
      <c r="R408" t="b">
        <v>1</v>
      </c>
      <c r="S408" t="n">
        <v/>
      </c>
      <c r="T408" t="n">
        <v/>
      </c>
      <c r="U408" t="n">
        <v/>
      </c>
      <c r="V408" t="b">
        <v>0</v>
      </c>
      <c r="W408" t="inlineStr"/>
      <c r="X408" t="n">
        <v/>
      </c>
    </row>
    <row r="409">
      <c r="A409" t="inlineStr">
        <is>
          <t>Asset schedule</t>
        </is>
      </c>
      <c r="B409" t="inlineStr">
        <is>
          <t>E50</t>
        </is>
      </c>
      <c r="C409" t="n">
        <v>50</v>
      </c>
      <c r="D409" t="n">
        <v>5</v>
      </c>
      <c r="E409" t="inlineStr">
        <is>
          <t>Calculation</t>
        </is>
      </c>
      <c r="F409" t="inlineStr">
        <is>
          <t>'=D54</t>
        </is>
      </c>
      <c r="G409" t="n">
        <v>26.08</v>
      </c>
      <c r="H409" t="inlineStr"/>
      <c r="I409" t="inlineStr">
        <is>
          <t>General</t>
        </is>
      </c>
      <c r="J409" t="b">
        <v>0</v>
      </c>
      <c r="K409" t="b">
        <v>0</v>
      </c>
      <c r="L409" t="n">
        <v>11</v>
      </c>
      <c r="M409" t="inlineStr">
        <is>
          <t>FF000000</t>
        </is>
      </c>
      <c r="N409" t="inlineStr">
        <is>
          <t>00000000</t>
        </is>
      </c>
      <c r="O409" t="n">
        <v/>
      </c>
      <c r="P409" t="n">
        <v/>
      </c>
      <c r="R409" t="b">
        <v>1</v>
      </c>
      <c r="S409" t="inlineStr">
        <is>
          <t>G000084</t>
        </is>
      </c>
      <c r="T409" t="inlineStr">
        <is>
          <t>Horizontal</t>
        </is>
      </c>
      <c r="U409" t="n">
        <v>5</v>
      </c>
      <c r="V409" t="b">
        <v>1</v>
      </c>
      <c r="W409" t="inlineStr">
        <is>
          <t>Asset schedule!E50:I50</t>
        </is>
      </c>
      <c r="X409">
        <f>R[4]C[-1]</f>
        <v/>
      </c>
    </row>
    <row r="410">
      <c r="A410" t="inlineStr">
        <is>
          <t>Asset schedule</t>
        </is>
      </c>
      <c r="B410" t="inlineStr">
        <is>
          <t>F50</t>
        </is>
      </c>
      <c r="C410" t="n">
        <v>50</v>
      </c>
      <c r="D410" t="n">
        <v>6</v>
      </c>
      <c r="E410" t="inlineStr">
        <is>
          <t>Calculation</t>
        </is>
      </c>
      <c r="F410" t="inlineStr">
        <is>
          <t>'=E54</t>
        </is>
      </c>
      <c r="G410" t="n">
        <v>24.93358080861804</v>
      </c>
      <c r="H410" t="inlineStr"/>
      <c r="I410" t="inlineStr">
        <is>
          <t>General</t>
        </is>
      </c>
      <c r="J410" t="b">
        <v>0</v>
      </c>
      <c r="K410" t="b">
        <v>0</v>
      </c>
      <c r="L410" t="n">
        <v>11</v>
      </c>
      <c r="M410" t="inlineStr">
        <is>
          <t>FF000000</t>
        </is>
      </c>
      <c r="N410" t="inlineStr">
        <is>
          <t>00000000</t>
        </is>
      </c>
      <c r="O410" t="n">
        <v/>
      </c>
      <c r="P410" t="n">
        <v/>
      </c>
      <c r="R410" t="b">
        <v>1</v>
      </c>
      <c r="S410" t="inlineStr">
        <is>
          <t>G000084</t>
        </is>
      </c>
      <c r="T410" t="inlineStr">
        <is>
          <t>Horizontal</t>
        </is>
      </c>
      <c r="U410" t="n">
        <v>5</v>
      </c>
      <c r="V410" t="b">
        <v>1</v>
      </c>
      <c r="W410" t="inlineStr">
        <is>
          <t>Asset schedule!E50:I50</t>
        </is>
      </c>
      <c r="X410">
        <f>R[4]C[-1]</f>
        <v/>
      </c>
    </row>
    <row r="411">
      <c r="A411" t="inlineStr">
        <is>
          <t>Asset schedule</t>
        </is>
      </c>
      <c r="B411" t="inlineStr">
        <is>
          <t>G50</t>
        </is>
      </c>
      <c r="C411" t="n">
        <v>50</v>
      </c>
      <c r="D411" t="n">
        <v>7</v>
      </c>
      <c r="E411" t="inlineStr">
        <is>
          <t>Calculation</t>
        </is>
      </c>
      <c r="F411" t="inlineStr">
        <is>
          <t>'=F54</t>
        </is>
      </c>
      <c r="G411" t="n">
        <v>24.77972787455752</v>
      </c>
      <c r="H411" t="inlineStr"/>
      <c r="I411" t="inlineStr">
        <is>
          <t>General</t>
        </is>
      </c>
      <c r="J411" t="b">
        <v>0</v>
      </c>
      <c r="K411" t="b">
        <v>0</v>
      </c>
      <c r="L411" t="n">
        <v>11</v>
      </c>
      <c r="M411" t="inlineStr">
        <is>
          <t>FF000000</t>
        </is>
      </c>
      <c r="N411" t="inlineStr">
        <is>
          <t>00000000</t>
        </is>
      </c>
      <c r="O411" t="n">
        <v/>
      </c>
      <c r="P411" t="n">
        <v/>
      </c>
      <c r="R411" t="b">
        <v>1</v>
      </c>
      <c r="S411" t="inlineStr">
        <is>
          <t>G000084</t>
        </is>
      </c>
      <c r="T411" t="inlineStr">
        <is>
          <t>Horizontal</t>
        </is>
      </c>
      <c r="U411" t="n">
        <v>5</v>
      </c>
      <c r="V411" t="b">
        <v>1</v>
      </c>
      <c r="W411" t="inlineStr">
        <is>
          <t>Asset schedule!E50:I50</t>
        </is>
      </c>
      <c r="X411">
        <f>R[4]C[-1]</f>
        <v/>
      </c>
    </row>
    <row r="412">
      <c r="A412" t="inlineStr">
        <is>
          <t>Asset schedule</t>
        </is>
      </c>
      <c r="B412" t="inlineStr">
        <is>
          <t>H50</t>
        </is>
      </c>
      <c r="C412" t="n">
        <v>50</v>
      </c>
      <c r="D412" t="n">
        <v>8</v>
      </c>
      <c r="E412" t="inlineStr">
        <is>
          <t>Calculation</t>
        </is>
      </c>
      <c r="F412" t="inlineStr">
        <is>
          <t>'=G54</t>
        </is>
      </c>
      <c r="G412" t="n">
        <v>25.31572926819843</v>
      </c>
      <c r="H412" t="inlineStr"/>
      <c r="I412" t="inlineStr">
        <is>
          <t>General</t>
        </is>
      </c>
      <c r="J412" t="b">
        <v>0</v>
      </c>
      <c r="K412" t="b">
        <v>0</v>
      </c>
      <c r="L412" t="n">
        <v>11</v>
      </c>
      <c r="M412" t="inlineStr">
        <is>
          <t>FF000000</t>
        </is>
      </c>
      <c r="N412" t="inlineStr">
        <is>
          <t>00000000</t>
        </is>
      </c>
      <c r="O412" t="n">
        <v/>
      </c>
      <c r="P412" t="n">
        <v/>
      </c>
      <c r="R412" t="b">
        <v>1</v>
      </c>
      <c r="S412" t="inlineStr">
        <is>
          <t>G000084</t>
        </is>
      </c>
      <c r="T412" t="inlineStr">
        <is>
          <t>Horizontal</t>
        </is>
      </c>
      <c r="U412" t="n">
        <v>5</v>
      </c>
      <c r="V412" t="b">
        <v>1</v>
      </c>
      <c r="W412" t="inlineStr">
        <is>
          <t>Asset schedule!E50:I50</t>
        </is>
      </c>
      <c r="X412">
        <f>R[4]C[-1]</f>
        <v/>
      </c>
    </row>
    <row r="413">
      <c r="A413" t="inlineStr">
        <is>
          <t>Asset schedule</t>
        </is>
      </c>
      <c r="B413" t="inlineStr">
        <is>
          <t>I50</t>
        </is>
      </c>
      <c r="C413" t="n">
        <v>50</v>
      </c>
      <c r="D413" t="n">
        <v>9</v>
      </c>
      <c r="E413" t="inlineStr">
        <is>
          <t>Calculation</t>
        </is>
      </c>
      <c r="F413" t="inlineStr">
        <is>
          <t>'=H54</t>
        </is>
      </c>
      <c r="G413" t="n">
        <v>26.34591055116683</v>
      </c>
      <c r="H413" t="inlineStr"/>
      <c r="I413" t="inlineStr">
        <is>
          <t>General</t>
        </is>
      </c>
      <c r="J413" t="b">
        <v>0</v>
      </c>
      <c r="K413" t="b">
        <v>0</v>
      </c>
      <c r="L413" t="n">
        <v>11</v>
      </c>
      <c r="M413" t="inlineStr">
        <is>
          <t>FF000000</t>
        </is>
      </c>
      <c r="N413" t="inlineStr">
        <is>
          <t>00000000</t>
        </is>
      </c>
      <c r="O413" t="n">
        <v/>
      </c>
      <c r="P413" t="n">
        <v/>
      </c>
      <c r="R413" t="b">
        <v>1</v>
      </c>
      <c r="S413" t="inlineStr">
        <is>
          <t>G000084</t>
        </is>
      </c>
      <c r="T413" t="inlineStr">
        <is>
          <t>Horizontal</t>
        </is>
      </c>
      <c r="U413" t="n">
        <v>5</v>
      </c>
      <c r="V413" t="b">
        <v>1</v>
      </c>
      <c r="W413" t="inlineStr">
        <is>
          <t>Asset schedule!E50:I50</t>
        </is>
      </c>
      <c r="X413">
        <f>R[4]C[-1]</f>
        <v/>
      </c>
    </row>
    <row r="414">
      <c r="A414" t="inlineStr">
        <is>
          <t>Asset schedule</t>
        </is>
      </c>
      <c r="B414" t="inlineStr">
        <is>
          <t>A51</t>
        </is>
      </c>
      <c r="C414" t="n">
        <v>51</v>
      </c>
      <c r="D414" t="n">
        <v>1</v>
      </c>
      <c r="E414" t="inlineStr">
        <is>
          <t>Input</t>
        </is>
      </c>
      <c r="F414" t="n">
        <v/>
      </c>
      <c r="G414" t="inlineStr">
        <is>
          <t>Add: purchase during the year</t>
        </is>
      </c>
      <c r="H414" t="inlineStr"/>
      <c r="I414" t="inlineStr">
        <is>
          <t>General</t>
        </is>
      </c>
      <c r="J414" t="b">
        <v>0</v>
      </c>
      <c r="K414" t="b">
        <v>0</v>
      </c>
      <c r="L414" t="n">
        <v>11</v>
      </c>
      <c r="M414" t="inlineStr">
        <is>
          <t>FF000000</t>
        </is>
      </c>
      <c r="N414" t="inlineStr">
        <is>
          <t>00000000</t>
        </is>
      </c>
      <c r="O414" t="n">
        <v/>
      </c>
      <c r="P414" t="n">
        <v/>
      </c>
      <c r="R414" t="b">
        <v>1</v>
      </c>
      <c r="S414" t="n">
        <v/>
      </c>
      <c r="T414" t="n">
        <v/>
      </c>
      <c r="U414" t="n">
        <v/>
      </c>
      <c r="V414" t="b">
        <v>0</v>
      </c>
      <c r="W414" t="inlineStr"/>
      <c r="X414" t="n">
        <v/>
      </c>
    </row>
    <row r="415">
      <c r="A415" t="inlineStr">
        <is>
          <t>Asset schedule</t>
        </is>
      </c>
      <c r="B415" t="inlineStr">
        <is>
          <t>D51</t>
        </is>
      </c>
      <c r="C415" t="n">
        <v>51</v>
      </c>
      <c r="D415" t="n">
        <v>4</v>
      </c>
      <c r="E415" t="inlineStr">
        <is>
          <t>Input</t>
        </is>
      </c>
      <c r="F415" t="n">
        <v/>
      </c>
      <c r="G415" t="n">
        <v>7.3</v>
      </c>
      <c r="H415" t="inlineStr"/>
      <c r="I415" t="inlineStr">
        <is>
          <t>General</t>
        </is>
      </c>
      <c r="J415" t="b">
        <v>0</v>
      </c>
      <c r="K415" t="b">
        <v>0</v>
      </c>
      <c r="L415" t="n">
        <v>11</v>
      </c>
      <c r="M415" t="inlineStr">
        <is>
          <t>FF000000</t>
        </is>
      </c>
      <c r="N415" t="inlineStr">
        <is>
          <t>00000000</t>
        </is>
      </c>
      <c r="O415" t="n">
        <v/>
      </c>
      <c r="P415" t="n">
        <v/>
      </c>
      <c r="R415" t="b">
        <v>1</v>
      </c>
      <c r="S415" t="n">
        <v/>
      </c>
      <c r="T415" t="n">
        <v/>
      </c>
      <c r="U415" t="n">
        <v/>
      </c>
      <c r="V415" t="b">
        <v>0</v>
      </c>
      <c r="W415" t="inlineStr"/>
      <c r="X415" t="n">
        <v/>
      </c>
    </row>
    <row r="416">
      <c r="A416" t="inlineStr">
        <is>
          <t>Asset schedule</t>
        </is>
      </c>
      <c r="B416" t="inlineStr">
        <is>
          <t>E51</t>
        </is>
      </c>
      <c r="C416" t="n">
        <v>51</v>
      </c>
      <c r="D416" t="n">
        <v>5</v>
      </c>
      <c r="E416" t="inlineStr">
        <is>
          <t>Calculation</t>
        </is>
      </c>
      <c r="F416" t="inlineStr">
        <is>
          <t>'=INDEX($L$4:$T$15,MATCH($A49,$L$4:$L$15,0),MATCH(E49,$L$4:$T$4,0))</t>
        </is>
      </c>
      <c r="G416" t="n">
        <v>7.859050632911393</v>
      </c>
      <c r="H416" t="inlineStr"/>
      <c r="I416" t="inlineStr">
        <is>
          <t>0.0</t>
        </is>
      </c>
      <c r="J416" t="b">
        <v>0</v>
      </c>
      <c r="K416" t="b">
        <v>0</v>
      </c>
      <c r="L416" t="n">
        <v>11</v>
      </c>
      <c r="M416" t="inlineStr">
        <is>
          <t>FF000000</t>
        </is>
      </c>
      <c r="N416" t="inlineStr">
        <is>
          <t>00000000</t>
        </is>
      </c>
      <c r="O416" t="n">
        <v/>
      </c>
      <c r="P416" t="n">
        <v/>
      </c>
      <c r="R416" t="b">
        <v>1</v>
      </c>
      <c r="S416" t="inlineStr">
        <is>
          <t>G000096</t>
        </is>
      </c>
      <c r="T416" t="inlineStr">
        <is>
          <t>Horizontal</t>
        </is>
      </c>
      <c r="U416" t="n">
        <v>5</v>
      </c>
      <c r="V416" t="b">
        <v>1</v>
      </c>
      <c r="W416" t="inlineStr">
        <is>
          <t>Asset schedule!E51:I51</t>
        </is>
      </c>
      <c r="X416">
        <f>INDEX(R4C12:R15C20,MATCH(R[-2]C1,R4C12:R15C12,0),MATCH(R[-2]C[0],R4C12:R4C20,0))</f>
        <v/>
      </c>
    </row>
    <row r="417">
      <c r="A417" t="inlineStr">
        <is>
          <t>Asset schedule</t>
        </is>
      </c>
      <c r="B417" t="inlineStr">
        <is>
          <t>F51</t>
        </is>
      </c>
      <c r="C417" t="n">
        <v>51</v>
      </c>
      <c r="D417" t="n">
        <v>6</v>
      </c>
      <c r="E417" t="inlineStr">
        <is>
          <t>Calculation</t>
        </is>
      </c>
      <c r="F417" t="inlineStr">
        <is>
          <t>'=INDEX($L$4:$T$15,MATCH($A49,$L$4:$L$15,0),MATCH(F49,$L$4:$T$4,0))</t>
        </is>
      </c>
      <c r="G417" t="n">
        <v>8.455756329113926</v>
      </c>
      <c r="H417" t="inlineStr"/>
      <c r="I417" t="inlineStr">
        <is>
          <t>0.0</t>
        </is>
      </c>
      <c r="J417" t="b">
        <v>0</v>
      </c>
      <c r="K417" t="b">
        <v>0</v>
      </c>
      <c r="L417" t="n">
        <v>11</v>
      </c>
      <c r="M417" t="inlineStr">
        <is>
          <t>FF000000</t>
        </is>
      </c>
      <c r="N417" t="inlineStr">
        <is>
          <t>00000000</t>
        </is>
      </c>
      <c r="O417" t="n">
        <v/>
      </c>
      <c r="P417" t="n">
        <v/>
      </c>
      <c r="R417" t="b">
        <v>1</v>
      </c>
      <c r="S417" t="inlineStr">
        <is>
          <t>G000096</t>
        </is>
      </c>
      <c r="T417" t="inlineStr">
        <is>
          <t>Horizontal</t>
        </is>
      </c>
      <c r="U417" t="n">
        <v>5</v>
      </c>
      <c r="V417" t="b">
        <v>1</v>
      </c>
      <c r="W417" t="inlineStr">
        <is>
          <t>Asset schedule!E51:I51</t>
        </is>
      </c>
      <c r="X417">
        <f>INDEX(R4C12:R15C20,MATCH(R[-2]C1,R4C12:R15C12,0),MATCH(R[-2]C[0],R4C12:R4C20,0))</f>
        <v/>
      </c>
    </row>
    <row r="418">
      <c r="A418" t="inlineStr">
        <is>
          <t>Asset schedule</t>
        </is>
      </c>
      <c r="B418" t="inlineStr">
        <is>
          <t>G51</t>
        </is>
      </c>
      <c r="C418" t="n">
        <v>51</v>
      </c>
      <c r="D418" t="n">
        <v>7</v>
      </c>
      <c r="E418" t="inlineStr">
        <is>
          <t>Calculation</t>
        </is>
      </c>
      <c r="F418" t="inlineStr">
        <is>
          <t>'=INDEX($L$4:$T$15,MATCH($A49,$L$4:$L$15,0),MATCH(G49,$L$4:$T$4,0))</t>
        </is>
      </c>
      <c r="G418" t="n">
        <v>9.092484968354432</v>
      </c>
      <c r="H418" t="inlineStr"/>
      <c r="I418" t="inlineStr">
        <is>
          <t>0.0</t>
        </is>
      </c>
      <c r="J418" t="b">
        <v>0</v>
      </c>
      <c r="K418" t="b">
        <v>0</v>
      </c>
      <c r="L418" t="n">
        <v>11</v>
      </c>
      <c r="M418" t="inlineStr">
        <is>
          <t>FF000000</t>
        </is>
      </c>
      <c r="N418" t="inlineStr">
        <is>
          <t>00000000</t>
        </is>
      </c>
      <c r="O418" t="n">
        <v/>
      </c>
      <c r="P418" t="n">
        <v/>
      </c>
      <c r="R418" t="b">
        <v>1</v>
      </c>
      <c r="S418" t="inlineStr">
        <is>
          <t>G000096</t>
        </is>
      </c>
      <c r="T418" t="inlineStr">
        <is>
          <t>Horizontal</t>
        </is>
      </c>
      <c r="U418" t="n">
        <v>5</v>
      </c>
      <c r="V418" t="b">
        <v>1</v>
      </c>
      <c r="W418" t="inlineStr">
        <is>
          <t>Asset schedule!E51:I51</t>
        </is>
      </c>
      <c r="X418">
        <f>INDEX(R4C12:R15C20,MATCH(R[-2]C1,R4C12:R15C12,0),MATCH(R[-2]C[0],R4C12:R4C20,0))</f>
        <v/>
      </c>
    </row>
    <row r="419">
      <c r="A419" t="inlineStr">
        <is>
          <t>Asset schedule</t>
        </is>
      </c>
      <c r="B419" t="inlineStr">
        <is>
          <t>H51</t>
        </is>
      </c>
      <c r="C419" t="n">
        <v>51</v>
      </c>
      <c r="D419" t="n">
        <v>8</v>
      </c>
      <c r="E419" t="inlineStr">
        <is>
          <t>Calculation</t>
        </is>
      </c>
      <c r="F419" t="inlineStr">
        <is>
          <t>'=INDEX($L$4:$T$15,MATCH($A49,$L$4:$L$15,0),MATCH(H49,$L$4:$T$4,0))</t>
        </is>
      </c>
      <c r="G419" t="n">
        <v>9.771747080696205</v>
      </c>
      <c r="H419" t="inlineStr"/>
      <c r="I419" t="inlineStr">
        <is>
          <t>0.0</t>
        </is>
      </c>
      <c r="J419" t="b">
        <v>0</v>
      </c>
      <c r="K419" t="b">
        <v>0</v>
      </c>
      <c r="L419" t="n">
        <v>11</v>
      </c>
      <c r="M419" t="inlineStr">
        <is>
          <t>FF000000</t>
        </is>
      </c>
      <c r="N419" t="inlineStr">
        <is>
          <t>00000000</t>
        </is>
      </c>
      <c r="O419" t="n">
        <v/>
      </c>
      <c r="P419" t="n">
        <v/>
      </c>
      <c r="R419" t="b">
        <v>1</v>
      </c>
      <c r="S419" t="inlineStr">
        <is>
          <t>G000096</t>
        </is>
      </c>
      <c r="T419" t="inlineStr">
        <is>
          <t>Horizontal</t>
        </is>
      </c>
      <c r="U419" t="n">
        <v>5</v>
      </c>
      <c r="V419" t="b">
        <v>1</v>
      </c>
      <c r="W419" t="inlineStr">
        <is>
          <t>Asset schedule!E51:I51</t>
        </is>
      </c>
      <c r="X419">
        <f>INDEX(R4C12:R15C20,MATCH(R[-2]C1,R4C12:R15C12,0),MATCH(R[-2]C[0],R4C12:R4C20,0))</f>
        <v/>
      </c>
    </row>
    <row r="420">
      <c r="A420" t="inlineStr">
        <is>
          <t>Asset schedule</t>
        </is>
      </c>
      <c r="B420" t="inlineStr">
        <is>
          <t>I51</t>
        </is>
      </c>
      <c r="C420" t="n">
        <v>51</v>
      </c>
      <c r="D420" t="n">
        <v>9</v>
      </c>
      <c r="E420" t="inlineStr">
        <is>
          <t>Calculation</t>
        </is>
      </c>
      <c r="F420" t="inlineStr">
        <is>
          <t>'=INDEX($L$4:$T$15,MATCH($A49,$L$4:$L$15,0),MATCH(I49,$L$4:$T$4,0))</t>
        </is>
      </c>
      <c r="G420" t="n">
        <v>10.49620419185127</v>
      </c>
      <c r="H420" t="inlineStr"/>
      <c r="I420" t="inlineStr">
        <is>
          <t>0.0</t>
        </is>
      </c>
      <c r="J420" t="b">
        <v>0</v>
      </c>
      <c r="K420" t="b">
        <v>0</v>
      </c>
      <c r="L420" t="n">
        <v>11</v>
      </c>
      <c r="M420" t="inlineStr">
        <is>
          <t>FF000000</t>
        </is>
      </c>
      <c r="N420" t="inlineStr">
        <is>
          <t>00000000</t>
        </is>
      </c>
      <c r="O420" t="n">
        <v/>
      </c>
      <c r="P420" t="n">
        <v/>
      </c>
      <c r="R420" t="b">
        <v>1</v>
      </c>
      <c r="S420" t="inlineStr">
        <is>
          <t>G000096</t>
        </is>
      </c>
      <c r="T420" t="inlineStr">
        <is>
          <t>Horizontal</t>
        </is>
      </c>
      <c r="U420" t="n">
        <v>5</v>
      </c>
      <c r="V420" t="b">
        <v>1</v>
      </c>
      <c r="W420" t="inlineStr">
        <is>
          <t>Asset schedule!E51:I51</t>
        </is>
      </c>
      <c r="X420">
        <f>INDEX(R4C12:R15C20,MATCH(R[-2]C1,R4C12:R15C12,0),MATCH(R[-2]C[0],R4C12:R4C20,0))</f>
        <v/>
      </c>
    </row>
    <row r="421">
      <c r="A421" t="inlineStr">
        <is>
          <t>Asset schedule</t>
        </is>
      </c>
      <c r="B421" t="inlineStr">
        <is>
          <t>A52</t>
        </is>
      </c>
      <c r="C421" t="n">
        <v>52</v>
      </c>
      <c r="D421" t="n">
        <v>1</v>
      </c>
      <c r="E421" t="inlineStr">
        <is>
          <t>Input</t>
        </is>
      </c>
      <c r="F421" t="n">
        <v/>
      </c>
      <c r="G421" t="inlineStr">
        <is>
          <t>Less: Sale during the year</t>
        </is>
      </c>
      <c r="H421" t="inlineStr"/>
      <c r="I421" t="inlineStr">
        <is>
          <t>General</t>
        </is>
      </c>
      <c r="J421" t="b">
        <v>0</v>
      </c>
      <c r="K421" t="b">
        <v>0</v>
      </c>
      <c r="L421" t="n">
        <v>11</v>
      </c>
      <c r="M421" t="inlineStr">
        <is>
          <t>FF000000</t>
        </is>
      </c>
      <c r="N421" t="inlineStr">
        <is>
          <t>00000000</t>
        </is>
      </c>
      <c r="O421" t="n">
        <v/>
      </c>
      <c r="P421" t="n">
        <v/>
      </c>
      <c r="R421" t="b">
        <v>1</v>
      </c>
      <c r="S421" t="n">
        <v/>
      </c>
      <c r="T421" t="n">
        <v/>
      </c>
      <c r="U421" t="n">
        <v/>
      </c>
      <c r="V421" t="b">
        <v>0</v>
      </c>
      <c r="W421" t="inlineStr"/>
      <c r="X421" t="n">
        <v/>
      </c>
    </row>
    <row r="422">
      <c r="A422" t="inlineStr">
        <is>
          <t>Asset schedule</t>
        </is>
      </c>
      <c r="B422" t="inlineStr">
        <is>
          <t>D52</t>
        </is>
      </c>
      <c r="C422" t="n">
        <v>52</v>
      </c>
      <c r="D422" t="n">
        <v>4</v>
      </c>
      <c r="E422" t="inlineStr">
        <is>
          <t>Input</t>
        </is>
      </c>
      <c r="F422" t="n">
        <v/>
      </c>
      <c r="G422" t="n">
        <v>0.45</v>
      </c>
      <c r="H422" t="inlineStr"/>
      <c r="I422" t="inlineStr">
        <is>
          <t>General</t>
        </is>
      </c>
      <c r="J422" t="b">
        <v>0</v>
      </c>
      <c r="K422" t="b">
        <v>0</v>
      </c>
      <c r="L422" t="n">
        <v>11</v>
      </c>
      <c r="M422" t="inlineStr">
        <is>
          <t>FF000000</t>
        </is>
      </c>
      <c r="N422" t="inlineStr">
        <is>
          <t>00000000</t>
        </is>
      </c>
      <c r="O422" t="n">
        <v/>
      </c>
      <c r="P422" t="n">
        <v/>
      </c>
      <c r="R422" t="b">
        <v>1</v>
      </c>
      <c r="S422" t="n">
        <v/>
      </c>
      <c r="T422" t="n">
        <v/>
      </c>
      <c r="U422" t="n">
        <v/>
      </c>
      <c r="V422" t="b">
        <v>0</v>
      </c>
      <c r="W422" t="inlineStr"/>
      <c r="X422" t="n">
        <v/>
      </c>
    </row>
    <row r="423">
      <c r="A423" t="inlineStr">
        <is>
          <t>Asset schedule</t>
        </is>
      </c>
      <c r="B423" t="inlineStr">
        <is>
          <t>E52</t>
        </is>
      </c>
      <c r="C423" t="n">
        <v>52</v>
      </c>
      <c r="D423" t="n">
        <v>5</v>
      </c>
      <c r="E423" t="inlineStr">
        <is>
          <t>Input</t>
        </is>
      </c>
      <c r="F423" t="n">
        <v/>
      </c>
      <c r="G423" t="n">
        <v>0</v>
      </c>
      <c r="H423" t="inlineStr"/>
      <c r="I423" t="inlineStr">
        <is>
          <t>General</t>
        </is>
      </c>
      <c r="J423" t="b">
        <v>0</v>
      </c>
      <c r="K423" t="b">
        <v>0</v>
      </c>
      <c r="L423" t="n">
        <v>11</v>
      </c>
      <c r="M423" t="inlineStr">
        <is>
          <t>FF000000</t>
        </is>
      </c>
      <c r="N423" t="inlineStr">
        <is>
          <t>00000000</t>
        </is>
      </c>
      <c r="O423" t="n">
        <v/>
      </c>
      <c r="P423" t="n">
        <v/>
      </c>
      <c r="R423" t="b">
        <v>1</v>
      </c>
      <c r="S423" t="n">
        <v/>
      </c>
      <c r="T423" t="n">
        <v/>
      </c>
      <c r="U423" t="n">
        <v/>
      </c>
      <c r="V423" t="b">
        <v>0</v>
      </c>
      <c r="W423" t="inlineStr"/>
      <c r="X423" t="n">
        <v/>
      </c>
    </row>
    <row r="424">
      <c r="A424" t="inlineStr">
        <is>
          <t>Asset schedule</t>
        </is>
      </c>
      <c r="B424" t="inlineStr">
        <is>
          <t>F52</t>
        </is>
      </c>
      <c r="C424" t="n">
        <v>52</v>
      </c>
      <c r="D424" t="n">
        <v>6</v>
      </c>
      <c r="E424" t="inlineStr">
        <is>
          <t>Input</t>
        </is>
      </c>
      <c r="F424" t="n">
        <v/>
      </c>
      <c r="G424" t="n">
        <v>0</v>
      </c>
      <c r="H424" t="inlineStr"/>
      <c r="I424" t="inlineStr">
        <is>
          <t>General</t>
        </is>
      </c>
      <c r="J424" t="b">
        <v>0</v>
      </c>
      <c r="K424" t="b">
        <v>0</v>
      </c>
      <c r="L424" t="n">
        <v>11</v>
      </c>
      <c r="M424" t="inlineStr">
        <is>
          <t>FF000000</t>
        </is>
      </c>
      <c r="N424" t="inlineStr">
        <is>
          <t>00000000</t>
        </is>
      </c>
      <c r="O424" t="n">
        <v/>
      </c>
      <c r="P424" t="n">
        <v/>
      </c>
      <c r="R424" t="b">
        <v>1</v>
      </c>
      <c r="S424" t="n">
        <v/>
      </c>
      <c r="T424" t="n">
        <v/>
      </c>
      <c r="U424" t="n">
        <v/>
      </c>
      <c r="V424" t="b">
        <v>0</v>
      </c>
      <c r="W424" t="inlineStr"/>
      <c r="X424" t="n">
        <v/>
      </c>
    </row>
    <row r="425">
      <c r="A425" t="inlineStr">
        <is>
          <t>Asset schedule</t>
        </is>
      </c>
      <c r="B425" t="inlineStr">
        <is>
          <t>G52</t>
        </is>
      </c>
      <c r="C425" t="n">
        <v>52</v>
      </c>
      <c r="D425" t="n">
        <v>7</v>
      </c>
      <c r="E425" t="inlineStr">
        <is>
          <t>Input</t>
        </is>
      </c>
      <c r="F425" t="n">
        <v/>
      </c>
      <c r="G425" t="n">
        <v>0</v>
      </c>
      <c r="H425" t="inlineStr"/>
      <c r="I425" t="inlineStr">
        <is>
          <t>General</t>
        </is>
      </c>
      <c r="J425" t="b">
        <v>0</v>
      </c>
      <c r="K425" t="b">
        <v>0</v>
      </c>
      <c r="L425" t="n">
        <v>11</v>
      </c>
      <c r="M425" t="inlineStr">
        <is>
          <t>FF000000</t>
        </is>
      </c>
      <c r="N425" t="inlineStr">
        <is>
          <t>00000000</t>
        </is>
      </c>
      <c r="O425" t="n">
        <v/>
      </c>
      <c r="P425" t="n">
        <v/>
      </c>
      <c r="R425" t="b">
        <v>1</v>
      </c>
      <c r="S425" t="n">
        <v/>
      </c>
      <c r="T425" t="n">
        <v/>
      </c>
      <c r="U425" t="n">
        <v/>
      </c>
      <c r="V425" t="b">
        <v>0</v>
      </c>
      <c r="W425" t="inlineStr"/>
      <c r="X425" t="n">
        <v/>
      </c>
    </row>
    <row r="426">
      <c r="A426" t="inlineStr">
        <is>
          <t>Asset schedule</t>
        </is>
      </c>
      <c r="B426" t="inlineStr">
        <is>
          <t>H52</t>
        </is>
      </c>
      <c r="C426" t="n">
        <v>52</v>
      </c>
      <c r="D426" t="n">
        <v>8</v>
      </c>
      <c r="E426" t="inlineStr">
        <is>
          <t>Input</t>
        </is>
      </c>
      <c r="F426" t="n">
        <v/>
      </c>
      <c r="G426" t="n">
        <v>0</v>
      </c>
      <c r="H426" t="inlineStr"/>
      <c r="I426" t="inlineStr">
        <is>
          <t>General</t>
        </is>
      </c>
      <c r="J426" t="b">
        <v>0</v>
      </c>
      <c r="K426" t="b">
        <v>0</v>
      </c>
      <c r="L426" t="n">
        <v>11</v>
      </c>
      <c r="M426" t="inlineStr">
        <is>
          <t>FF000000</t>
        </is>
      </c>
      <c r="N426" t="inlineStr">
        <is>
          <t>00000000</t>
        </is>
      </c>
      <c r="O426" t="n">
        <v/>
      </c>
      <c r="P426" t="n">
        <v/>
      </c>
      <c r="R426" t="b">
        <v>1</v>
      </c>
      <c r="S426" t="n">
        <v/>
      </c>
      <c r="T426" t="n">
        <v/>
      </c>
      <c r="U426" t="n">
        <v/>
      </c>
      <c r="V426" t="b">
        <v>0</v>
      </c>
      <c r="W426" t="inlineStr"/>
      <c r="X426" t="n">
        <v/>
      </c>
    </row>
    <row r="427">
      <c r="A427" t="inlineStr">
        <is>
          <t>Asset schedule</t>
        </is>
      </c>
      <c r="B427" t="inlineStr">
        <is>
          <t>I52</t>
        </is>
      </c>
      <c r="C427" t="n">
        <v>52</v>
      </c>
      <c r="D427" t="n">
        <v>9</v>
      </c>
      <c r="E427" t="inlineStr">
        <is>
          <t>Input</t>
        </is>
      </c>
      <c r="F427" t="n">
        <v/>
      </c>
      <c r="G427" t="n">
        <v>0</v>
      </c>
      <c r="H427" t="inlineStr"/>
      <c r="I427" t="inlineStr">
        <is>
          <t>General</t>
        </is>
      </c>
      <c r="J427" t="b">
        <v>0</v>
      </c>
      <c r="K427" t="b">
        <v>0</v>
      </c>
      <c r="L427" t="n">
        <v>11</v>
      </c>
      <c r="M427" t="inlineStr">
        <is>
          <t>FF000000</t>
        </is>
      </c>
      <c r="N427" t="inlineStr">
        <is>
          <t>00000000</t>
        </is>
      </c>
      <c r="O427" t="n">
        <v/>
      </c>
      <c r="P427" t="n">
        <v/>
      </c>
      <c r="R427" t="b">
        <v>1</v>
      </c>
      <c r="S427" t="n">
        <v/>
      </c>
      <c r="T427" t="n">
        <v/>
      </c>
      <c r="U427" t="n">
        <v/>
      </c>
      <c r="V427" t="b">
        <v>0</v>
      </c>
      <c r="W427" t="inlineStr"/>
      <c r="X427" t="n">
        <v/>
      </c>
    </row>
    <row r="428">
      <c r="A428" t="inlineStr">
        <is>
          <t>Asset schedule</t>
        </is>
      </c>
      <c r="B428" t="inlineStr">
        <is>
          <t>A53</t>
        </is>
      </c>
      <c r="C428" t="n">
        <v>53</v>
      </c>
      <c r="D428" t="n">
        <v>1</v>
      </c>
      <c r="E428" t="inlineStr">
        <is>
          <t>Input</t>
        </is>
      </c>
      <c r="F428" t="n">
        <v/>
      </c>
      <c r="G428" t="inlineStr">
        <is>
          <t>Less: Dep</t>
        </is>
      </c>
      <c r="H428" t="inlineStr"/>
      <c r="I428" t="inlineStr">
        <is>
          <t>General</t>
        </is>
      </c>
      <c r="J428" t="b">
        <v>0</v>
      </c>
      <c r="K428" t="b">
        <v>0</v>
      </c>
      <c r="L428" t="n">
        <v>11</v>
      </c>
      <c r="M428" t="inlineStr">
        <is>
          <t>FF000000</t>
        </is>
      </c>
      <c r="N428" t="inlineStr">
        <is>
          <t>00000000</t>
        </is>
      </c>
      <c r="O428" t="n">
        <v/>
      </c>
      <c r="P428" t="n">
        <v/>
      </c>
      <c r="R428" t="b">
        <v>1</v>
      </c>
      <c r="S428" t="n">
        <v/>
      </c>
      <c r="T428" t="n">
        <v/>
      </c>
      <c r="U428" t="n">
        <v/>
      </c>
      <c r="V428" t="b">
        <v>0</v>
      </c>
      <c r="W428" t="inlineStr"/>
      <c r="X428" t="n">
        <v/>
      </c>
    </row>
    <row r="429">
      <c r="A429" t="inlineStr">
        <is>
          <t>Asset schedule</t>
        </is>
      </c>
      <c r="B429" t="inlineStr">
        <is>
          <t>D53</t>
        </is>
      </c>
      <c r="C429" t="n">
        <v>53</v>
      </c>
      <c r="D429" t="n">
        <v>4</v>
      </c>
      <c r="E429" t="inlineStr">
        <is>
          <t>Input</t>
        </is>
      </c>
      <c r="F429" t="n">
        <v/>
      </c>
      <c r="G429" t="n">
        <v>13.56</v>
      </c>
      <c r="H429" t="inlineStr"/>
      <c r="I429" t="inlineStr">
        <is>
          <t>General</t>
        </is>
      </c>
      <c r="J429" t="b">
        <v>0</v>
      </c>
      <c r="K429" t="b">
        <v>0</v>
      </c>
      <c r="L429" t="n">
        <v>11</v>
      </c>
      <c r="M429" t="inlineStr">
        <is>
          <t>FF000000</t>
        </is>
      </c>
      <c r="N429" t="inlineStr">
        <is>
          <t>00000000</t>
        </is>
      </c>
      <c r="O429" t="n">
        <v/>
      </c>
      <c r="P429" t="n">
        <v/>
      </c>
      <c r="R429" t="b">
        <v>1</v>
      </c>
      <c r="S429" t="n">
        <v/>
      </c>
      <c r="T429" t="n">
        <v/>
      </c>
      <c r="U429" t="n">
        <v/>
      </c>
      <c r="V429" t="b">
        <v>0</v>
      </c>
      <c r="W429" t="inlineStr"/>
      <c r="X429" t="n">
        <v/>
      </c>
    </row>
    <row r="430">
      <c r="A430" t="inlineStr">
        <is>
          <t>Asset schedule</t>
        </is>
      </c>
      <c r="B430" t="inlineStr">
        <is>
          <t>E53</t>
        </is>
      </c>
      <c r="C430" t="n">
        <v>53</v>
      </c>
      <c r="D430" t="n">
        <v>5</v>
      </c>
      <c r="E430" t="inlineStr">
        <is>
          <t>Calculation</t>
        </is>
      </c>
      <c r="F430" t="inlineStr">
        <is>
          <t>'=E50*$B55</t>
        </is>
      </c>
      <c r="G430" t="n">
        <v>9.005469824293353</v>
      </c>
      <c r="H430" t="inlineStr"/>
      <c r="I430" t="inlineStr">
        <is>
          <t>0.0</t>
        </is>
      </c>
      <c r="J430" t="b">
        <v>0</v>
      </c>
      <c r="K430" t="b">
        <v>0</v>
      </c>
      <c r="L430" t="n">
        <v>11</v>
      </c>
      <c r="M430" t="inlineStr">
        <is>
          <t>FF000000</t>
        </is>
      </c>
      <c r="N430" t="inlineStr">
        <is>
          <t>00000000</t>
        </is>
      </c>
      <c r="O430" t="n">
        <v/>
      </c>
      <c r="P430" t="n">
        <v/>
      </c>
      <c r="R430" t="b">
        <v>1</v>
      </c>
      <c r="S430" t="inlineStr">
        <is>
          <t>G000107</t>
        </is>
      </c>
      <c r="T430" t="inlineStr">
        <is>
          <t>Horizontal</t>
        </is>
      </c>
      <c r="U430" t="n">
        <v>5</v>
      </c>
      <c r="V430" t="b">
        <v>1</v>
      </c>
      <c r="W430" t="inlineStr">
        <is>
          <t>Asset schedule!E53:I53</t>
        </is>
      </c>
      <c r="X430">
        <f>R[-3]C[0]*R[2]C2</f>
        <v/>
      </c>
    </row>
    <row r="431">
      <c r="A431" t="inlineStr">
        <is>
          <t>Asset schedule</t>
        </is>
      </c>
      <c r="B431" t="inlineStr">
        <is>
          <t>F53</t>
        </is>
      </c>
      <c r="C431" t="n">
        <v>53</v>
      </c>
      <c r="D431" t="n">
        <v>6</v>
      </c>
      <c r="E431" t="inlineStr">
        <is>
          <t>Calculation</t>
        </is>
      </c>
      <c r="F431" t="inlineStr">
        <is>
          <t>'=F50*$B55</t>
        </is>
      </c>
      <c r="G431" t="n">
        <v>8.609609263174448</v>
      </c>
      <c r="H431" t="inlineStr"/>
      <c r="I431" t="inlineStr">
        <is>
          <t>0.0</t>
        </is>
      </c>
      <c r="J431" t="b">
        <v>0</v>
      </c>
      <c r="K431" t="b">
        <v>0</v>
      </c>
      <c r="L431" t="n">
        <v>11</v>
      </c>
      <c r="M431" t="inlineStr">
        <is>
          <t>FF000000</t>
        </is>
      </c>
      <c r="N431" t="inlineStr">
        <is>
          <t>00000000</t>
        </is>
      </c>
      <c r="O431" t="n">
        <v/>
      </c>
      <c r="P431" t="n">
        <v/>
      </c>
      <c r="R431" t="b">
        <v>1</v>
      </c>
      <c r="S431" t="inlineStr">
        <is>
          <t>G000107</t>
        </is>
      </c>
      <c r="T431" t="inlineStr">
        <is>
          <t>Horizontal</t>
        </is>
      </c>
      <c r="U431" t="n">
        <v>5</v>
      </c>
      <c r="V431" t="b">
        <v>1</v>
      </c>
      <c r="W431" t="inlineStr">
        <is>
          <t>Asset schedule!E53:I53</t>
        </is>
      </c>
      <c r="X431">
        <f>R[-3]C[0]*R[2]C2</f>
        <v/>
      </c>
    </row>
    <row r="432">
      <c r="A432" t="inlineStr">
        <is>
          <t>Asset schedule</t>
        </is>
      </c>
      <c r="B432" t="inlineStr">
        <is>
          <t>G53</t>
        </is>
      </c>
      <c r="C432" t="n">
        <v>53</v>
      </c>
      <c r="D432" t="n">
        <v>7</v>
      </c>
      <c r="E432" t="inlineStr">
        <is>
          <t>Calculation</t>
        </is>
      </c>
      <c r="F432" t="inlineStr">
        <is>
          <t>'=G50*$B55</t>
        </is>
      </c>
      <c r="G432" t="n">
        <v>8.556483574713521</v>
      </c>
      <c r="H432" t="inlineStr"/>
      <c r="I432" t="inlineStr">
        <is>
          <t>0.0</t>
        </is>
      </c>
      <c r="J432" t="b">
        <v>0</v>
      </c>
      <c r="K432" t="b">
        <v>0</v>
      </c>
      <c r="L432" t="n">
        <v>11</v>
      </c>
      <c r="M432" t="inlineStr">
        <is>
          <t>FF000000</t>
        </is>
      </c>
      <c r="N432" t="inlineStr">
        <is>
          <t>00000000</t>
        </is>
      </c>
      <c r="O432" t="n">
        <v/>
      </c>
      <c r="P432" t="n">
        <v/>
      </c>
      <c r="R432" t="b">
        <v>1</v>
      </c>
      <c r="S432" t="inlineStr">
        <is>
          <t>G000107</t>
        </is>
      </c>
      <c r="T432" t="inlineStr">
        <is>
          <t>Horizontal</t>
        </is>
      </c>
      <c r="U432" t="n">
        <v>5</v>
      </c>
      <c r="V432" t="b">
        <v>1</v>
      </c>
      <c r="W432" t="inlineStr">
        <is>
          <t>Asset schedule!E53:I53</t>
        </is>
      </c>
      <c r="X432">
        <f>R[-3]C[0]*R[2]C2</f>
        <v/>
      </c>
    </row>
    <row r="433">
      <c r="A433" t="inlineStr">
        <is>
          <t>Asset schedule</t>
        </is>
      </c>
      <c r="B433" t="inlineStr">
        <is>
          <t>H53</t>
        </is>
      </c>
      <c r="C433" t="n">
        <v>53</v>
      </c>
      <c r="D433" t="n">
        <v>8</v>
      </c>
      <c r="E433" t="inlineStr">
        <is>
          <t>Calculation</t>
        </is>
      </c>
      <c r="F433" t="inlineStr">
        <is>
          <t>'=H50*$B55</t>
        </is>
      </c>
      <c r="G433" t="n">
        <v>8.7415657977278</v>
      </c>
      <c r="H433" t="inlineStr"/>
      <c r="I433" t="inlineStr">
        <is>
          <t>0.0</t>
        </is>
      </c>
      <c r="J433" t="b">
        <v>0</v>
      </c>
      <c r="K433" t="b">
        <v>0</v>
      </c>
      <c r="L433" t="n">
        <v>11</v>
      </c>
      <c r="M433" t="inlineStr">
        <is>
          <t>FF000000</t>
        </is>
      </c>
      <c r="N433" t="inlineStr">
        <is>
          <t>00000000</t>
        </is>
      </c>
      <c r="O433" t="n">
        <v/>
      </c>
      <c r="P433" t="n">
        <v/>
      </c>
      <c r="R433" t="b">
        <v>1</v>
      </c>
      <c r="S433" t="inlineStr">
        <is>
          <t>G000107</t>
        </is>
      </c>
      <c r="T433" t="inlineStr">
        <is>
          <t>Horizontal</t>
        </is>
      </c>
      <c r="U433" t="n">
        <v>5</v>
      </c>
      <c r="V433" t="b">
        <v>1</v>
      </c>
      <c r="W433" t="inlineStr">
        <is>
          <t>Asset schedule!E53:I53</t>
        </is>
      </c>
      <c r="X433">
        <f>R[-3]C[0]*R[2]C2</f>
        <v/>
      </c>
    </row>
    <row r="434">
      <c r="A434" t="inlineStr">
        <is>
          <t>Asset schedule</t>
        </is>
      </c>
      <c r="B434" t="inlineStr">
        <is>
          <t>I53</t>
        </is>
      </c>
      <c r="C434" t="n">
        <v>53</v>
      </c>
      <c r="D434" t="n">
        <v>9</v>
      </c>
      <c r="E434" t="inlineStr">
        <is>
          <t>Calculation</t>
        </is>
      </c>
      <c r="F434" t="inlineStr">
        <is>
          <t>'=I50*$B55</t>
        </is>
      </c>
      <c r="G434" t="n">
        <v>9.097289204833773</v>
      </c>
      <c r="H434" t="inlineStr"/>
      <c r="I434" t="inlineStr">
        <is>
          <t>0.0</t>
        </is>
      </c>
      <c r="J434" t="b">
        <v>0</v>
      </c>
      <c r="K434" t="b">
        <v>0</v>
      </c>
      <c r="L434" t="n">
        <v>11</v>
      </c>
      <c r="M434" t="inlineStr">
        <is>
          <t>FF000000</t>
        </is>
      </c>
      <c r="N434" t="inlineStr">
        <is>
          <t>00000000</t>
        </is>
      </c>
      <c r="O434" t="n">
        <v/>
      </c>
      <c r="P434" t="n">
        <v/>
      </c>
      <c r="R434" t="b">
        <v>1</v>
      </c>
      <c r="S434" t="inlineStr">
        <is>
          <t>G000107</t>
        </is>
      </c>
      <c r="T434" t="inlineStr">
        <is>
          <t>Horizontal</t>
        </is>
      </c>
      <c r="U434" t="n">
        <v>5</v>
      </c>
      <c r="V434" t="b">
        <v>1</v>
      </c>
      <c r="W434" t="inlineStr">
        <is>
          <t>Asset schedule!E53:I53</t>
        </is>
      </c>
      <c r="X434">
        <f>R[-3]C[0]*R[2]C2</f>
        <v/>
      </c>
    </row>
    <row r="435">
      <c r="A435" t="inlineStr">
        <is>
          <t>Asset schedule</t>
        </is>
      </c>
      <c r="B435" t="inlineStr">
        <is>
          <t>A54</t>
        </is>
      </c>
      <c r="C435" t="n">
        <v>54</v>
      </c>
      <c r="D435" t="n">
        <v>1</v>
      </c>
      <c r="E435" t="inlineStr">
        <is>
          <t>Input</t>
        </is>
      </c>
      <c r="F435" t="n">
        <v/>
      </c>
      <c r="G435" t="inlineStr">
        <is>
          <t>Closing balance</t>
        </is>
      </c>
      <c r="H435" t="inlineStr"/>
      <c r="I435" t="inlineStr">
        <is>
          <t>General</t>
        </is>
      </c>
      <c r="J435" t="b">
        <v>0</v>
      </c>
      <c r="K435" t="b">
        <v>0</v>
      </c>
      <c r="L435" t="n">
        <v>11</v>
      </c>
      <c r="M435" t="inlineStr">
        <is>
          <t>FF000000</t>
        </is>
      </c>
      <c r="N435" t="inlineStr">
        <is>
          <t>00000000</t>
        </is>
      </c>
      <c r="O435" t="n">
        <v/>
      </c>
      <c r="P435" t="n">
        <v/>
      </c>
      <c r="R435" t="b">
        <v>1</v>
      </c>
      <c r="S435" t="n">
        <v/>
      </c>
      <c r="T435" t="n">
        <v/>
      </c>
      <c r="U435" t="n">
        <v/>
      </c>
      <c r="V435" t="b">
        <v>0</v>
      </c>
      <c r="W435" t="inlineStr"/>
      <c r="X435" t="n">
        <v/>
      </c>
    </row>
    <row r="436">
      <c r="A436" t="inlineStr">
        <is>
          <t>Asset schedule</t>
        </is>
      </c>
      <c r="B436" t="inlineStr">
        <is>
          <t>D54</t>
        </is>
      </c>
      <c r="C436" t="n">
        <v>54</v>
      </c>
      <c r="D436" t="n">
        <v>4</v>
      </c>
      <c r="E436" t="inlineStr">
        <is>
          <t>Input</t>
        </is>
      </c>
      <c r="F436" t="n">
        <v/>
      </c>
      <c r="G436" t="n">
        <v>26.08</v>
      </c>
      <c r="H436" t="inlineStr"/>
      <c r="I436" t="inlineStr">
        <is>
          <t>General</t>
        </is>
      </c>
      <c r="J436" t="b">
        <v>0</v>
      </c>
      <c r="K436" t="b">
        <v>0</v>
      </c>
      <c r="L436" t="n">
        <v>11</v>
      </c>
      <c r="M436" t="inlineStr">
        <is>
          <t>FF000000</t>
        </is>
      </c>
      <c r="N436" t="inlineStr">
        <is>
          <t>00000000</t>
        </is>
      </c>
      <c r="O436" t="n">
        <v/>
      </c>
      <c r="P436" t="n">
        <v/>
      </c>
      <c r="R436" t="b">
        <v>1</v>
      </c>
      <c r="S436" t="n">
        <v/>
      </c>
      <c r="T436" t="n">
        <v/>
      </c>
      <c r="U436" t="n">
        <v/>
      </c>
      <c r="V436" t="b">
        <v>0</v>
      </c>
      <c r="W436" t="inlineStr"/>
      <c r="X436" t="n">
        <v/>
      </c>
    </row>
    <row r="437">
      <c r="A437" t="inlineStr">
        <is>
          <t>Asset schedule</t>
        </is>
      </c>
      <c r="B437" t="inlineStr">
        <is>
          <t>E54</t>
        </is>
      </c>
      <c r="C437" t="n">
        <v>54</v>
      </c>
      <c r="D437" t="n">
        <v>5</v>
      </c>
      <c r="E437" t="inlineStr">
        <is>
          <t>Calculation</t>
        </is>
      </c>
      <c r="F437" t="inlineStr">
        <is>
          <t>'=E50+E51-E52-E53</t>
        </is>
      </c>
      <c r="G437" t="n">
        <v>24.93358080861804</v>
      </c>
      <c r="H437" t="inlineStr"/>
      <c r="I437" t="inlineStr">
        <is>
          <t>0.00</t>
        </is>
      </c>
      <c r="J437" t="b">
        <v>0</v>
      </c>
      <c r="K437" t="b">
        <v>0</v>
      </c>
      <c r="L437" t="n">
        <v>11</v>
      </c>
      <c r="M437" t="inlineStr">
        <is>
          <t>FF000000</t>
        </is>
      </c>
      <c r="N437" t="inlineStr">
        <is>
          <t>00000000</t>
        </is>
      </c>
      <c r="O437" t="n">
        <v/>
      </c>
      <c r="P437" t="n">
        <v/>
      </c>
      <c r="R437" t="b">
        <v>1</v>
      </c>
      <c r="S437" t="inlineStr">
        <is>
          <t>G000131</t>
        </is>
      </c>
      <c r="T437" t="inlineStr">
        <is>
          <t>Horizontal</t>
        </is>
      </c>
      <c r="U437" t="n">
        <v>5</v>
      </c>
      <c r="V437" t="b">
        <v>1</v>
      </c>
      <c r="W437" t="inlineStr">
        <is>
          <t>Asset schedule!E54:I54</t>
        </is>
      </c>
      <c r="X437">
        <f>R[-4]C[0]+R[-3]C[0]-R[-2]C[0]-R[-1]C[0]</f>
        <v/>
      </c>
    </row>
    <row r="438">
      <c r="A438" t="inlineStr">
        <is>
          <t>Asset schedule</t>
        </is>
      </c>
      <c r="B438" t="inlineStr">
        <is>
          <t>F54</t>
        </is>
      </c>
      <c r="C438" t="n">
        <v>54</v>
      </c>
      <c r="D438" t="n">
        <v>6</v>
      </c>
      <c r="E438" t="inlineStr">
        <is>
          <t>Calculation</t>
        </is>
      </c>
      <c r="F438" t="inlineStr">
        <is>
          <t>'=F50+F51-F52-F53</t>
        </is>
      </c>
      <c r="G438" t="n">
        <v>24.77972787455752</v>
      </c>
      <c r="H438" t="inlineStr"/>
      <c r="I438" t="inlineStr">
        <is>
          <t>0.00</t>
        </is>
      </c>
      <c r="J438" t="b">
        <v>0</v>
      </c>
      <c r="K438" t="b">
        <v>0</v>
      </c>
      <c r="L438" t="n">
        <v>11</v>
      </c>
      <c r="M438" t="inlineStr">
        <is>
          <t>FF000000</t>
        </is>
      </c>
      <c r="N438" t="inlineStr">
        <is>
          <t>00000000</t>
        </is>
      </c>
      <c r="O438" t="n">
        <v/>
      </c>
      <c r="P438" t="n">
        <v/>
      </c>
      <c r="R438" t="b">
        <v>1</v>
      </c>
      <c r="S438" t="inlineStr">
        <is>
          <t>G000131</t>
        </is>
      </c>
      <c r="T438" t="inlineStr">
        <is>
          <t>Horizontal</t>
        </is>
      </c>
      <c r="U438" t="n">
        <v>5</v>
      </c>
      <c r="V438" t="b">
        <v>1</v>
      </c>
      <c r="W438" t="inlineStr">
        <is>
          <t>Asset schedule!E54:I54</t>
        </is>
      </c>
      <c r="X438">
        <f>R[-4]C[0]+R[-3]C[0]-R[-2]C[0]-R[-1]C[0]</f>
        <v/>
      </c>
    </row>
    <row r="439">
      <c r="A439" t="inlineStr">
        <is>
          <t>Asset schedule</t>
        </is>
      </c>
      <c r="B439" t="inlineStr">
        <is>
          <t>G54</t>
        </is>
      </c>
      <c r="C439" t="n">
        <v>54</v>
      </c>
      <c r="D439" t="n">
        <v>7</v>
      </c>
      <c r="E439" t="inlineStr">
        <is>
          <t>Calculation</t>
        </is>
      </c>
      <c r="F439" t="inlineStr">
        <is>
          <t>'=G50+G51-G52-G53</t>
        </is>
      </c>
      <c r="G439" t="n">
        <v>25.31572926819843</v>
      </c>
      <c r="H439" t="inlineStr"/>
      <c r="I439" t="inlineStr">
        <is>
          <t>0.00</t>
        </is>
      </c>
      <c r="J439" t="b">
        <v>0</v>
      </c>
      <c r="K439" t="b">
        <v>0</v>
      </c>
      <c r="L439" t="n">
        <v>11</v>
      </c>
      <c r="M439" t="inlineStr">
        <is>
          <t>FF000000</t>
        </is>
      </c>
      <c r="N439" t="inlineStr">
        <is>
          <t>00000000</t>
        </is>
      </c>
      <c r="O439" t="n">
        <v/>
      </c>
      <c r="P439" t="n">
        <v/>
      </c>
      <c r="R439" t="b">
        <v>1</v>
      </c>
      <c r="S439" t="inlineStr">
        <is>
          <t>G000131</t>
        </is>
      </c>
      <c r="T439" t="inlineStr">
        <is>
          <t>Horizontal</t>
        </is>
      </c>
      <c r="U439" t="n">
        <v>5</v>
      </c>
      <c r="V439" t="b">
        <v>1</v>
      </c>
      <c r="W439" t="inlineStr">
        <is>
          <t>Asset schedule!E54:I54</t>
        </is>
      </c>
      <c r="X439">
        <f>R[-4]C[0]+R[-3]C[0]-R[-2]C[0]-R[-1]C[0]</f>
        <v/>
      </c>
    </row>
    <row r="440">
      <c r="A440" t="inlineStr">
        <is>
          <t>Asset schedule</t>
        </is>
      </c>
      <c r="B440" t="inlineStr">
        <is>
          <t>H54</t>
        </is>
      </c>
      <c r="C440" t="n">
        <v>54</v>
      </c>
      <c r="D440" t="n">
        <v>8</v>
      </c>
      <c r="E440" t="inlineStr">
        <is>
          <t>Calculation</t>
        </is>
      </c>
      <c r="F440" t="inlineStr">
        <is>
          <t>'=H50+H51-H52-H53</t>
        </is>
      </c>
      <c r="G440" t="n">
        <v>26.34591055116683</v>
      </c>
      <c r="H440" t="inlineStr"/>
      <c r="I440" t="inlineStr">
        <is>
          <t>0.00</t>
        </is>
      </c>
      <c r="J440" t="b">
        <v>0</v>
      </c>
      <c r="K440" t="b">
        <v>0</v>
      </c>
      <c r="L440" t="n">
        <v>11</v>
      </c>
      <c r="M440" t="inlineStr">
        <is>
          <t>FF000000</t>
        </is>
      </c>
      <c r="N440" t="inlineStr">
        <is>
          <t>00000000</t>
        </is>
      </c>
      <c r="O440" t="n">
        <v/>
      </c>
      <c r="P440" t="n">
        <v/>
      </c>
      <c r="R440" t="b">
        <v>1</v>
      </c>
      <c r="S440" t="inlineStr">
        <is>
          <t>G000131</t>
        </is>
      </c>
      <c r="T440" t="inlineStr">
        <is>
          <t>Horizontal</t>
        </is>
      </c>
      <c r="U440" t="n">
        <v>5</v>
      </c>
      <c r="V440" t="b">
        <v>1</v>
      </c>
      <c r="W440" t="inlineStr">
        <is>
          <t>Asset schedule!E54:I54</t>
        </is>
      </c>
      <c r="X440">
        <f>R[-4]C[0]+R[-3]C[0]-R[-2]C[0]-R[-1]C[0]</f>
        <v/>
      </c>
    </row>
    <row r="441">
      <c r="A441" t="inlineStr">
        <is>
          <t>Asset schedule</t>
        </is>
      </c>
      <c r="B441" t="inlineStr">
        <is>
          <t>I54</t>
        </is>
      </c>
      <c r="C441" t="n">
        <v>54</v>
      </c>
      <c r="D441" t="n">
        <v>9</v>
      </c>
      <c r="E441" t="inlineStr">
        <is>
          <t>Calculation</t>
        </is>
      </c>
      <c r="F441" t="inlineStr">
        <is>
          <t>'=I50+I51-I52-I53</t>
        </is>
      </c>
      <c r="G441" t="n">
        <v>27.74482553818433</v>
      </c>
      <c r="H441" t="inlineStr"/>
      <c r="I441" t="inlineStr">
        <is>
          <t>0.00</t>
        </is>
      </c>
      <c r="J441" t="b">
        <v>0</v>
      </c>
      <c r="K441" t="b">
        <v>0</v>
      </c>
      <c r="L441" t="n">
        <v>11</v>
      </c>
      <c r="M441" t="inlineStr">
        <is>
          <t>FF000000</t>
        </is>
      </c>
      <c r="N441" t="inlineStr">
        <is>
          <t>00000000</t>
        </is>
      </c>
      <c r="O441" t="n">
        <v/>
      </c>
      <c r="P441" t="n">
        <v/>
      </c>
      <c r="R441" t="b">
        <v>1</v>
      </c>
      <c r="S441" t="inlineStr">
        <is>
          <t>G000131</t>
        </is>
      </c>
      <c r="T441" t="inlineStr">
        <is>
          <t>Horizontal</t>
        </is>
      </c>
      <c r="U441" t="n">
        <v>5</v>
      </c>
      <c r="V441" t="b">
        <v>1</v>
      </c>
      <c r="W441" t="inlineStr">
        <is>
          <t>Asset schedule!E54:I54</t>
        </is>
      </c>
      <c r="X441">
        <f>R[-4]C[0]+R[-3]C[0]-R[-2]C[0]-R[-1]C[0]</f>
        <v/>
      </c>
    </row>
    <row r="442">
      <c r="A442" t="inlineStr">
        <is>
          <t>Asset schedule</t>
        </is>
      </c>
      <c r="B442" t="inlineStr">
        <is>
          <t>A55</t>
        </is>
      </c>
      <c r="C442" t="n">
        <v>55</v>
      </c>
      <c r="D442" t="n">
        <v>1</v>
      </c>
      <c r="E442" t="inlineStr">
        <is>
          <t>Input</t>
        </is>
      </c>
      <c r="F442" t="n">
        <v/>
      </c>
      <c r="G442" t="inlineStr">
        <is>
          <t>Depreciation rate</t>
        </is>
      </c>
      <c r="H442" t="inlineStr"/>
      <c r="I442" t="inlineStr">
        <is>
          <t>General</t>
        </is>
      </c>
      <c r="J442" t="b">
        <v>0</v>
      </c>
      <c r="K442" t="b">
        <v>0</v>
      </c>
      <c r="L442" t="n">
        <v>11</v>
      </c>
      <c r="M442" t="inlineStr">
        <is>
          <t>FF000000</t>
        </is>
      </c>
      <c r="N442" t="inlineStr">
        <is>
          <t>00000000</t>
        </is>
      </c>
      <c r="O442" t="n">
        <v/>
      </c>
      <c r="P442" t="n">
        <v/>
      </c>
      <c r="R442" t="b">
        <v>1</v>
      </c>
      <c r="S442" t="n">
        <v/>
      </c>
      <c r="T442" t="n">
        <v/>
      </c>
      <c r="U442" t="n">
        <v/>
      </c>
      <c r="V442" t="b">
        <v>0</v>
      </c>
      <c r="W442" t="inlineStr"/>
      <c r="X442" t="n">
        <v/>
      </c>
    </row>
    <row r="443">
      <c r="A443" t="inlineStr">
        <is>
          <t>Asset schedule</t>
        </is>
      </c>
      <c r="B443" t="inlineStr">
        <is>
          <t>B55</t>
        </is>
      </c>
      <c r="C443" t="n">
        <v>55</v>
      </c>
      <c r="D443" t="n">
        <v>2</v>
      </c>
      <c r="E443" t="inlineStr">
        <is>
          <t>Calculation</t>
        </is>
      </c>
      <c r="F443" t="inlineStr">
        <is>
          <t>'=D53/(D50+D51-D52)</t>
        </is>
      </c>
      <c r="G443" t="n">
        <v>0.345301757066463</v>
      </c>
      <c r="H443" t="inlineStr"/>
      <c r="I443" t="inlineStr">
        <is>
          <t>0%</t>
        </is>
      </c>
      <c r="J443" t="b">
        <v>0</v>
      </c>
      <c r="K443" t="b">
        <v>0</v>
      </c>
      <c r="L443" t="n">
        <v>11</v>
      </c>
      <c r="M443" t="inlineStr">
        <is>
          <t>FF000000</t>
        </is>
      </c>
      <c r="N443" t="inlineStr">
        <is>
          <t>00000000</t>
        </is>
      </c>
      <c r="O443" t="n">
        <v/>
      </c>
      <c r="P443" t="n">
        <v/>
      </c>
      <c r="R443" t="b">
        <v>1</v>
      </c>
      <c r="S443" t="inlineStr">
        <is>
          <t>G000136</t>
        </is>
      </c>
      <c r="T443" t="inlineStr">
        <is>
          <t>Block</t>
        </is>
      </c>
      <c r="U443" t="n">
        <v>11</v>
      </c>
      <c r="V443" t="b">
        <v>1</v>
      </c>
      <c r="W443" t="inlineStr">
        <is>
          <t>Asset schedule!B7:B87</t>
        </is>
      </c>
      <c r="X443">
        <f>R[-2]C[2]/(R[-5]C[2]+R[-4]C[2]-R[-3]C[2])</f>
        <v/>
      </c>
    </row>
    <row r="444">
      <c r="A444" t="inlineStr">
        <is>
          <t>Asset schedule</t>
        </is>
      </c>
      <c r="B444" t="inlineStr">
        <is>
          <t>A57</t>
        </is>
      </c>
      <c r="C444" t="n">
        <v>57</v>
      </c>
      <c r="D444" t="n">
        <v>1</v>
      </c>
      <c r="E444" t="inlineStr">
        <is>
          <t>Input</t>
        </is>
      </c>
      <c r="F444" t="n">
        <v/>
      </c>
      <c r="G444" t="inlineStr">
        <is>
          <t>Software</t>
        </is>
      </c>
      <c r="H444" t="inlineStr"/>
      <c r="I444" t="inlineStr">
        <is>
          <t>General</t>
        </is>
      </c>
      <c r="J444" t="b">
        <v>1</v>
      </c>
      <c r="K444" t="b">
        <v>0</v>
      </c>
      <c r="L444" t="n">
        <v>11</v>
      </c>
      <c r="M444" t="inlineStr">
        <is>
          <t>FF000000</t>
        </is>
      </c>
      <c r="N444" t="inlineStr">
        <is>
          <t>00000000</t>
        </is>
      </c>
      <c r="O444" t="n">
        <v/>
      </c>
      <c r="P444" t="n">
        <v/>
      </c>
      <c r="R444" t="b">
        <v>1</v>
      </c>
      <c r="S444" t="n">
        <v/>
      </c>
      <c r="T444" t="n">
        <v/>
      </c>
      <c r="U444" t="n">
        <v/>
      </c>
      <c r="V444" t="b">
        <v>0</v>
      </c>
      <c r="W444" t="inlineStr"/>
      <c r="X444" t="n">
        <v/>
      </c>
    </row>
    <row r="445">
      <c r="A445" t="inlineStr">
        <is>
          <t>Asset schedule</t>
        </is>
      </c>
      <c r="B445" t="inlineStr">
        <is>
          <t>B57</t>
        </is>
      </c>
      <c r="C445" t="n">
        <v>57</v>
      </c>
      <c r="D445" t="n">
        <v>2</v>
      </c>
      <c r="E445" t="inlineStr">
        <is>
          <t>Input</t>
        </is>
      </c>
      <c r="F445" t="n">
        <v/>
      </c>
      <c r="G445" t="n">
        <v>2015</v>
      </c>
      <c r="H445" t="inlineStr"/>
      <c r="I445" t="inlineStr">
        <is>
          <t>General</t>
        </is>
      </c>
      <c r="J445" t="b">
        <v>1</v>
      </c>
      <c r="K445" t="b">
        <v>0</v>
      </c>
      <c r="L445" t="n">
        <v>11</v>
      </c>
      <c r="M445" t="inlineStr">
        <is>
          <t>Values must be of type &lt;class 'str'&gt;</t>
        </is>
      </c>
      <c r="N445" t="inlineStr">
        <is>
          <t>Values must be of type &lt;class 'str'&gt;</t>
        </is>
      </c>
      <c r="O445" t="inlineStr">
        <is>
          <t>center</t>
        </is>
      </c>
      <c r="P445" t="inlineStr">
        <is>
          <t>center</t>
        </is>
      </c>
      <c r="R445" t="b">
        <v>1</v>
      </c>
      <c r="S445" t="n">
        <v/>
      </c>
      <c r="T445" t="n">
        <v/>
      </c>
      <c r="U445" t="n">
        <v/>
      </c>
      <c r="V445" t="b">
        <v>0</v>
      </c>
      <c r="W445" t="inlineStr"/>
      <c r="X445" t="n">
        <v/>
      </c>
    </row>
    <row r="446">
      <c r="A446" t="inlineStr">
        <is>
          <t>Asset schedule</t>
        </is>
      </c>
      <c r="B446" t="inlineStr">
        <is>
          <t>C57</t>
        </is>
      </c>
      <c r="C446" t="n">
        <v>57</v>
      </c>
      <c r="D446" t="n">
        <v>3</v>
      </c>
      <c r="E446" t="inlineStr">
        <is>
          <t>Input</t>
        </is>
      </c>
      <c r="F446" t="n">
        <v/>
      </c>
      <c r="G446" t="n">
        <v>2016</v>
      </c>
      <c r="H446" t="inlineStr"/>
      <c r="I446" t="inlineStr">
        <is>
          <t>General</t>
        </is>
      </c>
      <c r="J446" t="b">
        <v>1</v>
      </c>
      <c r="K446" t="b">
        <v>0</v>
      </c>
      <c r="L446" t="n">
        <v>11</v>
      </c>
      <c r="M446" t="inlineStr">
        <is>
          <t>Values must be of type &lt;class 'str'&gt;</t>
        </is>
      </c>
      <c r="N446" t="inlineStr">
        <is>
          <t>Values must be of type &lt;class 'str'&gt;</t>
        </is>
      </c>
      <c r="O446" t="inlineStr">
        <is>
          <t>center</t>
        </is>
      </c>
      <c r="P446" t="inlineStr">
        <is>
          <t>center</t>
        </is>
      </c>
      <c r="R446" t="b">
        <v>1</v>
      </c>
      <c r="S446" t="n">
        <v/>
      </c>
      <c r="T446" t="n">
        <v/>
      </c>
      <c r="U446" t="n">
        <v/>
      </c>
      <c r="V446" t="b">
        <v>0</v>
      </c>
      <c r="W446" t="inlineStr"/>
      <c r="X446" t="n">
        <v/>
      </c>
    </row>
    <row r="447">
      <c r="A447" t="inlineStr">
        <is>
          <t>Asset schedule</t>
        </is>
      </c>
      <c r="B447" t="inlineStr">
        <is>
          <t>D57</t>
        </is>
      </c>
      <c r="C447" t="n">
        <v>57</v>
      </c>
      <c r="D447" t="n">
        <v>4</v>
      </c>
      <c r="E447" t="inlineStr">
        <is>
          <t>Input</t>
        </is>
      </c>
      <c r="F447" t="n">
        <v/>
      </c>
      <c r="G447" t="n">
        <v>2017</v>
      </c>
      <c r="H447" t="inlineStr"/>
      <c r="I447" t="inlineStr">
        <is>
          <t>General</t>
        </is>
      </c>
      <c r="J447" t="b">
        <v>1</v>
      </c>
      <c r="K447" t="b">
        <v>0</v>
      </c>
      <c r="L447" t="n">
        <v>11</v>
      </c>
      <c r="M447" t="inlineStr">
        <is>
          <t>Values must be of type &lt;class 'str'&gt;</t>
        </is>
      </c>
      <c r="N447" t="inlineStr">
        <is>
          <t>Values must be of type &lt;class 'str'&gt;</t>
        </is>
      </c>
      <c r="O447" t="inlineStr">
        <is>
          <t>center</t>
        </is>
      </c>
      <c r="P447" t="inlineStr">
        <is>
          <t>center</t>
        </is>
      </c>
      <c r="R447" t="b">
        <v>1</v>
      </c>
      <c r="S447" t="n">
        <v/>
      </c>
      <c r="T447" t="n">
        <v/>
      </c>
      <c r="U447" t="n">
        <v/>
      </c>
      <c r="V447" t="b">
        <v>0</v>
      </c>
      <c r="W447" t="inlineStr"/>
      <c r="X447" t="n">
        <v/>
      </c>
    </row>
    <row r="448">
      <c r="A448" t="inlineStr">
        <is>
          <t>Asset schedule</t>
        </is>
      </c>
      <c r="B448" t="inlineStr">
        <is>
          <t>E57</t>
        </is>
      </c>
      <c r="C448" t="n">
        <v>57</v>
      </c>
      <c r="D448" t="n">
        <v>5</v>
      </c>
      <c r="E448" t="inlineStr">
        <is>
          <t>Input</t>
        </is>
      </c>
      <c r="F448" t="n">
        <v/>
      </c>
      <c r="G448" t="inlineStr">
        <is>
          <t>2018 F</t>
        </is>
      </c>
      <c r="H448" t="inlineStr"/>
      <c r="I448" t="inlineStr">
        <is>
          <t>General</t>
        </is>
      </c>
      <c r="J448" t="b">
        <v>1</v>
      </c>
      <c r="K448" t="b">
        <v>0</v>
      </c>
      <c r="L448" t="n">
        <v>11</v>
      </c>
      <c r="M448" t="inlineStr">
        <is>
          <t>Values must be of type &lt;class 'str'&gt;</t>
        </is>
      </c>
      <c r="N448" t="inlineStr">
        <is>
          <t>Values must be of type &lt;class 'str'&gt;</t>
        </is>
      </c>
      <c r="O448" t="inlineStr">
        <is>
          <t>center</t>
        </is>
      </c>
      <c r="P448" t="inlineStr">
        <is>
          <t>center</t>
        </is>
      </c>
      <c r="R448" t="b">
        <v>1</v>
      </c>
      <c r="S448" t="n">
        <v/>
      </c>
      <c r="T448" t="n">
        <v/>
      </c>
      <c r="U448" t="n">
        <v/>
      </c>
      <c r="V448" t="b">
        <v>0</v>
      </c>
      <c r="W448" t="inlineStr"/>
      <c r="X448" t="n">
        <v/>
      </c>
    </row>
    <row r="449">
      <c r="A449" t="inlineStr">
        <is>
          <t>Asset schedule</t>
        </is>
      </c>
      <c r="B449" t="inlineStr">
        <is>
          <t>F57</t>
        </is>
      </c>
      <c r="C449" t="n">
        <v>57</v>
      </c>
      <c r="D449" t="n">
        <v>6</v>
      </c>
      <c r="E449" t="inlineStr">
        <is>
          <t>Input</t>
        </is>
      </c>
      <c r="F449" t="n">
        <v/>
      </c>
      <c r="G449" t="inlineStr">
        <is>
          <t>2019 F</t>
        </is>
      </c>
      <c r="H449" t="inlineStr"/>
      <c r="I449" t="inlineStr">
        <is>
          <t>General</t>
        </is>
      </c>
      <c r="J449" t="b">
        <v>1</v>
      </c>
      <c r="K449" t="b">
        <v>0</v>
      </c>
      <c r="L449" t="n">
        <v>11</v>
      </c>
      <c r="M449" t="inlineStr">
        <is>
          <t>Values must be of type &lt;class 'str'&gt;</t>
        </is>
      </c>
      <c r="N449" t="inlineStr">
        <is>
          <t>Values must be of type &lt;class 'str'&gt;</t>
        </is>
      </c>
      <c r="O449" t="inlineStr">
        <is>
          <t>center</t>
        </is>
      </c>
      <c r="P449" t="inlineStr">
        <is>
          <t>center</t>
        </is>
      </c>
      <c r="R449" t="b">
        <v>1</v>
      </c>
      <c r="S449" t="n">
        <v/>
      </c>
      <c r="T449" t="n">
        <v/>
      </c>
      <c r="U449" t="n">
        <v/>
      </c>
      <c r="V449" t="b">
        <v>0</v>
      </c>
      <c r="W449" t="inlineStr"/>
      <c r="X449" t="n">
        <v/>
      </c>
    </row>
    <row r="450">
      <c r="A450" t="inlineStr">
        <is>
          <t>Asset schedule</t>
        </is>
      </c>
      <c r="B450" t="inlineStr">
        <is>
          <t>G57</t>
        </is>
      </c>
      <c r="C450" t="n">
        <v>57</v>
      </c>
      <c r="D450" t="n">
        <v>7</v>
      </c>
      <c r="E450" t="inlineStr">
        <is>
          <t>Input</t>
        </is>
      </c>
      <c r="F450" t="n">
        <v/>
      </c>
      <c r="G450" t="inlineStr">
        <is>
          <t>2020 F</t>
        </is>
      </c>
      <c r="H450" t="inlineStr"/>
      <c r="I450" t="inlineStr">
        <is>
          <t>General</t>
        </is>
      </c>
      <c r="J450" t="b">
        <v>1</v>
      </c>
      <c r="K450" t="b">
        <v>0</v>
      </c>
      <c r="L450" t="n">
        <v>11</v>
      </c>
      <c r="M450" t="inlineStr">
        <is>
          <t>Values must be of type &lt;class 'str'&gt;</t>
        </is>
      </c>
      <c r="N450" t="inlineStr">
        <is>
          <t>Values must be of type &lt;class 'str'&gt;</t>
        </is>
      </c>
      <c r="O450" t="inlineStr">
        <is>
          <t>center</t>
        </is>
      </c>
      <c r="P450" t="inlineStr">
        <is>
          <t>center</t>
        </is>
      </c>
      <c r="R450" t="b">
        <v>1</v>
      </c>
      <c r="S450" t="n">
        <v/>
      </c>
      <c r="T450" t="n">
        <v/>
      </c>
      <c r="U450" t="n">
        <v/>
      </c>
      <c r="V450" t="b">
        <v>0</v>
      </c>
      <c r="W450" t="inlineStr"/>
      <c r="X450" t="n">
        <v/>
      </c>
    </row>
    <row r="451">
      <c r="A451" t="inlineStr">
        <is>
          <t>Asset schedule</t>
        </is>
      </c>
      <c r="B451" t="inlineStr">
        <is>
          <t>H57</t>
        </is>
      </c>
      <c r="C451" t="n">
        <v>57</v>
      </c>
      <c r="D451" t="n">
        <v>8</v>
      </c>
      <c r="E451" t="inlineStr">
        <is>
          <t>Input</t>
        </is>
      </c>
      <c r="F451" t="n">
        <v/>
      </c>
      <c r="G451" t="inlineStr">
        <is>
          <t>2021 F</t>
        </is>
      </c>
      <c r="H451" t="inlineStr"/>
      <c r="I451" t="inlineStr">
        <is>
          <t>General</t>
        </is>
      </c>
      <c r="J451" t="b">
        <v>1</v>
      </c>
      <c r="K451" t="b">
        <v>0</v>
      </c>
      <c r="L451" t="n">
        <v>11</v>
      </c>
      <c r="M451" t="inlineStr">
        <is>
          <t>Values must be of type &lt;class 'str'&gt;</t>
        </is>
      </c>
      <c r="N451" t="inlineStr">
        <is>
          <t>Values must be of type &lt;class 'str'&gt;</t>
        </is>
      </c>
      <c r="O451" t="inlineStr">
        <is>
          <t>center</t>
        </is>
      </c>
      <c r="P451" t="inlineStr">
        <is>
          <t>center</t>
        </is>
      </c>
      <c r="R451" t="b">
        <v>1</v>
      </c>
      <c r="S451" t="n">
        <v/>
      </c>
      <c r="T451" t="n">
        <v/>
      </c>
      <c r="U451" t="n">
        <v/>
      </c>
      <c r="V451" t="b">
        <v>0</v>
      </c>
      <c r="W451" t="inlineStr"/>
      <c r="X451" t="n">
        <v/>
      </c>
    </row>
    <row r="452">
      <c r="A452" t="inlineStr">
        <is>
          <t>Asset schedule</t>
        </is>
      </c>
      <c r="B452" t="inlineStr">
        <is>
          <t>I57</t>
        </is>
      </c>
      <c r="C452" t="n">
        <v>57</v>
      </c>
      <c r="D452" t="n">
        <v>9</v>
      </c>
      <c r="E452" t="inlineStr">
        <is>
          <t>Input</t>
        </is>
      </c>
      <c r="F452" t="n">
        <v/>
      </c>
      <c r="G452" t="inlineStr">
        <is>
          <t>2022 F</t>
        </is>
      </c>
      <c r="H452" t="inlineStr"/>
      <c r="I452" t="inlineStr">
        <is>
          <t>General</t>
        </is>
      </c>
      <c r="J452" t="b">
        <v>1</v>
      </c>
      <c r="K452" t="b">
        <v>0</v>
      </c>
      <c r="L452" t="n">
        <v>11</v>
      </c>
      <c r="M452" t="inlineStr">
        <is>
          <t>Values must be of type &lt;class 'str'&gt;</t>
        </is>
      </c>
      <c r="N452" t="inlineStr">
        <is>
          <t>Values must be of type &lt;class 'str'&gt;</t>
        </is>
      </c>
      <c r="O452" t="inlineStr">
        <is>
          <t>center</t>
        </is>
      </c>
      <c r="P452" t="inlineStr">
        <is>
          <t>center</t>
        </is>
      </c>
      <c r="R452" t="b">
        <v>1</v>
      </c>
      <c r="S452" t="n">
        <v/>
      </c>
      <c r="T452" t="n">
        <v/>
      </c>
      <c r="U452" t="n">
        <v/>
      </c>
      <c r="V452" t="b">
        <v>0</v>
      </c>
      <c r="W452" t="inlineStr"/>
      <c r="X452" t="n">
        <v/>
      </c>
    </row>
    <row r="453">
      <c r="A453" t="inlineStr">
        <is>
          <t>Asset schedule</t>
        </is>
      </c>
      <c r="B453" t="inlineStr">
        <is>
          <t>A58</t>
        </is>
      </c>
      <c r="C453" t="n">
        <v>58</v>
      </c>
      <c r="D453" t="n">
        <v>1</v>
      </c>
      <c r="E453" t="inlineStr">
        <is>
          <t>Input</t>
        </is>
      </c>
      <c r="F453" t="n">
        <v/>
      </c>
      <c r="G453" t="inlineStr">
        <is>
          <t>Opening balance</t>
        </is>
      </c>
      <c r="H453" t="inlineStr"/>
      <c r="I453" t="inlineStr">
        <is>
          <t>General</t>
        </is>
      </c>
      <c r="J453" t="b">
        <v>0</v>
      </c>
      <c r="K453" t="b">
        <v>0</v>
      </c>
      <c r="L453" t="n">
        <v>11</v>
      </c>
      <c r="M453" t="inlineStr">
        <is>
          <t>FF000000</t>
        </is>
      </c>
      <c r="N453" t="inlineStr">
        <is>
          <t>00000000</t>
        </is>
      </c>
      <c r="O453" t="n">
        <v/>
      </c>
      <c r="P453" t="n">
        <v/>
      </c>
      <c r="R453" t="b">
        <v>1</v>
      </c>
      <c r="S453" t="n">
        <v/>
      </c>
      <c r="T453" t="n">
        <v/>
      </c>
      <c r="U453" t="n">
        <v/>
      </c>
      <c r="V453" t="b">
        <v>0</v>
      </c>
      <c r="W453" t="inlineStr"/>
      <c r="X453" t="n">
        <v/>
      </c>
    </row>
    <row r="454">
      <c r="A454" t="inlineStr">
        <is>
          <t>Asset schedule</t>
        </is>
      </c>
      <c r="B454" t="inlineStr">
        <is>
          <t>D58</t>
        </is>
      </c>
      <c r="C454" t="n">
        <v>58</v>
      </c>
      <c r="D454" t="n">
        <v>4</v>
      </c>
      <c r="E454" t="inlineStr">
        <is>
          <t>Input</t>
        </is>
      </c>
      <c r="F454" t="n">
        <v/>
      </c>
      <c r="G454" t="n">
        <v>3.63</v>
      </c>
      <c r="H454" t="inlineStr"/>
      <c r="I454" t="inlineStr">
        <is>
          <t>General</t>
        </is>
      </c>
      <c r="J454" t="b">
        <v>0</v>
      </c>
      <c r="K454" t="b">
        <v>0</v>
      </c>
      <c r="L454" t="n">
        <v>11</v>
      </c>
      <c r="M454" t="inlineStr">
        <is>
          <t>FF000000</t>
        </is>
      </c>
      <c r="N454" t="inlineStr">
        <is>
          <t>00000000</t>
        </is>
      </c>
      <c r="O454" t="n">
        <v/>
      </c>
      <c r="P454" t="n">
        <v/>
      </c>
      <c r="R454" t="b">
        <v>1</v>
      </c>
      <c r="S454" t="n">
        <v/>
      </c>
      <c r="T454" t="n">
        <v/>
      </c>
      <c r="U454" t="n">
        <v/>
      </c>
      <c r="V454" t="b">
        <v>0</v>
      </c>
      <c r="W454" t="inlineStr"/>
      <c r="X454" t="n">
        <v/>
      </c>
    </row>
    <row r="455">
      <c r="A455" t="inlineStr">
        <is>
          <t>Asset schedule</t>
        </is>
      </c>
      <c r="B455" t="inlineStr">
        <is>
          <t>E58</t>
        </is>
      </c>
      <c r="C455" t="n">
        <v>58</v>
      </c>
      <c r="D455" t="n">
        <v>5</v>
      </c>
      <c r="E455" t="inlineStr">
        <is>
          <t>Calculation</t>
        </is>
      </c>
      <c r="F455" t="inlineStr">
        <is>
          <t>'=D62</t>
        </is>
      </c>
      <c r="G455" t="n">
        <v>1.63</v>
      </c>
      <c r="H455" t="inlineStr"/>
      <c r="I455" t="inlineStr">
        <is>
          <t>General</t>
        </is>
      </c>
      <c r="J455" t="b">
        <v>0</v>
      </c>
      <c r="K455" t="b">
        <v>0</v>
      </c>
      <c r="L455" t="n">
        <v>11</v>
      </c>
      <c r="M455" t="inlineStr">
        <is>
          <t>FF000000</t>
        </is>
      </c>
      <c r="N455" t="inlineStr">
        <is>
          <t>00000000</t>
        </is>
      </c>
      <c r="O455" t="n">
        <v/>
      </c>
      <c r="P455" t="n">
        <v/>
      </c>
      <c r="R455" t="b">
        <v>1</v>
      </c>
      <c r="S455" t="inlineStr">
        <is>
          <t>G000085</t>
        </is>
      </c>
      <c r="T455" t="inlineStr">
        <is>
          <t>Horizontal</t>
        </is>
      </c>
      <c r="U455" t="n">
        <v>5</v>
      </c>
      <c r="V455" t="b">
        <v>1</v>
      </c>
      <c r="W455" t="inlineStr">
        <is>
          <t>Asset schedule!E58:I58</t>
        </is>
      </c>
      <c r="X455">
        <f>R[4]C[-1]</f>
        <v/>
      </c>
    </row>
    <row r="456">
      <c r="A456" t="inlineStr">
        <is>
          <t>Asset schedule</t>
        </is>
      </c>
      <c r="B456" t="inlineStr">
        <is>
          <t>F58</t>
        </is>
      </c>
      <c r="C456" t="n">
        <v>58</v>
      </c>
      <c r="D456" t="n">
        <v>6</v>
      </c>
      <c r="E456" t="inlineStr">
        <is>
          <t>Calculation</t>
        </is>
      </c>
      <c r="F456" t="inlineStr">
        <is>
          <t>'=E62</t>
        </is>
      </c>
      <c r="G456" t="n">
        <v>1.474696359451825</v>
      </c>
      <c r="H456" t="inlineStr"/>
      <c r="I456" t="inlineStr">
        <is>
          <t>General</t>
        </is>
      </c>
      <c r="J456" t="b">
        <v>0</v>
      </c>
      <c r="K456" t="b">
        <v>0</v>
      </c>
      <c r="L456" t="n">
        <v>11</v>
      </c>
      <c r="M456" t="inlineStr">
        <is>
          <t>FF000000</t>
        </is>
      </c>
      <c r="N456" t="inlineStr">
        <is>
          <t>00000000</t>
        </is>
      </c>
      <c r="O456" t="n">
        <v/>
      </c>
      <c r="P456" t="n">
        <v/>
      </c>
      <c r="R456" t="b">
        <v>1</v>
      </c>
      <c r="S456" t="inlineStr">
        <is>
          <t>G000085</t>
        </is>
      </c>
      <c r="T456" t="inlineStr">
        <is>
          <t>Horizontal</t>
        </is>
      </c>
      <c r="U456" t="n">
        <v>5</v>
      </c>
      <c r="V456" t="b">
        <v>1</v>
      </c>
      <c r="W456" t="inlineStr">
        <is>
          <t>Asset schedule!E58:I58</t>
        </is>
      </c>
      <c r="X456">
        <f>R[4]C[-1]</f>
        <v/>
      </c>
    </row>
    <row r="457">
      <c r="A457" t="inlineStr">
        <is>
          <t>Asset schedule</t>
        </is>
      </c>
      <c r="B457" t="inlineStr">
        <is>
          <t>G58</t>
        </is>
      </c>
      <c r="C457" t="n">
        <v>58</v>
      </c>
      <c r="D457" t="n">
        <v>7</v>
      </c>
      <c r="E457" t="inlineStr">
        <is>
          <t>Calculation</t>
        </is>
      </c>
      <c r="F457" t="inlineStr">
        <is>
          <t>'=F62</t>
        </is>
      </c>
      <c r="G457" t="n">
        <v>1.39870019200027</v>
      </c>
      <c r="H457" t="inlineStr"/>
      <c r="I457" t="inlineStr">
        <is>
          <t>General</t>
        </is>
      </c>
      <c r="J457" t="b">
        <v>0</v>
      </c>
      <c r="K457" t="b">
        <v>0</v>
      </c>
      <c r="L457" t="n">
        <v>11</v>
      </c>
      <c r="M457" t="inlineStr">
        <is>
          <t>FF000000</t>
        </is>
      </c>
      <c r="N457" t="inlineStr">
        <is>
          <t>00000000</t>
        </is>
      </c>
      <c r="O457" t="n">
        <v/>
      </c>
      <c r="P457" t="n">
        <v/>
      </c>
      <c r="R457" t="b">
        <v>1</v>
      </c>
      <c r="S457" t="inlineStr">
        <is>
          <t>G000085</t>
        </is>
      </c>
      <c r="T457" t="inlineStr">
        <is>
          <t>Horizontal</t>
        </is>
      </c>
      <c r="U457" t="n">
        <v>5</v>
      </c>
      <c r="V457" t="b">
        <v>1</v>
      </c>
      <c r="W457" t="inlineStr">
        <is>
          <t>Asset schedule!E58:I58</t>
        </is>
      </c>
      <c r="X457">
        <f>R[4]C[-1]</f>
        <v/>
      </c>
    </row>
    <row r="458">
      <c r="A458" t="inlineStr">
        <is>
          <t>Asset schedule</t>
        </is>
      </c>
      <c r="B458" t="inlineStr">
        <is>
          <t>H58</t>
        </is>
      </c>
      <c r="C458" t="n">
        <v>58</v>
      </c>
      <c r="D458" t="n">
        <v>8</v>
      </c>
      <c r="E458" t="inlineStr">
        <is>
          <t>Calculation</t>
        </is>
      </c>
      <c r="F458" t="inlineStr">
        <is>
          <t>'=G62</t>
        </is>
      </c>
      <c r="G458" t="n">
        <v>1.378040776225937</v>
      </c>
      <c r="H458" t="inlineStr"/>
      <c r="I458" t="inlineStr">
        <is>
          <t>General</t>
        </is>
      </c>
      <c r="J458" t="b">
        <v>0</v>
      </c>
      <c r="K458" t="b">
        <v>0</v>
      </c>
      <c r="L458" t="n">
        <v>11</v>
      </c>
      <c r="M458" t="inlineStr">
        <is>
          <t>FF000000</t>
        </is>
      </c>
      <c r="N458" t="inlineStr">
        <is>
          <t>00000000</t>
        </is>
      </c>
      <c r="O458" t="n">
        <v/>
      </c>
      <c r="P458" t="n">
        <v/>
      </c>
      <c r="R458" t="b">
        <v>1</v>
      </c>
      <c r="S458" t="inlineStr">
        <is>
          <t>G000085</t>
        </is>
      </c>
      <c r="T458" t="inlineStr">
        <is>
          <t>Horizontal</t>
        </is>
      </c>
      <c r="U458" t="n">
        <v>5</v>
      </c>
      <c r="V458" t="b">
        <v>1</v>
      </c>
      <c r="W458" t="inlineStr">
        <is>
          <t>Asset schedule!E58:I58</t>
        </is>
      </c>
      <c r="X458">
        <f>R[4]C[-1]</f>
        <v/>
      </c>
    </row>
    <row r="459">
      <c r="A459" t="inlineStr">
        <is>
          <t>Asset schedule</t>
        </is>
      </c>
      <c r="B459" t="inlineStr">
        <is>
          <t>I58</t>
        </is>
      </c>
      <c r="C459" t="n">
        <v>58</v>
      </c>
      <c r="D459" t="n">
        <v>9</v>
      </c>
      <c r="E459" t="inlineStr">
        <is>
          <t>Calculation</t>
        </is>
      </c>
      <c r="F459" t="inlineStr">
        <is>
          <t>'=H62</t>
        </is>
      </c>
      <c r="G459" t="n">
        <v>1.396692911449231</v>
      </c>
      <c r="H459" t="inlineStr"/>
      <c r="I459" t="inlineStr">
        <is>
          <t>General</t>
        </is>
      </c>
      <c r="J459" t="b">
        <v>0</v>
      </c>
      <c r="K459" t="b">
        <v>0</v>
      </c>
      <c r="L459" t="n">
        <v>11</v>
      </c>
      <c r="M459" t="inlineStr">
        <is>
          <t>FF000000</t>
        </is>
      </c>
      <c r="N459" t="inlineStr">
        <is>
          <t>00000000</t>
        </is>
      </c>
      <c r="O459" t="n">
        <v/>
      </c>
      <c r="P459" t="n">
        <v/>
      </c>
      <c r="R459" t="b">
        <v>1</v>
      </c>
      <c r="S459" t="inlineStr">
        <is>
          <t>G000085</t>
        </is>
      </c>
      <c r="T459" t="inlineStr">
        <is>
          <t>Horizontal</t>
        </is>
      </c>
      <c r="U459" t="n">
        <v>5</v>
      </c>
      <c r="V459" t="b">
        <v>1</v>
      </c>
      <c r="W459" t="inlineStr">
        <is>
          <t>Asset schedule!E58:I58</t>
        </is>
      </c>
      <c r="X459">
        <f>R[4]C[-1]</f>
        <v/>
      </c>
    </row>
    <row r="460">
      <c r="A460" t="inlineStr">
        <is>
          <t>Asset schedule</t>
        </is>
      </c>
      <c r="B460" t="inlineStr">
        <is>
          <t>A59</t>
        </is>
      </c>
      <c r="C460" t="n">
        <v>59</v>
      </c>
      <c r="D460" t="n">
        <v>1</v>
      </c>
      <c r="E460" t="inlineStr">
        <is>
          <t>Input</t>
        </is>
      </c>
      <c r="F460" t="n">
        <v/>
      </c>
      <c r="G460" t="inlineStr">
        <is>
          <t>Add: purchase during the year</t>
        </is>
      </c>
      <c r="H460" t="inlineStr"/>
      <c r="I460" t="inlineStr">
        <is>
          <t>General</t>
        </is>
      </c>
      <c r="J460" t="b">
        <v>0</v>
      </c>
      <c r="K460" t="b">
        <v>0</v>
      </c>
      <c r="L460" t="n">
        <v>11</v>
      </c>
      <c r="M460" t="inlineStr">
        <is>
          <t>FF000000</t>
        </is>
      </c>
      <c r="N460" t="inlineStr">
        <is>
          <t>00000000</t>
        </is>
      </c>
      <c r="O460" t="n">
        <v/>
      </c>
      <c r="P460" t="n">
        <v/>
      </c>
      <c r="R460" t="b">
        <v>1</v>
      </c>
      <c r="S460" t="n">
        <v/>
      </c>
      <c r="T460" t="n">
        <v/>
      </c>
      <c r="U460" t="n">
        <v/>
      </c>
      <c r="V460" t="b">
        <v>0</v>
      </c>
      <c r="W460" t="inlineStr"/>
      <c r="X460" t="n">
        <v/>
      </c>
    </row>
    <row r="461">
      <c r="A461" t="inlineStr">
        <is>
          <t>Asset schedule</t>
        </is>
      </c>
      <c r="B461" t="inlineStr">
        <is>
          <t>D59</t>
        </is>
      </c>
      <c r="C461" t="n">
        <v>59</v>
      </c>
      <c r="D461" t="n">
        <v>4</v>
      </c>
      <c r="E461" t="inlineStr">
        <is>
          <t>Input</t>
        </is>
      </c>
      <c r="F461" t="n">
        <v/>
      </c>
      <c r="G461" t="n">
        <v>0.35</v>
      </c>
      <c r="H461" t="inlineStr"/>
      <c r="I461" t="inlineStr">
        <is>
          <t>General</t>
        </is>
      </c>
      <c r="J461" t="b">
        <v>0</v>
      </c>
      <c r="K461" t="b">
        <v>0</v>
      </c>
      <c r="L461" t="n">
        <v>11</v>
      </c>
      <c r="M461" t="inlineStr">
        <is>
          <t>FF000000</t>
        </is>
      </c>
      <c r="N461" t="inlineStr">
        <is>
          <t>00000000</t>
        </is>
      </c>
      <c r="O461" t="n">
        <v/>
      </c>
      <c r="P461" t="n">
        <v/>
      </c>
      <c r="R461" t="b">
        <v>1</v>
      </c>
      <c r="S461" t="n">
        <v/>
      </c>
      <c r="T461" t="n">
        <v/>
      </c>
      <c r="U461" t="n">
        <v/>
      </c>
      <c r="V461" t="b">
        <v>0</v>
      </c>
      <c r="W461" t="inlineStr"/>
      <c r="X461" t="n">
        <v/>
      </c>
    </row>
    <row r="462">
      <c r="A462" t="inlineStr">
        <is>
          <t>Asset schedule</t>
        </is>
      </c>
      <c r="B462" t="inlineStr">
        <is>
          <t>E59</t>
        </is>
      </c>
      <c r="C462" t="n">
        <v>59</v>
      </c>
      <c r="D462" t="n">
        <v>5</v>
      </c>
      <c r="E462" t="inlineStr">
        <is>
          <t>Calculation</t>
        </is>
      </c>
      <c r="F462" t="inlineStr">
        <is>
          <t>'=INDEX($L$4:$T$15,MATCH($A57,$L$4:$L$15,0),MATCH(E57,$L$4:$T$4,0))</t>
        </is>
      </c>
      <c r="G462" t="n">
        <v>0.3768037974683545</v>
      </c>
      <c r="H462" t="inlineStr"/>
      <c r="I462" t="inlineStr">
        <is>
          <t>0.0</t>
        </is>
      </c>
      <c r="J462" t="b">
        <v>0</v>
      </c>
      <c r="K462" t="b">
        <v>0</v>
      </c>
      <c r="L462" t="n">
        <v>11</v>
      </c>
      <c r="M462" t="inlineStr">
        <is>
          <t>FF000000</t>
        </is>
      </c>
      <c r="N462" t="inlineStr">
        <is>
          <t>00000000</t>
        </is>
      </c>
      <c r="O462" t="n">
        <v/>
      </c>
      <c r="P462" t="n">
        <v/>
      </c>
      <c r="R462" t="b">
        <v>1</v>
      </c>
      <c r="S462" t="inlineStr">
        <is>
          <t>G000097</t>
        </is>
      </c>
      <c r="T462" t="inlineStr">
        <is>
          <t>Horizontal</t>
        </is>
      </c>
      <c r="U462" t="n">
        <v>5</v>
      </c>
      <c r="V462" t="b">
        <v>1</v>
      </c>
      <c r="W462" t="inlineStr">
        <is>
          <t>Asset schedule!E59:I59</t>
        </is>
      </c>
      <c r="X462">
        <f>INDEX(R4C12:R15C20,MATCH(R[-2]C1,R4C12:R15C12,0),MATCH(R[-2]C[0],R4C12:R4C20,0))</f>
        <v/>
      </c>
    </row>
    <row r="463">
      <c r="A463" t="inlineStr">
        <is>
          <t>Asset schedule</t>
        </is>
      </c>
      <c r="B463" t="inlineStr">
        <is>
          <t>F59</t>
        </is>
      </c>
      <c r="C463" t="n">
        <v>59</v>
      </c>
      <c r="D463" t="n">
        <v>6</v>
      </c>
      <c r="E463" t="inlineStr">
        <is>
          <t>Calculation</t>
        </is>
      </c>
      <c r="F463" t="inlineStr">
        <is>
          <t>'=INDEX($L$4:$T$15,MATCH($A57,$L$4:$L$15,0),MATCH(F57,$L$4:$T$4,0))</t>
        </is>
      </c>
      <c r="G463" t="n">
        <v>0.4054129746835444</v>
      </c>
      <c r="H463" t="inlineStr"/>
      <c r="I463" t="inlineStr">
        <is>
          <t>0.0</t>
        </is>
      </c>
      <c r="J463" t="b">
        <v>0</v>
      </c>
      <c r="K463" t="b">
        <v>0</v>
      </c>
      <c r="L463" t="n">
        <v>11</v>
      </c>
      <c r="M463" t="inlineStr">
        <is>
          <t>FF000000</t>
        </is>
      </c>
      <c r="N463" t="inlineStr">
        <is>
          <t>00000000</t>
        </is>
      </c>
      <c r="O463" t="n">
        <v/>
      </c>
      <c r="P463" t="n">
        <v/>
      </c>
      <c r="R463" t="b">
        <v>1</v>
      </c>
      <c r="S463" t="inlineStr">
        <is>
          <t>G000097</t>
        </is>
      </c>
      <c r="T463" t="inlineStr">
        <is>
          <t>Horizontal</t>
        </is>
      </c>
      <c r="U463" t="n">
        <v>5</v>
      </c>
      <c r="V463" t="b">
        <v>1</v>
      </c>
      <c r="W463" t="inlineStr">
        <is>
          <t>Asset schedule!E59:I59</t>
        </is>
      </c>
      <c r="X463">
        <f>INDEX(R4C12:R15C20,MATCH(R[-2]C1,R4C12:R15C12,0),MATCH(R[-2]C[0],R4C12:R4C20,0))</f>
        <v/>
      </c>
    </row>
    <row r="464">
      <c r="A464" t="inlineStr">
        <is>
          <t>Asset schedule</t>
        </is>
      </c>
      <c r="B464" t="inlineStr">
        <is>
          <t>G59</t>
        </is>
      </c>
      <c r="C464" t="n">
        <v>59</v>
      </c>
      <c r="D464" t="n">
        <v>7</v>
      </c>
      <c r="E464" t="inlineStr">
        <is>
          <t>Calculation</t>
        </is>
      </c>
      <c r="F464" t="inlineStr">
        <is>
          <t>'=INDEX($L$4:$T$15,MATCH($A57,$L$4:$L$15,0),MATCH(G57,$L$4:$T$4,0))</t>
        </is>
      </c>
      <c r="G464" t="n">
        <v>0.4359410601265823</v>
      </c>
      <c r="H464" t="inlineStr"/>
      <c r="I464" t="inlineStr">
        <is>
          <t>0.0</t>
        </is>
      </c>
      <c r="J464" t="b">
        <v>0</v>
      </c>
      <c r="K464" t="b">
        <v>0</v>
      </c>
      <c r="L464" t="n">
        <v>11</v>
      </c>
      <c r="M464" t="inlineStr">
        <is>
          <t>FF000000</t>
        </is>
      </c>
      <c r="N464" t="inlineStr">
        <is>
          <t>00000000</t>
        </is>
      </c>
      <c r="O464" t="n">
        <v/>
      </c>
      <c r="P464" t="n">
        <v/>
      </c>
      <c r="R464" t="b">
        <v>1</v>
      </c>
      <c r="S464" t="inlineStr">
        <is>
          <t>G000097</t>
        </is>
      </c>
      <c r="T464" t="inlineStr">
        <is>
          <t>Horizontal</t>
        </is>
      </c>
      <c r="U464" t="n">
        <v>5</v>
      </c>
      <c r="V464" t="b">
        <v>1</v>
      </c>
      <c r="W464" t="inlineStr">
        <is>
          <t>Asset schedule!E59:I59</t>
        </is>
      </c>
      <c r="X464">
        <f>INDEX(R4C12:R15C20,MATCH(R[-2]C1,R4C12:R15C12,0),MATCH(R[-2]C[0],R4C12:R4C20,0))</f>
        <v/>
      </c>
    </row>
    <row r="465">
      <c r="A465" t="inlineStr">
        <is>
          <t>Asset schedule</t>
        </is>
      </c>
      <c r="B465" t="inlineStr">
        <is>
          <t>H59</t>
        </is>
      </c>
      <c r="C465" t="n">
        <v>59</v>
      </c>
      <c r="D465" t="n">
        <v>8</v>
      </c>
      <c r="E465" t="inlineStr">
        <is>
          <t>Calculation</t>
        </is>
      </c>
      <c r="F465" t="inlineStr">
        <is>
          <t>'=INDEX($L$4:$T$15,MATCH($A57,$L$4:$L$15,0),MATCH(H57,$L$4:$T$4,0))</t>
        </is>
      </c>
      <c r="G465" t="n">
        <v>0.4685084216772152</v>
      </c>
      <c r="H465" t="inlineStr"/>
      <c r="I465" t="inlineStr">
        <is>
          <t>0.0</t>
        </is>
      </c>
      <c r="J465" t="b">
        <v>0</v>
      </c>
      <c r="K465" t="b">
        <v>0</v>
      </c>
      <c r="L465" t="n">
        <v>11</v>
      </c>
      <c r="M465" t="inlineStr">
        <is>
          <t>FF000000</t>
        </is>
      </c>
      <c r="N465" t="inlineStr">
        <is>
          <t>00000000</t>
        </is>
      </c>
      <c r="O465" t="n">
        <v/>
      </c>
      <c r="P465" t="n">
        <v/>
      </c>
      <c r="R465" t="b">
        <v>1</v>
      </c>
      <c r="S465" t="inlineStr">
        <is>
          <t>G000097</t>
        </is>
      </c>
      <c r="T465" t="inlineStr">
        <is>
          <t>Horizontal</t>
        </is>
      </c>
      <c r="U465" t="n">
        <v>5</v>
      </c>
      <c r="V465" t="b">
        <v>1</v>
      </c>
      <c r="W465" t="inlineStr">
        <is>
          <t>Asset schedule!E59:I59</t>
        </is>
      </c>
      <c r="X465">
        <f>INDEX(R4C12:R15C20,MATCH(R[-2]C1,R4C12:R15C12,0),MATCH(R[-2]C[0],R4C12:R4C20,0))</f>
        <v/>
      </c>
    </row>
    <row r="466">
      <c r="A466" t="inlineStr">
        <is>
          <t>Asset schedule</t>
        </is>
      </c>
      <c r="B466" t="inlineStr">
        <is>
          <t>I59</t>
        </is>
      </c>
      <c r="C466" t="n">
        <v>59</v>
      </c>
      <c r="D466" t="n">
        <v>9</v>
      </c>
      <c r="E466" t="inlineStr">
        <is>
          <t>Calculation</t>
        </is>
      </c>
      <c r="F466" t="inlineStr">
        <is>
          <t>'=INDEX($L$4:$T$15,MATCH($A57,$L$4:$L$15,0),MATCH(I57,$L$4:$T$4,0))</t>
        </is>
      </c>
      <c r="G466" t="n">
        <v>0.5032426667325952</v>
      </c>
      <c r="H466" t="inlineStr"/>
      <c r="I466" t="inlineStr">
        <is>
          <t>0.0</t>
        </is>
      </c>
      <c r="J466" t="b">
        <v>0</v>
      </c>
      <c r="K466" t="b">
        <v>0</v>
      </c>
      <c r="L466" t="n">
        <v>11</v>
      </c>
      <c r="M466" t="inlineStr">
        <is>
          <t>FF000000</t>
        </is>
      </c>
      <c r="N466" t="inlineStr">
        <is>
          <t>00000000</t>
        </is>
      </c>
      <c r="O466" t="n">
        <v/>
      </c>
      <c r="P466" t="n">
        <v/>
      </c>
      <c r="R466" t="b">
        <v>1</v>
      </c>
      <c r="S466" t="inlineStr">
        <is>
          <t>G000097</t>
        </is>
      </c>
      <c r="T466" t="inlineStr">
        <is>
          <t>Horizontal</t>
        </is>
      </c>
      <c r="U466" t="n">
        <v>5</v>
      </c>
      <c r="V466" t="b">
        <v>1</v>
      </c>
      <c r="W466" t="inlineStr">
        <is>
          <t>Asset schedule!E59:I59</t>
        </is>
      </c>
      <c r="X466">
        <f>INDEX(R4C12:R15C20,MATCH(R[-2]C1,R4C12:R15C12,0),MATCH(R[-2]C[0],R4C12:R4C20,0))</f>
        <v/>
      </c>
    </row>
    <row r="467">
      <c r="A467" t="inlineStr">
        <is>
          <t>Asset schedule</t>
        </is>
      </c>
      <c r="B467" t="inlineStr">
        <is>
          <t>A60</t>
        </is>
      </c>
      <c r="C467" t="n">
        <v>60</v>
      </c>
      <c r="D467" t="n">
        <v>1</v>
      </c>
      <c r="E467" t="inlineStr">
        <is>
          <t>Input</t>
        </is>
      </c>
      <c r="F467" t="n">
        <v/>
      </c>
      <c r="G467" t="inlineStr">
        <is>
          <t>Less: Sale during the year</t>
        </is>
      </c>
      <c r="H467" t="inlineStr"/>
      <c r="I467" t="inlineStr">
        <is>
          <t>General</t>
        </is>
      </c>
      <c r="J467" t="b">
        <v>0</v>
      </c>
      <c r="K467" t="b">
        <v>0</v>
      </c>
      <c r="L467" t="n">
        <v>11</v>
      </c>
      <c r="M467" t="inlineStr">
        <is>
          <t>FF000000</t>
        </is>
      </c>
      <c r="N467" t="inlineStr">
        <is>
          <t>00000000</t>
        </is>
      </c>
      <c r="O467" t="n">
        <v/>
      </c>
      <c r="P467" t="n">
        <v/>
      </c>
      <c r="R467" t="b">
        <v>1</v>
      </c>
      <c r="S467" t="n">
        <v/>
      </c>
      <c r="T467" t="n">
        <v/>
      </c>
      <c r="U467" t="n">
        <v/>
      </c>
      <c r="V467" t="b">
        <v>0</v>
      </c>
      <c r="W467" t="inlineStr"/>
      <c r="X467" t="n">
        <v/>
      </c>
    </row>
    <row r="468">
      <c r="A468" t="inlineStr">
        <is>
          <t>Asset schedule</t>
        </is>
      </c>
      <c r="B468" t="inlineStr">
        <is>
          <t>D60</t>
        </is>
      </c>
      <c r="C468" t="n">
        <v>60</v>
      </c>
      <c r="D468" t="n">
        <v>4</v>
      </c>
      <c r="E468" t="inlineStr">
        <is>
          <t>Input</t>
        </is>
      </c>
      <c r="F468" t="n">
        <v/>
      </c>
      <c r="G468" t="n">
        <v>1.56</v>
      </c>
      <c r="H468" t="inlineStr"/>
      <c r="I468" t="inlineStr">
        <is>
          <t>General</t>
        </is>
      </c>
      <c r="J468" t="b">
        <v>0</v>
      </c>
      <c r="K468" t="b">
        <v>0</v>
      </c>
      <c r="L468" t="n">
        <v>11</v>
      </c>
      <c r="M468" t="inlineStr">
        <is>
          <t>FF000000</t>
        </is>
      </c>
      <c r="N468" t="inlineStr">
        <is>
          <t>00000000</t>
        </is>
      </c>
      <c r="O468" t="n">
        <v/>
      </c>
      <c r="P468" t="n">
        <v/>
      </c>
      <c r="R468" t="b">
        <v>1</v>
      </c>
      <c r="S468" t="n">
        <v/>
      </c>
      <c r="T468" t="n">
        <v/>
      </c>
      <c r="U468" t="n">
        <v/>
      </c>
      <c r="V468" t="b">
        <v>0</v>
      </c>
      <c r="W468" t="inlineStr"/>
      <c r="X468" t="n">
        <v/>
      </c>
    </row>
    <row r="469">
      <c r="A469" t="inlineStr">
        <is>
          <t>Asset schedule</t>
        </is>
      </c>
      <c r="B469" t="inlineStr">
        <is>
          <t>E60</t>
        </is>
      </c>
      <c r="C469" t="n">
        <v>60</v>
      </c>
      <c r="D469" t="n">
        <v>5</v>
      </c>
      <c r="E469" t="inlineStr">
        <is>
          <t>Input</t>
        </is>
      </c>
      <c r="F469" t="n">
        <v/>
      </c>
      <c r="G469" t="n">
        <v>0</v>
      </c>
      <c r="H469" t="inlineStr"/>
      <c r="I469" t="inlineStr">
        <is>
          <t>General</t>
        </is>
      </c>
      <c r="J469" t="b">
        <v>0</v>
      </c>
      <c r="K469" t="b">
        <v>0</v>
      </c>
      <c r="L469" t="n">
        <v>11</v>
      </c>
      <c r="M469" t="inlineStr">
        <is>
          <t>FF000000</t>
        </is>
      </c>
      <c r="N469" t="inlineStr">
        <is>
          <t>00000000</t>
        </is>
      </c>
      <c r="O469" t="n">
        <v/>
      </c>
      <c r="P469" t="n">
        <v/>
      </c>
      <c r="R469" t="b">
        <v>1</v>
      </c>
      <c r="S469" t="n">
        <v/>
      </c>
      <c r="T469" t="n">
        <v/>
      </c>
      <c r="U469" t="n">
        <v/>
      </c>
      <c r="V469" t="b">
        <v>0</v>
      </c>
      <c r="W469" t="inlineStr"/>
      <c r="X469" t="n">
        <v/>
      </c>
    </row>
    <row r="470">
      <c r="A470" t="inlineStr">
        <is>
          <t>Asset schedule</t>
        </is>
      </c>
      <c r="B470" t="inlineStr">
        <is>
          <t>F60</t>
        </is>
      </c>
      <c r="C470" t="n">
        <v>60</v>
      </c>
      <c r="D470" t="n">
        <v>6</v>
      </c>
      <c r="E470" t="inlineStr">
        <is>
          <t>Input</t>
        </is>
      </c>
      <c r="F470" t="n">
        <v/>
      </c>
      <c r="G470" t="n">
        <v>0</v>
      </c>
      <c r="H470" t="inlineStr"/>
      <c r="I470" t="inlineStr">
        <is>
          <t>General</t>
        </is>
      </c>
      <c r="J470" t="b">
        <v>0</v>
      </c>
      <c r="K470" t="b">
        <v>0</v>
      </c>
      <c r="L470" t="n">
        <v>11</v>
      </c>
      <c r="M470" t="inlineStr">
        <is>
          <t>FF000000</t>
        </is>
      </c>
      <c r="N470" t="inlineStr">
        <is>
          <t>00000000</t>
        </is>
      </c>
      <c r="O470" t="n">
        <v/>
      </c>
      <c r="P470" t="n">
        <v/>
      </c>
      <c r="R470" t="b">
        <v>1</v>
      </c>
      <c r="S470" t="n">
        <v/>
      </c>
      <c r="T470" t="n">
        <v/>
      </c>
      <c r="U470" t="n">
        <v/>
      </c>
      <c r="V470" t="b">
        <v>0</v>
      </c>
      <c r="W470" t="inlineStr"/>
      <c r="X470" t="n">
        <v/>
      </c>
    </row>
    <row r="471">
      <c r="A471" t="inlineStr">
        <is>
          <t>Asset schedule</t>
        </is>
      </c>
      <c r="B471" t="inlineStr">
        <is>
          <t>G60</t>
        </is>
      </c>
      <c r="C471" t="n">
        <v>60</v>
      </c>
      <c r="D471" t="n">
        <v>7</v>
      </c>
      <c r="E471" t="inlineStr">
        <is>
          <t>Input</t>
        </is>
      </c>
      <c r="F471" t="n">
        <v/>
      </c>
      <c r="G471" t="n">
        <v>0</v>
      </c>
      <c r="H471" t="inlineStr"/>
      <c r="I471" t="inlineStr">
        <is>
          <t>General</t>
        </is>
      </c>
      <c r="J471" t="b">
        <v>0</v>
      </c>
      <c r="K471" t="b">
        <v>0</v>
      </c>
      <c r="L471" t="n">
        <v>11</v>
      </c>
      <c r="M471" t="inlineStr">
        <is>
          <t>FF000000</t>
        </is>
      </c>
      <c r="N471" t="inlineStr">
        <is>
          <t>00000000</t>
        </is>
      </c>
      <c r="O471" t="n">
        <v/>
      </c>
      <c r="P471" t="n">
        <v/>
      </c>
      <c r="R471" t="b">
        <v>1</v>
      </c>
      <c r="S471" t="n">
        <v/>
      </c>
      <c r="T471" t="n">
        <v/>
      </c>
      <c r="U471" t="n">
        <v/>
      </c>
      <c r="V471" t="b">
        <v>0</v>
      </c>
      <c r="W471" t="inlineStr"/>
      <c r="X471" t="n">
        <v/>
      </c>
    </row>
    <row r="472">
      <c r="A472" t="inlineStr">
        <is>
          <t>Asset schedule</t>
        </is>
      </c>
      <c r="B472" t="inlineStr">
        <is>
          <t>H60</t>
        </is>
      </c>
      <c r="C472" t="n">
        <v>60</v>
      </c>
      <c r="D472" t="n">
        <v>8</v>
      </c>
      <c r="E472" t="inlineStr">
        <is>
          <t>Input</t>
        </is>
      </c>
      <c r="F472" t="n">
        <v/>
      </c>
      <c r="G472" t="n">
        <v>0</v>
      </c>
      <c r="H472" t="inlineStr"/>
      <c r="I472" t="inlineStr">
        <is>
          <t>General</t>
        </is>
      </c>
      <c r="J472" t="b">
        <v>0</v>
      </c>
      <c r="K472" t="b">
        <v>0</v>
      </c>
      <c r="L472" t="n">
        <v>11</v>
      </c>
      <c r="M472" t="inlineStr">
        <is>
          <t>FF000000</t>
        </is>
      </c>
      <c r="N472" t="inlineStr">
        <is>
          <t>00000000</t>
        </is>
      </c>
      <c r="O472" t="n">
        <v/>
      </c>
      <c r="P472" t="n">
        <v/>
      </c>
      <c r="R472" t="b">
        <v>1</v>
      </c>
      <c r="S472" t="n">
        <v/>
      </c>
      <c r="T472" t="n">
        <v/>
      </c>
      <c r="U472" t="n">
        <v/>
      </c>
      <c r="V472" t="b">
        <v>0</v>
      </c>
      <c r="W472" t="inlineStr"/>
      <c r="X472" t="n">
        <v/>
      </c>
    </row>
    <row r="473">
      <c r="A473" t="inlineStr">
        <is>
          <t>Asset schedule</t>
        </is>
      </c>
      <c r="B473" t="inlineStr">
        <is>
          <t>I60</t>
        </is>
      </c>
      <c r="C473" t="n">
        <v>60</v>
      </c>
      <c r="D473" t="n">
        <v>9</v>
      </c>
      <c r="E473" t="inlineStr">
        <is>
          <t>Input</t>
        </is>
      </c>
      <c r="F473" t="n">
        <v/>
      </c>
      <c r="G473" t="n">
        <v>0</v>
      </c>
      <c r="H473" t="inlineStr"/>
      <c r="I473" t="inlineStr">
        <is>
          <t>General</t>
        </is>
      </c>
      <c r="J473" t="b">
        <v>0</v>
      </c>
      <c r="K473" t="b">
        <v>0</v>
      </c>
      <c r="L473" t="n">
        <v>11</v>
      </c>
      <c r="M473" t="inlineStr">
        <is>
          <t>FF000000</t>
        </is>
      </c>
      <c r="N473" t="inlineStr">
        <is>
          <t>00000000</t>
        </is>
      </c>
      <c r="O473" t="n">
        <v/>
      </c>
      <c r="P473" t="n">
        <v/>
      </c>
      <c r="R473" t="b">
        <v>1</v>
      </c>
      <c r="S473" t="n">
        <v/>
      </c>
      <c r="T473" t="n">
        <v/>
      </c>
      <c r="U473" t="n">
        <v/>
      </c>
      <c r="V473" t="b">
        <v>0</v>
      </c>
      <c r="W473" t="inlineStr"/>
      <c r="X473" t="n">
        <v/>
      </c>
    </row>
    <row r="474">
      <c r="A474" t="inlineStr">
        <is>
          <t>Asset schedule</t>
        </is>
      </c>
      <c r="B474" t="inlineStr">
        <is>
          <t>A61</t>
        </is>
      </c>
      <c r="C474" t="n">
        <v>61</v>
      </c>
      <c r="D474" t="n">
        <v>1</v>
      </c>
      <c r="E474" t="inlineStr">
        <is>
          <t>Input</t>
        </is>
      </c>
      <c r="F474" t="n">
        <v/>
      </c>
      <c r="G474" t="inlineStr">
        <is>
          <t>Less: Dep</t>
        </is>
      </c>
      <c r="H474" t="inlineStr"/>
      <c r="I474" t="inlineStr">
        <is>
          <t>General</t>
        </is>
      </c>
      <c r="J474" t="b">
        <v>0</v>
      </c>
      <c r="K474" t="b">
        <v>0</v>
      </c>
      <c r="L474" t="n">
        <v>11</v>
      </c>
      <c r="M474" t="inlineStr">
        <is>
          <t>FF000000</t>
        </is>
      </c>
      <c r="N474" t="inlineStr">
        <is>
          <t>00000000</t>
        </is>
      </c>
      <c r="O474" t="n">
        <v/>
      </c>
      <c r="P474" t="n">
        <v/>
      </c>
      <c r="R474" t="b">
        <v>1</v>
      </c>
      <c r="S474" t="n">
        <v/>
      </c>
      <c r="T474" t="n">
        <v/>
      </c>
      <c r="U474" t="n">
        <v/>
      </c>
      <c r="V474" t="b">
        <v>0</v>
      </c>
      <c r="W474" t="inlineStr"/>
      <c r="X474" t="n">
        <v/>
      </c>
    </row>
    <row r="475">
      <c r="A475" t="inlineStr">
        <is>
          <t>Asset schedule</t>
        </is>
      </c>
      <c r="B475" t="inlineStr">
        <is>
          <t>D61</t>
        </is>
      </c>
      <c r="C475" t="n">
        <v>61</v>
      </c>
      <c r="D475" t="n">
        <v>4</v>
      </c>
      <c r="E475" t="inlineStr">
        <is>
          <t>Input</t>
        </is>
      </c>
      <c r="F475" t="n">
        <v/>
      </c>
      <c r="G475" t="n">
        <v>0.79</v>
      </c>
      <c r="H475" t="inlineStr"/>
      <c r="I475" t="inlineStr">
        <is>
          <t>General</t>
        </is>
      </c>
      <c r="J475" t="b">
        <v>0</v>
      </c>
      <c r="K475" t="b">
        <v>0</v>
      </c>
      <c r="L475" t="n">
        <v>11</v>
      </c>
      <c r="M475" t="inlineStr">
        <is>
          <t>FF000000</t>
        </is>
      </c>
      <c r="N475" t="inlineStr">
        <is>
          <t>00000000</t>
        </is>
      </c>
      <c r="O475" t="n">
        <v/>
      </c>
      <c r="P475" t="n">
        <v/>
      </c>
      <c r="R475" t="b">
        <v>1</v>
      </c>
      <c r="S475" t="n">
        <v/>
      </c>
      <c r="T475" t="n">
        <v/>
      </c>
      <c r="U475" t="n">
        <v/>
      </c>
      <c r="V475" t="b">
        <v>0</v>
      </c>
      <c r="W475" t="inlineStr"/>
      <c r="X475" t="n">
        <v/>
      </c>
    </row>
    <row r="476">
      <c r="A476" t="inlineStr">
        <is>
          <t>Asset schedule</t>
        </is>
      </c>
      <c r="B476" t="inlineStr">
        <is>
          <t>E61</t>
        </is>
      </c>
      <c r="C476" t="n">
        <v>61</v>
      </c>
      <c r="D476" t="n">
        <v>5</v>
      </c>
      <c r="E476" t="inlineStr">
        <is>
          <t>Calculation</t>
        </is>
      </c>
      <c r="F476" t="inlineStr">
        <is>
          <t>'=E58*$B63</t>
        </is>
      </c>
      <c r="G476" t="n">
        <v>0.5321074380165289</v>
      </c>
      <c r="H476" t="inlineStr"/>
      <c r="I476" t="inlineStr">
        <is>
          <t>0.0</t>
        </is>
      </c>
      <c r="J476" t="b">
        <v>0</v>
      </c>
      <c r="K476" t="b">
        <v>0</v>
      </c>
      <c r="L476" t="n">
        <v>11</v>
      </c>
      <c r="M476" t="inlineStr">
        <is>
          <t>FF000000</t>
        </is>
      </c>
      <c r="N476" t="inlineStr">
        <is>
          <t>00000000</t>
        </is>
      </c>
      <c r="O476" t="n">
        <v/>
      </c>
      <c r="P476" t="n">
        <v/>
      </c>
      <c r="R476" t="b">
        <v>1</v>
      </c>
      <c r="S476" t="inlineStr">
        <is>
          <t>G000108</t>
        </is>
      </c>
      <c r="T476" t="inlineStr">
        <is>
          <t>Horizontal</t>
        </is>
      </c>
      <c r="U476" t="n">
        <v>5</v>
      </c>
      <c r="V476" t="b">
        <v>1</v>
      </c>
      <c r="W476" t="inlineStr">
        <is>
          <t>Asset schedule!E61:I61</t>
        </is>
      </c>
      <c r="X476">
        <f>R[-3]C[0]*R[2]C2</f>
        <v/>
      </c>
    </row>
    <row r="477">
      <c r="A477" t="inlineStr">
        <is>
          <t>Asset schedule</t>
        </is>
      </c>
      <c r="B477" t="inlineStr">
        <is>
          <t>F61</t>
        </is>
      </c>
      <c r="C477" t="n">
        <v>61</v>
      </c>
      <c r="D477" t="n">
        <v>6</v>
      </c>
      <c r="E477" t="inlineStr">
        <is>
          <t>Calculation</t>
        </is>
      </c>
      <c r="F477" t="inlineStr">
        <is>
          <t>'=F58*$B63</t>
        </is>
      </c>
      <c r="G477" t="n">
        <v>0.4814091421351</v>
      </c>
      <c r="H477" t="inlineStr"/>
      <c r="I477" t="inlineStr">
        <is>
          <t>0.0</t>
        </is>
      </c>
      <c r="J477" t="b">
        <v>0</v>
      </c>
      <c r="K477" t="b">
        <v>0</v>
      </c>
      <c r="L477" t="n">
        <v>11</v>
      </c>
      <c r="M477" t="inlineStr">
        <is>
          <t>FF000000</t>
        </is>
      </c>
      <c r="N477" t="inlineStr">
        <is>
          <t>00000000</t>
        </is>
      </c>
      <c r="O477" t="n">
        <v/>
      </c>
      <c r="P477" t="n">
        <v/>
      </c>
      <c r="R477" t="b">
        <v>1</v>
      </c>
      <c r="S477" t="inlineStr">
        <is>
          <t>G000108</t>
        </is>
      </c>
      <c r="T477" t="inlineStr">
        <is>
          <t>Horizontal</t>
        </is>
      </c>
      <c r="U477" t="n">
        <v>5</v>
      </c>
      <c r="V477" t="b">
        <v>1</v>
      </c>
      <c r="W477" t="inlineStr">
        <is>
          <t>Asset schedule!E61:I61</t>
        </is>
      </c>
      <c r="X477">
        <f>R[-3]C[0]*R[2]C2</f>
        <v/>
      </c>
    </row>
    <row r="478">
      <c r="A478" t="inlineStr">
        <is>
          <t>Asset schedule</t>
        </is>
      </c>
      <c r="B478" t="inlineStr">
        <is>
          <t>G61</t>
        </is>
      </c>
      <c r="C478" t="n">
        <v>61</v>
      </c>
      <c r="D478" t="n">
        <v>7</v>
      </c>
      <c r="E478" t="inlineStr">
        <is>
          <t>Calculation</t>
        </is>
      </c>
      <c r="F478" t="inlineStr">
        <is>
          <t>'=G58*$B63</t>
        </is>
      </c>
      <c r="G478" t="n">
        <v>0.4566004759009145</v>
      </c>
      <c r="H478" t="inlineStr"/>
      <c r="I478" t="inlineStr">
        <is>
          <t>0.0</t>
        </is>
      </c>
      <c r="J478" t="b">
        <v>0</v>
      </c>
      <c r="K478" t="b">
        <v>0</v>
      </c>
      <c r="L478" t="n">
        <v>11</v>
      </c>
      <c r="M478" t="inlineStr">
        <is>
          <t>FF000000</t>
        </is>
      </c>
      <c r="N478" t="inlineStr">
        <is>
          <t>00000000</t>
        </is>
      </c>
      <c r="O478" t="n">
        <v/>
      </c>
      <c r="P478" t="n">
        <v/>
      </c>
      <c r="R478" t="b">
        <v>1</v>
      </c>
      <c r="S478" t="inlineStr">
        <is>
          <t>G000108</t>
        </is>
      </c>
      <c r="T478" t="inlineStr">
        <is>
          <t>Horizontal</t>
        </is>
      </c>
      <c r="U478" t="n">
        <v>5</v>
      </c>
      <c r="V478" t="b">
        <v>1</v>
      </c>
      <c r="W478" t="inlineStr">
        <is>
          <t>Asset schedule!E61:I61</t>
        </is>
      </c>
      <c r="X478">
        <f>R[-3]C[0]*R[2]C2</f>
        <v/>
      </c>
    </row>
    <row r="479">
      <c r="A479" t="inlineStr">
        <is>
          <t>Asset schedule</t>
        </is>
      </c>
      <c r="B479" t="inlineStr">
        <is>
          <t>H61</t>
        </is>
      </c>
      <c r="C479" t="n">
        <v>61</v>
      </c>
      <c r="D479" t="n">
        <v>8</v>
      </c>
      <c r="E479" t="inlineStr">
        <is>
          <t>Calculation</t>
        </is>
      </c>
      <c r="F479" t="inlineStr">
        <is>
          <t>'=H58*$B63</t>
        </is>
      </c>
      <c r="G479" t="n">
        <v>0.4498562864539218</v>
      </c>
      <c r="H479" t="inlineStr"/>
      <c r="I479" t="inlineStr">
        <is>
          <t>0.0</t>
        </is>
      </c>
      <c r="J479" t="b">
        <v>0</v>
      </c>
      <c r="K479" t="b">
        <v>0</v>
      </c>
      <c r="L479" t="n">
        <v>11</v>
      </c>
      <c r="M479" t="inlineStr">
        <is>
          <t>FF000000</t>
        </is>
      </c>
      <c r="N479" t="inlineStr">
        <is>
          <t>00000000</t>
        </is>
      </c>
      <c r="O479" t="n">
        <v/>
      </c>
      <c r="P479" t="n">
        <v/>
      </c>
      <c r="R479" t="b">
        <v>1</v>
      </c>
      <c r="S479" t="inlineStr">
        <is>
          <t>G000108</t>
        </is>
      </c>
      <c r="T479" t="inlineStr">
        <is>
          <t>Horizontal</t>
        </is>
      </c>
      <c r="U479" t="n">
        <v>5</v>
      </c>
      <c r="V479" t="b">
        <v>1</v>
      </c>
      <c r="W479" t="inlineStr">
        <is>
          <t>Asset schedule!E61:I61</t>
        </is>
      </c>
      <c r="X479">
        <f>R[-3]C[0]*R[2]C2</f>
        <v/>
      </c>
    </row>
    <row r="480">
      <c r="A480" t="inlineStr">
        <is>
          <t>Asset schedule</t>
        </is>
      </c>
      <c r="B480" t="inlineStr">
        <is>
          <t>I61</t>
        </is>
      </c>
      <c r="C480" t="n">
        <v>61</v>
      </c>
      <c r="D480" t="n">
        <v>9</v>
      </c>
      <c r="E480" t="inlineStr">
        <is>
          <t>Calculation</t>
        </is>
      </c>
      <c r="F480" t="inlineStr">
        <is>
          <t>'=I58*$B63</t>
        </is>
      </c>
      <c r="G480" t="n">
        <v>0.4559452066301209</v>
      </c>
      <c r="H480" t="inlineStr"/>
      <c r="I480" t="inlineStr">
        <is>
          <t>0.0</t>
        </is>
      </c>
      <c r="J480" t="b">
        <v>0</v>
      </c>
      <c r="K480" t="b">
        <v>0</v>
      </c>
      <c r="L480" t="n">
        <v>11</v>
      </c>
      <c r="M480" t="inlineStr">
        <is>
          <t>FF000000</t>
        </is>
      </c>
      <c r="N480" t="inlineStr">
        <is>
          <t>00000000</t>
        </is>
      </c>
      <c r="O480" t="n">
        <v/>
      </c>
      <c r="P480" t="n">
        <v/>
      </c>
      <c r="R480" t="b">
        <v>1</v>
      </c>
      <c r="S480" t="inlineStr">
        <is>
          <t>G000108</t>
        </is>
      </c>
      <c r="T480" t="inlineStr">
        <is>
          <t>Horizontal</t>
        </is>
      </c>
      <c r="U480" t="n">
        <v>5</v>
      </c>
      <c r="V480" t="b">
        <v>1</v>
      </c>
      <c r="W480" t="inlineStr">
        <is>
          <t>Asset schedule!E61:I61</t>
        </is>
      </c>
      <c r="X480">
        <f>R[-3]C[0]*R[2]C2</f>
        <v/>
      </c>
    </row>
    <row r="481">
      <c r="A481" t="inlineStr">
        <is>
          <t>Asset schedule</t>
        </is>
      </c>
      <c r="B481" t="inlineStr">
        <is>
          <t>A62</t>
        </is>
      </c>
      <c r="C481" t="n">
        <v>62</v>
      </c>
      <c r="D481" t="n">
        <v>1</v>
      </c>
      <c r="E481" t="inlineStr">
        <is>
          <t>Input</t>
        </is>
      </c>
      <c r="F481" t="n">
        <v/>
      </c>
      <c r="G481" t="inlineStr">
        <is>
          <t>Closing balance</t>
        </is>
      </c>
      <c r="H481" t="inlineStr"/>
      <c r="I481" t="inlineStr">
        <is>
          <t>General</t>
        </is>
      </c>
      <c r="J481" t="b">
        <v>0</v>
      </c>
      <c r="K481" t="b">
        <v>0</v>
      </c>
      <c r="L481" t="n">
        <v>11</v>
      </c>
      <c r="M481" t="inlineStr">
        <is>
          <t>FF000000</t>
        </is>
      </c>
      <c r="N481" t="inlineStr">
        <is>
          <t>00000000</t>
        </is>
      </c>
      <c r="O481" t="n">
        <v/>
      </c>
      <c r="P481" t="n">
        <v/>
      </c>
      <c r="R481" t="b">
        <v>1</v>
      </c>
      <c r="S481" t="n">
        <v/>
      </c>
      <c r="T481" t="n">
        <v/>
      </c>
      <c r="U481" t="n">
        <v/>
      </c>
      <c r="V481" t="b">
        <v>0</v>
      </c>
      <c r="W481" t="inlineStr"/>
      <c r="X481" t="n">
        <v/>
      </c>
    </row>
    <row r="482">
      <c r="A482" t="inlineStr">
        <is>
          <t>Asset schedule</t>
        </is>
      </c>
      <c r="B482" t="inlineStr">
        <is>
          <t>D62</t>
        </is>
      </c>
      <c r="C482" t="n">
        <v>62</v>
      </c>
      <c r="D482" t="n">
        <v>4</v>
      </c>
      <c r="E482" t="inlineStr">
        <is>
          <t>Input</t>
        </is>
      </c>
      <c r="F482" t="n">
        <v/>
      </c>
      <c r="G482" t="n">
        <v>1.63</v>
      </c>
      <c r="H482" t="inlineStr"/>
      <c r="I482" t="inlineStr">
        <is>
          <t>General</t>
        </is>
      </c>
      <c r="J482" t="b">
        <v>0</v>
      </c>
      <c r="K482" t="b">
        <v>0</v>
      </c>
      <c r="L482" t="n">
        <v>11</v>
      </c>
      <c r="M482" t="inlineStr">
        <is>
          <t>FF000000</t>
        </is>
      </c>
      <c r="N482" t="inlineStr">
        <is>
          <t>00000000</t>
        </is>
      </c>
      <c r="O482" t="n">
        <v/>
      </c>
      <c r="P482" t="n">
        <v/>
      </c>
      <c r="R482" t="b">
        <v>1</v>
      </c>
      <c r="S482" t="n">
        <v/>
      </c>
      <c r="T482" t="n">
        <v/>
      </c>
      <c r="U482" t="n">
        <v/>
      </c>
      <c r="V482" t="b">
        <v>0</v>
      </c>
      <c r="W482" t="inlineStr"/>
      <c r="X482" t="n">
        <v/>
      </c>
    </row>
    <row r="483">
      <c r="A483" t="inlineStr">
        <is>
          <t>Asset schedule</t>
        </is>
      </c>
      <c r="B483" t="inlineStr">
        <is>
          <t>E62</t>
        </is>
      </c>
      <c r="C483" t="n">
        <v>62</v>
      </c>
      <c r="D483" t="n">
        <v>5</v>
      </c>
      <c r="E483" t="inlineStr">
        <is>
          <t>Calculation</t>
        </is>
      </c>
      <c r="F483" t="inlineStr">
        <is>
          <t>'=E58+E59-E60-E61</t>
        </is>
      </c>
      <c r="G483" t="n">
        <v>1.474696359451825</v>
      </c>
      <c r="H483" t="inlineStr"/>
      <c r="I483" t="inlineStr">
        <is>
          <t>0.00</t>
        </is>
      </c>
      <c r="J483" t="b">
        <v>0</v>
      </c>
      <c r="K483" t="b">
        <v>0</v>
      </c>
      <c r="L483" t="n">
        <v>11</v>
      </c>
      <c r="M483" t="inlineStr">
        <is>
          <t>FF000000</t>
        </is>
      </c>
      <c r="N483" t="inlineStr">
        <is>
          <t>00000000</t>
        </is>
      </c>
      <c r="O483" t="n">
        <v/>
      </c>
      <c r="P483" t="n">
        <v/>
      </c>
      <c r="R483" t="b">
        <v>1</v>
      </c>
      <c r="S483" t="inlineStr">
        <is>
          <t>G000132</t>
        </is>
      </c>
      <c r="T483" t="inlineStr">
        <is>
          <t>Horizontal</t>
        </is>
      </c>
      <c r="U483" t="n">
        <v>5</v>
      </c>
      <c r="V483" t="b">
        <v>1</v>
      </c>
      <c r="W483" t="inlineStr">
        <is>
          <t>Asset schedule!E62:I62</t>
        </is>
      </c>
      <c r="X483">
        <f>R[-4]C[0]+R[-3]C[0]-R[-2]C[0]-R[-1]C[0]</f>
        <v/>
      </c>
    </row>
    <row r="484">
      <c r="A484" t="inlineStr">
        <is>
          <t>Asset schedule</t>
        </is>
      </c>
      <c r="B484" t="inlineStr">
        <is>
          <t>F62</t>
        </is>
      </c>
      <c r="C484" t="n">
        <v>62</v>
      </c>
      <c r="D484" t="n">
        <v>6</v>
      </c>
      <c r="E484" t="inlineStr">
        <is>
          <t>Calculation</t>
        </is>
      </c>
      <c r="F484" t="inlineStr">
        <is>
          <t>'=F58+F59-F60-F61</t>
        </is>
      </c>
      <c r="G484" t="n">
        <v>1.39870019200027</v>
      </c>
      <c r="H484" t="inlineStr"/>
      <c r="I484" t="inlineStr">
        <is>
          <t>0.00</t>
        </is>
      </c>
      <c r="J484" t="b">
        <v>0</v>
      </c>
      <c r="K484" t="b">
        <v>0</v>
      </c>
      <c r="L484" t="n">
        <v>11</v>
      </c>
      <c r="M484" t="inlineStr">
        <is>
          <t>FF000000</t>
        </is>
      </c>
      <c r="N484" t="inlineStr">
        <is>
          <t>00000000</t>
        </is>
      </c>
      <c r="O484" t="n">
        <v/>
      </c>
      <c r="P484" t="n">
        <v/>
      </c>
      <c r="R484" t="b">
        <v>1</v>
      </c>
      <c r="S484" t="inlineStr">
        <is>
          <t>G000132</t>
        </is>
      </c>
      <c r="T484" t="inlineStr">
        <is>
          <t>Horizontal</t>
        </is>
      </c>
      <c r="U484" t="n">
        <v>5</v>
      </c>
      <c r="V484" t="b">
        <v>1</v>
      </c>
      <c r="W484" t="inlineStr">
        <is>
          <t>Asset schedule!E62:I62</t>
        </is>
      </c>
      <c r="X484">
        <f>R[-4]C[0]+R[-3]C[0]-R[-2]C[0]-R[-1]C[0]</f>
        <v/>
      </c>
    </row>
    <row r="485">
      <c r="A485" t="inlineStr">
        <is>
          <t>Asset schedule</t>
        </is>
      </c>
      <c r="B485" t="inlineStr">
        <is>
          <t>G62</t>
        </is>
      </c>
      <c r="C485" t="n">
        <v>62</v>
      </c>
      <c r="D485" t="n">
        <v>7</v>
      </c>
      <c r="E485" t="inlineStr">
        <is>
          <t>Calculation</t>
        </is>
      </c>
      <c r="F485" t="inlineStr">
        <is>
          <t>'=G58+G59-G60-G61</t>
        </is>
      </c>
      <c r="G485" t="n">
        <v>1.378040776225937</v>
      </c>
      <c r="H485" t="inlineStr"/>
      <c r="I485" t="inlineStr">
        <is>
          <t>0.00</t>
        </is>
      </c>
      <c r="J485" t="b">
        <v>0</v>
      </c>
      <c r="K485" t="b">
        <v>0</v>
      </c>
      <c r="L485" t="n">
        <v>11</v>
      </c>
      <c r="M485" t="inlineStr">
        <is>
          <t>FF000000</t>
        </is>
      </c>
      <c r="N485" t="inlineStr">
        <is>
          <t>00000000</t>
        </is>
      </c>
      <c r="O485" t="n">
        <v/>
      </c>
      <c r="P485" t="n">
        <v/>
      </c>
      <c r="R485" t="b">
        <v>1</v>
      </c>
      <c r="S485" t="inlineStr">
        <is>
          <t>G000132</t>
        </is>
      </c>
      <c r="T485" t="inlineStr">
        <is>
          <t>Horizontal</t>
        </is>
      </c>
      <c r="U485" t="n">
        <v>5</v>
      </c>
      <c r="V485" t="b">
        <v>1</v>
      </c>
      <c r="W485" t="inlineStr">
        <is>
          <t>Asset schedule!E62:I62</t>
        </is>
      </c>
      <c r="X485">
        <f>R[-4]C[0]+R[-3]C[0]-R[-2]C[0]-R[-1]C[0]</f>
        <v/>
      </c>
    </row>
    <row r="486">
      <c r="A486" t="inlineStr">
        <is>
          <t>Asset schedule</t>
        </is>
      </c>
      <c r="B486" t="inlineStr">
        <is>
          <t>H62</t>
        </is>
      </c>
      <c r="C486" t="n">
        <v>62</v>
      </c>
      <c r="D486" t="n">
        <v>8</v>
      </c>
      <c r="E486" t="inlineStr">
        <is>
          <t>Calculation</t>
        </is>
      </c>
      <c r="F486" t="inlineStr">
        <is>
          <t>'=H58+H59-H60-H61</t>
        </is>
      </c>
      <c r="G486" t="n">
        <v>1.396692911449231</v>
      </c>
      <c r="H486" t="inlineStr"/>
      <c r="I486" t="inlineStr">
        <is>
          <t>0.00</t>
        </is>
      </c>
      <c r="J486" t="b">
        <v>0</v>
      </c>
      <c r="K486" t="b">
        <v>0</v>
      </c>
      <c r="L486" t="n">
        <v>11</v>
      </c>
      <c r="M486" t="inlineStr">
        <is>
          <t>FF000000</t>
        </is>
      </c>
      <c r="N486" t="inlineStr">
        <is>
          <t>00000000</t>
        </is>
      </c>
      <c r="O486" t="n">
        <v/>
      </c>
      <c r="P486" t="n">
        <v/>
      </c>
      <c r="R486" t="b">
        <v>1</v>
      </c>
      <c r="S486" t="inlineStr">
        <is>
          <t>G000132</t>
        </is>
      </c>
      <c r="T486" t="inlineStr">
        <is>
          <t>Horizontal</t>
        </is>
      </c>
      <c r="U486" t="n">
        <v>5</v>
      </c>
      <c r="V486" t="b">
        <v>1</v>
      </c>
      <c r="W486" t="inlineStr">
        <is>
          <t>Asset schedule!E62:I62</t>
        </is>
      </c>
      <c r="X486">
        <f>R[-4]C[0]+R[-3]C[0]-R[-2]C[0]-R[-1]C[0]</f>
        <v/>
      </c>
    </row>
    <row r="487">
      <c r="A487" t="inlineStr">
        <is>
          <t>Asset schedule</t>
        </is>
      </c>
      <c r="B487" t="inlineStr">
        <is>
          <t>I62</t>
        </is>
      </c>
      <c r="C487" t="n">
        <v>62</v>
      </c>
      <c r="D487" t="n">
        <v>9</v>
      </c>
      <c r="E487" t="inlineStr">
        <is>
          <t>Calculation</t>
        </is>
      </c>
      <c r="F487" t="inlineStr">
        <is>
          <t>'=I58+I59-I60-I61</t>
        </is>
      </c>
      <c r="G487" t="n">
        <v>1.443990371551705</v>
      </c>
      <c r="H487" t="inlineStr"/>
      <c r="I487" t="inlineStr">
        <is>
          <t>0.00</t>
        </is>
      </c>
      <c r="J487" t="b">
        <v>0</v>
      </c>
      <c r="K487" t="b">
        <v>0</v>
      </c>
      <c r="L487" t="n">
        <v>11</v>
      </c>
      <c r="M487" t="inlineStr">
        <is>
          <t>FF000000</t>
        </is>
      </c>
      <c r="N487" t="inlineStr">
        <is>
          <t>00000000</t>
        </is>
      </c>
      <c r="O487" t="n">
        <v/>
      </c>
      <c r="P487" t="n">
        <v/>
      </c>
      <c r="R487" t="b">
        <v>1</v>
      </c>
      <c r="S487" t="inlineStr">
        <is>
          <t>G000132</t>
        </is>
      </c>
      <c r="T487" t="inlineStr">
        <is>
          <t>Horizontal</t>
        </is>
      </c>
      <c r="U487" t="n">
        <v>5</v>
      </c>
      <c r="V487" t="b">
        <v>1</v>
      </c>
      <c r="W487" t="inlineStr">
        <is>
          <t>Asset schedule!E62:I62</t>
        </is>
      </c>
      <c r="X487">
        <f>R[-4]C[0]+R[-3]C[0]-R[-2]C[0]-R[-1]C[0]</f>
        <v/>
      </c>
    </row>
    <row r="488">
      <c r="A488" t="inlineStr">
        <is>
          <t>Asset schedule</t>
        </is>
      </c>
      <c r="B488" t="inlineStr">
        <is>
          <t>A63</t>
        </is>
      </c>
      <c r="C488" t="n">
        <v>63</v>
      </c>
      <c r="D488" t="n">
        <v>1</v>
      </c>
      <c r="E488" t="inlineStr">
        <is>
          <t>Input</t>
        </is>
      </c>
      <c r="F488" t="n">
        <v/>
      </c>
      <c r="G488" t="inlineStr">
        <is>
          <t>Depreciation rate</t>
        </is>
      </c>
      <c r="H488" t="inlineStr"/>
      <c r="I488" t="inlineStr">
        <is>
          <t>General</t>
        </is>
      </c>
      <c r="J488" t="b">
        <v>0</v>
      </c>
      <c r="K488" t="b">
        <v>0</v>
      </c>
      <c r="L488" t="n">
        <v>11</v>
      </c>
      <c r="M488" t="inlineStr">
        <is>
          <t>FF000000</t>
        </is>
      </c>
      <c r="N488" t="inlineStr">
        <is>
          <t>00000000</t>
        </is>
      </c>
      <c r="O488" t="n">
        <v/>
      </c>
      <c r="P488" t="n">
        <v/>
      </c>
      <c r="R488" t="b">
        <v>1</v>
      </c>
      <c r="S488" t="n">
        <v/>
      </c>
      <c r="T488" t="n">
        <v/>
      </c>
      <c r="U488" t="n">
        <v/>
      </c>
      <c r="V488" t="b">
        <v>0</v>
      </c>
      <c r="W488" t="inlineStr"/>
      <c r="X488" t="n">
        <v/>
      </c>
    </row>
    <row r="489">
      <c r="A489" t="inlineStr">
        <is>
          <t>Asset schedule</t>
        </is>
      </c>
      <c r="B489" t="inlineStr">
        <is>
          <t>B63</t>
        </is>
      </c>
      <c r="C489" t="n">
        <v>63</v>
      </c>
      <c r="D489" t="n">
        <v>2</v>
      </c>
      <c r="E489" t="inlineStr">
        <is>
          <t>Calculation</t>
        </is>
      </c>
      <c r="F489" t="inlineStr">
        <is>
          <t>'=D61/(D58+D59-D60)</t>
        </is>
      </c>
      <c r="G489" t="n">
        <v>0.3264462809917356</v>
      </c>
      <c r="H489" t="inlineStr"/>
      <c r="I489" t="inlineStr">
        <is>
          <t>0%</t>
        </is>
      </c>
      <c r="J489" t="b">
        <v>0</v>
      </c>
      <c r="K489" t="b">
        <v>0</v>
      </c>
      <c r="L489" t="n">
        <v>11</v>
      </c>
      <c r="M489" t="inlineStr">
        <is>
          <t>FF000000</t>
        </is>
      </c>
      <c r="N489" t="inlineStr">
        <is>
          <t>00000000</t>
        </is>
      </c>
      <c r="O489" t="n">
        <v/>
      </c>
      <c r="P489" t="n">
        <v/>
      </c>
      <c r="R489" t="b">
        <v>1</v>
      </c>
      <c r="S489" t="inlineStr">
        <is>
          <t>G000136</t>
        </is>
      </c>
      <c r="T489" t="inlineStr">
        <is>
          <t>Block</t>
        </is>
      </c>
      <c r="U489" t="n">
        <v>11</v>
      </c>
      <c r="V489" t="b">
        <v>1</v>
      </c>
      <c r="W489" t="inlineStr">
        <is>
          <t>Asset schedule!B7:B87</t>
        </is>
      </c>
      <c r="X489">
        <f>R[-2]C[2]/(R[-5]C[2]+R[-4]C[2]-R[-3]C[2])</f>
        <v/>
      </c>
    </row>
    <row r="490">
      <c r="A490" t="inlineStr">
        <is>
          <t>Asset schedule</t>
        </is>
      </c>
      <c r="B490" t="inlineStr">
        <is>
          <t>A65</t>
        </is>
      </c>
      <c r="C490" t="n">
        <v>65</v>
      </c>
      <c r="D490" t="n">
        <v>1</v>
      </c>
      <c r="E490" t="inlineStr">
        <is>
          <t>Input</t>
        </is>
      </c>
      <c r="F490" t="n">
        <v/>
      </c>
      <c r="G490" t="inlineStr">
        <is>
          <t>Mining rights</t>
        </is>
      </c>
      <c r="H490" t="inlineStr"/>
      <c r="I490" t="inlineStr">
        <is>
          <t>General</t>
        </is>
      </c>
      <c r="J490" t="b">
        <v>1</v>
      </c>
      <c r="K490" t="b">
        <v>0</v>
      </c>
      <c r="L490" t="n">
        <v>11</v>
      </c>
      <c r="M490" t="inlineStr">
        <is>
          <t>FF000000</t>
        </is>
      </c>
      <c r="N490" t="inlineStr">
        <is>
          <t>00000000</t>
        </is>
      </c>
      <c r="O490" t="n">
        <v/>
      </c>
      <c r="P490" t="n">
        <v/>
      </c>
      <c r="R490" t="b">
        <v>1</v>
      </c>
      <c r="S490" t="n">
        <v/>
      </c>
      <c r="T490" t="n">
        <v/>
      </c>
      <c r="U490" t="n">
        <v/>
      </c>
      <c r="V490" t="b">
        <v>0</v>
      </c>
      <c r="W490" t="inlineStr"/>
      <c r="X490" t="n">
        <v/>
      </c>
    </row>
    <row r="491">
      <c r="A491" t="inlineStr">
        <is>
          <t>Asset schedule</t>
        </is>
      </c>
      <c r="B491" t="inlineStr">
        <is>
          <t>B65</t>
        </is>
      </c>
      <c r="C491" t="n">
        <v>65</v>
      </c>
      <c r="D491" t="n">
        <v>2</v>
      </c>
      <c r="E491" t="inlineStr">
        <is>
          <t>Input</t>
        </is>
      </c>
      <c r="F491" t="n">
        <v/>
      </c>
      <c r="G491" t="n">
        <v>2015</v>
      </c>
      <c r="H491" t="inlineStr"/>
      <c r="I491" t="inlineStr">
        <is>
          <t>General</t>
        </is>
      </c>
      <c r="J491" t="b">
        <v>1</v>
      </c>
      <c r="K491" t="b">
        <v>0</v>
      </c>
      <c r="L491" t="n">
        <v>11</v>
      </c>
      <c r="M491" t="inlineStr">
        <is>
          <t>Values must be of type &lt;class 'str'&gt;</t>
        </is>
      </c>
      <c r="N491" t="inlineStr">
        <is>
          <t>Values must be of type &lt;class 'str'&gt;</t>
        </is>
      </c>
      <c r="O491" t="inlineStr">
        <is>
          <t>center</t>
        </is>
      </c>
      <c r="P491" t="inlineStr">
        <is>
          <t>center</t>
        </is>
      </c>
      <c r="R491" t="b">
        <v>1</v>
      </c>
      <c r="S491" t="n">
        <v/>
      </c>
      <c r="T491" t="n">
        <v/>
      </c>
      <c r="U491" t="n">
        <v/>
      </c>
      <c r="V491" t="b">
        <v>0</v>
      </c>
      <c r="W491" t="inlineStr"/>
      <c r="X491" t="n">
        <v/>
      </c>
    </row>
    <row r="492">
      <c r="A492" t="inlineStr">
        <is>
          <t>Asset schedule</t>
        </is>
      </c>
      <c r="B492" t="inlineStr">
        <is>
          <t>C65</t>
        </is>
      </c>
      <c r="C492" t="n">
        <v>65</v>
      </c>
      <c r="D492" t="n">
        <v>3</v>
      </c>
      <c r="E492" t="inlineStr">
        <is>
          <t>Input</t>
        </is>
      </c>
      <c r="F492" t="n">
        <v/>
      </c>
      <c r="G492" t="n">
        <v>2016</v>
      </c>
      <c r="H492" t="inlineStr"/>
      <c r="I492" t="inlineStr">
        <is>
          <t>General</t>
        </is>
      </c>
      <c r="J492" t="b">
        <v>1</v>
      </c>
      <c r="K492" t="b">
        <v>0</v>
      </c>
      <c r="L492" t="n">
        <v>11</v>
      </c>
      <c r="M492" t="inlineStr">
        <is>
          <t>Values must be of type &lt;class 'str'&gt;</t>
        </is>
      </c>
      <c r="N492" t="inlineStr">
        <is>
          <t>Values must be of type &lt;class 'str'&gt;</t>
        </is>
      </c>
      <c r="O492" t="inlineStr">
        <is>
          <t>center</t>
        </is>
      </c>
      <c r="P492" t="inlineStr">
        <is>
          <t>center</t>
        </is>
      </c>
      <c r="R492" t="b">
        <v>1</v>
      </c>
      <c r="S492" t="n">
        <v/>
      </c>
      <c r="T492" t="n">
        <v/>
      </c>
      <c r="U492" t="n">
        <v/>
      </c>
      <c r="V492" t="b">
        <v>0</v>
      </c>
      <c r="W492" t="inlineStr"/>
      <c r="X492" t="n">
        <v/>
      </c>
    </row>
    <row r="493">
      <c r="A493" t="inlineStr">
        <is>
          <t>Asset schedule</t>
        </is>
      </c>
      <c r="B493" t="inlineStr">
        <is>
          <t>D65</t>
        </is>
      </c>
      <c r="C493" t="n">
        <v>65</v>
      </c>
      <c r="D493" t="n">
        <v>4</v>
      </c>
      <c r="E493" t="inlineStr">
        <is>
          <t>Input</t>
        </is>
      </c>
      <c r="F493" t="n">
        <v/>
      </c>
      <c r="G493" t="n">
        <v>2017</v>
      </c>
      <c r="H493" t="inlineStr"/>
      <c r="I493" t="inlineStr">
        <is>
          <t>General</t>
        </is>
      </c>
      <c r="J493" t="b">
        <v>1</v>
      </c>
      <c r="K493" t="b">
        <v>0</v>
      </c>
      <c r="L493" t="n">
        <v>11</v>
      </c>
      <c r="M493" t="inlineStr">
        <is>
          <t>Values must be of type &lt;class 'str'&gt;</t>
        </is>
      </c>
      <c r="N493" t="inlineStr">
        <is>
          <t>Values must be of type &lt;class 'str'&gt;</t>
        </is>
      </c>
      <c r="O493" t="inlineStr">
        <is>
          <t>center</t>
        </is>
      </c>
      <c r="P493" t="inlineStr">
        <is>
          <t>center</t>
        </is>
      </c>
      <c r="R493" t="b">
        <v>1</v>
      </c>
      <c r="S493" t="n">
        <v/>
      </c>
      <c r="T493" t="n">
        <v/>
      </c>
      <c r="U493" t="n">
        <v/>
      </c>
      <c r="V493" t="b">
        <v>0</v>
      </c>
      <c r="W493" t="inlineStr"/>
      <c r="X493" t="n">
        <v/>
      </c>
    </row>
    <row r="494">
      <c r="A494" t="inlineStr">
        <is>
          <t>Asset schedule</t>
        </is>
      </c>
      <c r="B494" t="inlineStr">
        <is>
          <t>E65</t>
        </is>
      </c>
      <c r="C494" t="n">
        <v>65</v>
      </c>
      <c r="D494" t="n">
        <v>5</v>
      </c>
      <c r="E494" t="inlineStr">
        <is>
          <t>Input</t>
        </is>
      </c>
      <c r="F494" t="n">
        <v/>
      </c>
      <c r="G494" t="inlineStr">
        <is>
          <t>2018 F</t>
        </is>
      </c>
      <c r="H494" t="inlineStr"/>
      <c r="I494" t="inlineStr">
        <is>
          <t>General</t>
        </is>
      </c>
      <c r="J494" t="b">
        <v>1</v>
      </c>
      <c r="K494" t="b">
        <v>0</v>
      </c>
      <c r="L494" t="n">
        <v>11</v>
      </c>
      <c r="M494" t="inlineStr">
        <is>
          <t>Values must be of type &lt;class 'str'&gt;</t>
        </is>
      </c>
      <c r="N494" t="inlineStr">
        <is>
          <t>Values must be of type &lt;class 'str'&gt;</t>
        </is>
      </c>
      <c r="O494" t="inlineStr">
        <is>
          <t>center</t>
        </is>
      </c>
      <c r="P494" t="inlineStr">
        <is>
          <t>center</t>
        </is>
      </c>
      <c r="R494" t="b">
        <v>1</v>
      </c>
      <c r="S494" t="n">
        <v/>
      </c>
      <c r="T494" t="n">
        <v/>
      </c>
      <c r="U494" t="n">
        <v/>
      </c>
      <c r="V494" t="b">
        <v>0</v>
      </c>
      <c r="W494" t="inlineStr"/>
      <c r="X494" t="n">
        <v/>
      </c>
    </row>
    <row r="495">
      <c r="A495" t="inlineStr">
        <is>
          <t>Asset schedule</t>
        </is>
      </c>
      <c r="B495" t="inlineStr">
        <is>
          <t>F65</t>
        </is>
      </c>
      <c r="C495" t="n">
        <v>65</v>
      </c>
      <c r="D495" t="n">
        <v>6</v>
      </c>
      <c r="E495" t="inlineStr">
        <is>
          <t>Input</t>
        </is>
      </c>
      <c r="F495" t="n">
        <v/>
      </c>
      <c r="G495" t="inlineStr">
        <is>
          <t>2019 F</t>
        </is>
      </c>
      <c r="H495" t="inlineStr"/>
      <c r="I495" t="inlineStr">
        <is>
          <t>General</t>
        </is>
      </c>
      <c r="J495" t="b">
        <v>1</v>
      </c>
      <c r="K495" t="b">
        <v>0</v>
      </c>
      <c r="L495" t="n">
        <v>11</v>
      </c>
      <c r="M495" t="inlineStr">
        <is>
          <t>Values must be of type &lt;class 'str'&gt;</t>
        </is>
      </c>
      <c r="N495" t="inlineStr">
        <is>
          <t>Values must be of type &lt;class 'str'&gt;</t>
        </is>
      </c>
      <c r="O495" t="inlineStr">
        <is>
          <t>center</t>
        </is>
      </c>
      <c r="P495" t="inlineStr">
        <is>
          <t>center</t>
        </is>
      </c>
      <c r="R495" t="b">
        <v>1</v>
      </c>
      <c r="S495" t="n">
        <v/>
      </c>
      <c r="T495" t="n">
        <v/>
      </c>
      <c r="U495" t="n">
        <v/>
      </c>
      <c r="V495" t="b">
        <v>0</v>
      </c>
      <c r="W495" t="inlineStr"/>
      <c r="X495" t="n">
        <v/>
      </c>
    </row>
    <row r="496">
      <c r="A496" t="inlineStr">
        <is>
          <t>Asset schedule</t>
        </is>
      </c>
      <c r="B496" t="inlineStr">
        <is>
          <t>G65</t>
        </is>
      </c>
      <c r="C496" t="n">
        <v>65</v>
      </c>
      <c r="D496" t="n">
        <v>7</v>
      </c>
      <c r="E496" t="inlineStr">
        <is>
          <t>Input</t>
        </is>
      </c>
      <c r="F496" t="n">
        <v/>
      </c>
      <c r="G496" t="inlineStr">
        <is>
          <t>2020 F</t>
        </is>
      </c>
      <c r="H496" t="inlineStr"/>
      <c r="I496" t="inlineStr">
        <is>
          <t>General</t>
        </is>
      </c>
      <c r="J496" t="b">
        <v>1</v>
      </c>
      <c r="K496" t="b">
        <v>0</v>
      </c>
      <c r="L496" t="n">
        <v>11</v>
      </c>
      <c r="M496" t="inlineStr">
        <is>
          <t>Values must be of type &lt;class 'str'&gt;</t>
        </is>
      </c>
      <c r="N496" t="inlineStr">
        <is>
          <t>Values must be of type &lt;class 'str'&gt;</t>
        </is>
      </c>
      <c r="O496" t="inlineStr">
        <is>
          <t>center</t>
        </is>
      </c>
      <c r="P496" t="inlineStr">
        <is>
          <t>center</t>
        </is>
      </c>
      <c r="R496" t="b">
        <v>1</v>
      </c>
      <c r="S496" t="n">
        <v/>
      </c>
      <c r="T496" t="n">
        <v/>
      </c>
      <c r="U496" t="n">
        <v/>
      </c>
      <c r="V496" t="b">
        <v>0</v>
      </c>
      <c r="W496" t="inlineStr"/>
      <c r="X496" t="n">
        <v/>
      </c>
    </row>
    <row r="497">
      <c r="A497" t="inlineStr">
        <is>
          <t>Asset schedule</t>
        </is>
      </c>
      <c r="B497" t="inlineStr">
        <is>
          <t>H65</t>
        </is>
      </c>
      <c r="C497" t="n">
        <v>65</v>
      </c>
      <c r="D497" t="n">
        <v>8</v>
      </c>
      <c r="E497" t="inlineStr">
        <is>
          <t>Input</t>
        </is>
      </c>
      <c r="F497" t="n">
        <v/>
      </c>
      <c r="G497" t="inlineStr">
        <is>
          <t>2021 F</t>
        </is>
      </c>
      <c r="H497" t="inlineStr"/>
      <c r="I497" t="inlineStr">
        <is>
          <t>General</t>
        </is>
      </c>
      <c r="J497" t="b">
        <v>1</v>
      </c>
      <c r="K497" t="b">
        <v>0</v>
      </c>
      <c r="L497" t="n">
        <v>11</v>
      </c>
      <c r="M497" t="inlineStr">
        <is>
          <t>Values must be of type &lt;class 'str'&gt;</t>
        </is>
      </c>
      <c r="N497" t="inlineStr">
        <is>
          <t>Values must be of type &lt;class 'str'&gt;</t>
        </is>
      </c>
      <c r="O497" t="inlineStr">
        <is>
          <t>center</t>
        </is>
      </c>
      <c r="P497" t="inlineStr">
        <is>
          <t>center</t>
        </is>
      </c>
      <c r="R497" t="b">
        <v>1</v>
      </c>
      <c r="S497" t="n">
        <v/>
      </c>
      <c r="T497" t="n">
        <v/>
      </c>
      <c r="U497" t="n">
        <v/>
      </c>
      <c r="V497" t="b">
        <v>0</v>
      </c>
      <c r="W497" t="inlineStr"/>
      <c r="X497" t="n">
        <v/>
      </c>
    </row>
    <row r="498">
      <c r="A498" t="inlineStr">
        <is>
          <t>Asset schedule</t>
        </is>
      </c>
      <c r="B498" t="inlineStr">
        <is>
          <t>I65</t>
        </is>
      </c>
      <c r="C498" t="n">
        <v>65</v>
      </c>
      <c r="D498" t="n">
        <v>9</v>
      </c>
      <c r="E498" t="inlineStr">
        <is>
          <t>Input</t>
        </is>
      </c>
      <c r="F498" t="n">
        <v/>
      </c>
      <c r="G498" t="inlineStr">
        <is>
          <t>2022 F</t>
        </is>
      </c>
      <c r="H498" t="inlineStr"/>
      <c r="I498" t="inlineStr">
        <is>
          <t>General</t>
        </is>
      </c>
      <c r="J498" t="b">
        <v>1</v>
      </c>
      <c r="K498" t="b">
        <v>0</v>
      </c>
      <c r="L498" t="n">
        <v>11</v>
      </c>
      <c r="M498" t="inlineStr">
        <is>
          <t>Values must be of type &lt;class 'str'&gt;</t>
        </is>
      </c>
      <c r="N498" t="inlineStr">
        <is>
          <t>Values must be of type &lt;class 'str'&gt;</t>
        </is>
      </c>
      <c r="O498" t="inlineStr">
        <is>
          <t>center</t>
        </is>
      </c>
      <c r="P498" t="inlineStr">
        <is>
          <t>center</t>
        </is>
      </c>
      <c r="R498" t="b">
        <v>1</v>
      </c>
      <c r="S498" t="n">
        <v/>
      </c>
      <c r="T498" t="n">
        <v/>
      </c>
      <c r="U498" t="n">
        <v/>
      </c>
      <c r="V498" t="b">
        <v>0</v>
      </c>
      <c r="W498" t="inlineStr"/>
      <c r="X498" t="n">
        <v/>
      </c>
    </row>
    <row r="499">
      <c r="A499" t="inlineStr">
        <is>
          <t>Asset schedule</t>
        </is>
      </c>
      <c r="B499" t="inlineStr">
        <is>
          <t>A66</t>
        </is>
      </c>
      <c r="C499" t="n">
        <v>66</v>
      </c>
      <c r="D499" t="n">
        <v>1</v>
      </c>
      <c r="E499" t="inlineStr">
        <is>
          <t>Input</t>
        </is>
      </c>
      <c r="F499" t="n">
        <v/>
      </c>
      <c r="G499" t="inlineStr">
        <is>
          <t>Opening balance</t>
        </is>
      </c>
      <c r="H499" t="inlineStr"/>
      <c r="I499" t="inlineStr">
        <is>
          <t>General</t>
        </is>
      </c>
      <c r="J499" t="b">
        <v>0</v>
      </c>
      <c r="K499" t="b">
        <v>0</v>
      </c>
      <c r="L499" t="n">
        <v>11</v>
      </c>
      <c r="M499" t="inlineStr">
        <is>
          <t>FF000000</t>
        </is>
      </c>
      <c r="N499" t="inlineStr">
        <is>
          <t>00000000</t>
        </is>
      </c>
      <c r="O499" t="n">
        <v/>
      </c>
      <c r="P499" t="n">
        <v/>
      </c>
      <c r="R499" t="b">
        <v>1</v>
      </c>
      <c r="S499" t="n">
        <v/>
      </c>
      <c r="T499" t="n">
        <v/>
      </c>
      <c r="U499" t="n">
        <v/>
      </c>
      <c r="V499" t="b">
        <v>0</v>
      </c>
      <c r="W499" t="inlineStr"/>
      <c r="X499" t="n">
        <v/>
      </c>
    </row>
    <row r="500">
      <c r="A500" t="inlineStr">
        <is>
          <t>Asset schedule</t>
        </is>
      </c>
      <c r="B500" t="inlineStr">
        <is>
          <t>D66</t>
        </is>
      </c>
      <c r="C500" t="n">
        <v>66</v>
      </c>
      <c r="D500" t="n">
        <v>4</v>
      </c>
      <c r="E500" t="inlineStr">
        <is>
          <t>Input</t>
        </is>
      </c>
      <c r="F500" t="n">
        <v/>
      </c>
      <c r="G500" t="n">
        <v>24.09</v>
      </c>
      <c r="H500" t="inlineStr"/>
      <c r="I500" t="inlineStr">
        <is>
          <t>General</t>
        </is>
      </c>
      <c r="J500" t="b">
        <v>0</v>
      </c>
      <c r="K500" t="b">
        <v>0</v>
      </c>
      <c r="L500" t="n">
        <v>11</v>
      </c>
      <c r="M500" t="inlineStr">
        <is>
          <t>FF000000</t>
        </is>
      </c>
      <c r="N500" t="inlineStr">
        <is>
          <t>00000000</t>
        </is>
      </c>
      <c r="O500" t="n">
        <v/>
      </c>
      <c r="P500" t="n">
        <v/>
      </c>
      <c r="R500" t="b">
        <v>1</v>
      </c>
      <c r="S500" t="n">
        <v/>
      </c>
      <c r="T500" t="n">
        <v/>
      </c>
      <c r="U500" t="n">
        <v/>
      </c>
      <c r="V500" t="b">
        <v>0</v>
      </c>
      <c r="W500" t="inlineStr"/>
      <c r="X500" t="n">
        <v/>
      </c>
    </row>
    <row r="501">
      <c r="A501" t="inlineStr">
        <is>
          <t>Asset schedule</t>
        </is>
      </c>
      <c r="B501" t="inlineStr">
        <is>
          <t>E66</t>
        </is>
      </c>
      <c r="C501" t="n">
        <v>66</v>
      </c>
      <c r="D501" t="n">
        <v>5</v>
      </c>
      <c r="E501" t="inlineStr">
        <is>
          <t>Calculation</t>
        </is>
      </c>
      <c r="F501" t="inlineStr">
        <is>
          <t>'=D70</t>
        </is>
      </c>
      <c r="G501" t="n">
        <v>38.4</v>
      </c>
      <c r="H501" t="inlineStr"/>
      <c r="I501" t="inlineStr">
        <is>
          <t>General</t>
        </is>
      </c>
      <c r="J501" t="b">
        <v>0</v>
      </c>
      <c r="K501" t="b">
        <v>0</v>
      </c>
      <c r="L501" t="n">
        <v>11</v>
      </c>
      <c r="M501" t="inlineStr">
        <is>
          <t>FF000000</t>
        </is>
      </c>
      <c r="N501" t="inlineStr">
        <is>
          <t>00000000</t>
        </is>
      </c>
      <c r="O501" t="n">
        <v/>
      </c>
      <c r="P501" t="n">
        <v/>
      </c>
      <c r="R501" t="b">
        <v>1</v>
      </c>
      <c r="S501" t="inlineStr">
        <is>
          <t>G000086</t>
        </is>
      </c>
      <c r="T501" t="inlineStr">
        <is>
          <t>Horizontal</t>
        </is>
      </c>
      <c r="U501" t="n">
        <v>5</v>
      </c>
      <c r="V501" t="b">
        <v>1</v>
      </c>
      <c r="W501" t="inlineStr">
        <is>
          <t>Asset schedule!E66:I66</t>
        </is>
      </c>
      <c r="X501">
        <f>R[4]C[-1]</f>
        <v/>
      </c>
    </row>
    <row r="502">
      <c r="A502" t="inlineStr">
        <is>
          <t>Asset schedule</t>
        </is>
      </c>
      <c r="B502" t="inlineStr">
        <is>
          <t>F66</t>
        </is>
      </c>
      <c r="C502" t="n">
        <v>66</v>
      </c>
      <c r="D502" t="n">
        <v>6</v>
      </c>
      <c r="E502" t="inlineStr">
        <is>
          <t>Calculation</t>
        </is>
      </c>
      <c r="F502" t="inlineStr">
        <is>
          <t>'=E70</t>
        </is>
      </c>
      <c r="G502" t="n">
        <v>54.14432638529701</v>
      </c>
      <c r="H502" t="inlineStr"/>
      <c r="I502" t="inlineStr">
        <is>
          <t>General</t>
        </is>
      </c>
      <c r="J502" t="b">
        <v>0</v>
      </c>
      <c r="K502" t="b">
        <v>0</v>
      </c>
      <c r="L502" t="n">
        <v>11</v>
      </c>
      <c r="M502" t="inlineStr">
        <is>
          <t>FF000000</t>
        </is>
      </c>
      <c r="N502" t="inlineStr">
        <is>
          <t>00000000</t>
        </is>
      </c>
      <c r="O502" t="n">
        <v/>
      </c>
      <c r="P502" t="n">
        <v/>
      </c>
      <c r="R502" t="b">
        <v>1</v>
      </c>
      <c r="S502" t="inlineStr">
        <is>
          <t>G000086</t>
        </is>
      </c>
      <c r="T502" t="inlineStr">
        <is>
          <t>Horizontal</t>
        </is>
      </c>
      <c r="U502" t="n">
        <v>5</v>
      </c>
      <c r="V502" t="b">
        <v>1</v>
      </c>
      <c r="W502" t="inlineStr">
        <is>
          <t>Asset schedule!E66:I66</t>
        </is>
      </c>
      <c r="X502">
        <f>R[4]C[-1]</f>
        <v/>
      </c>
    </row>
    <row r="503">
      <c r="A503" t="inlineStr">
        <is>
          <t>Asset schedule</t>
        </is>
      </c>
      <c r="B503" t="inlineStr">
        <is>
          <t>G66</t>
        </is>
      </c>
      <c r="C503" t="n">
        <v>66</v>
      </c>
      <c r="D503" t="n">
        <v>7</v>
      </c>
      <c r="E503" t="inlineStr">
        <is>
          <t>Calculation</t>
        </is>
      </c>
      <c r="F503" t="inlineStr">
        <is>
          <t>'=F70</t>
        </is>
      </c>
      <c r="G503" t="n">
        <v>70.30874180000713</v>
      </c>
      <c r="H503" t="inlineStr"/>
      <c r="I503" t="inlineStr">
        <is>
          <t>General</t>
        </is>
      </c>
      <c r="J503" t="b">
        <v>0</v>
      </c>
      <c r="K503" t="b">
        <v>0</v>
      </c>
      <c r="L503" t="n">
        <v>11</v>
      </c>
      <c r="M503" t="inlineStr">
        <is>
          <t>FF000000</t>
        </is>
      </c>
      <c r="N503" t="inlineStr">
        <is>
          <t>00000000</t>
        </is>
      </c>
      <c r="O503" t="n">
        <v/>
      </c>
      <c r="P503" t="n">
        <v/>
      </c>
      <c r="R503" t="b">
        <v>1</v>
      </c>
      <c r="S503" t="inlineStr">
        <is>
          <t>G000086</t>
        </is>
      </c>
      <c r="T503" t="inlineStr">
        <is>
          <t>Horizontal</t>
        </is>
      </c>
      <c r="U503" t="n">
        <v>5</v>
      </c>
      <c r="V503" t="b">
        <v>1</v>
      </c>
      <c r="W503" t="inlineStr">
        <is>
          <t>Asset schedule!E66:I66</t>
        </is>
      </c>
      <c r="X503">
        <f>R[4]C[-1]</f>
        <v/>
      </c>
    </row>
    <row r="504">
      <c r="A504" t="inlineStr">
        <is>
          <t>Asset schedule</t>
        </is>
      </c>
      <c r="B504" t="inlineStr">
        <is>
          <t>H66</t>
        </is>
      </c>
      <c r="C504" t="n">
        <v>66</v>
      </c>
      <c r="D504" t="n">
        <v>8</v>
      </c>
      <c r="E504" t="inlineStr">
        <is>
          <t>Calculation</t>
        </is>
      </c>
      <c r="F504" t="inlineStr">
        <is>
          <t>'=G70</t>
        </is>
      </c>
      <c r="G504" t="n">
        <v>86.95985588517053</v>
      </c>
      <c r="H504" t="inlineStr"/>
      <c r="I504" t="inlineStr">
        <is>
          <t>General</t>
        </is>
      </c>
      <c r="J504" t="b">
        <v>0</v>
      </c>
      <c r="K504" t="b">
        <v>0</v>
      </c>
      <c r="L504" t="n">
        <v>11</v>
      </c>
      <c r="M504" t="inlineStr">
        <is>
          <t>FF000000</t>
        </is>
      </c>
      <c r="N504" t="inlineStr">
        <is>
          <t>00000000</t>
        </is>
      </c>
      <c r="O504" t="n">
        <v/>
      </c>
      <c r="P504" t="n">
        <v/>
      </c>
      <c r="R504" t="b">
        <v>1</v>
      </c>
      <c r="S504" t="inlineStr">
        <is>
          <t>G000086</t>
        </is>
      </c>
      <c r="T504" t="inlineStr">
        <is>
          <t>Horizontal</t>
        </is>
      </c>
      <c r="U504" t="n">
        <v>5</v>
      </c>
      <c r="V504" t="b">
        <v>1</v>
      </c>
      <c r="W504" t="inlineStr">
        <is>
          <t>Asset schedule!E66:I66</t>
        </is>
      </c>
      <c r="X504">
        <f>R[4]C[-1]</f>
        <v/>
      </c>
    </row>
    <row r="505">
      <c r="A505" t="inlineStr">
        <is>
          <t>Asset schedule</t>
        </is>
      </c>
      <c r="B505" t="inlineStr">
        <is>
          <t>I66</t>
        </is>
      </c>
      <c r="C505" t="n">
        <v>66</v>
      </c>
      <c r="D505" t="n">
        <v>9</v>
      </c>
      <c r="E505" t="inlineStr">
        <is>
          <t>Calculation</t>
        </is>
      </c>
      <c r="F505" t="inlineStr">
        <is>
          <t>'=H70</t>
        </is>
      </c>
      <c r="G505" t="n">
        <v>104.1660234731124</v>
      </c>
      <c r="H505" t="inlineStr"/>
      <c r="I505" t="inlineStr">
        <is>
          <t>General</t>
        </is>
      </c>
      <c r="J505" t="b">
        <v>0</v>
      </c>
      <c r="K505" t="b">
        <v>0</v>
      </c>
      <c r="L505" t="n">
        <v>11</v>
      </c>
      <c r="M505" t="inlineStr">
        <is>
          <t>FF000000</t>
        </is>
      </c>
      <c r="N505" t="inlineStr">
        <is>
          <t>00000000</t>
        </is>
      </c>
      <c r="O505" t="n">
        <v/>
      </c>
      <c r="P505" t="n">
        <v/>
      </c>
      <c r="R505" t="b">
        <v>1</v>
      </c>
      <c r="S505" t="inlineStr">
        <is>
          <t>G000086</t>
        </is>
      </c>
      <c r="T505" t="inlineStr">
        <is>
          <t>Horizontal</t>
        </is>
      </c>
      <c r="U505" t="n">
        <v>5</v>
      </c>
      <c r="V505" t="b">
        <v>1</v>
      </c>
      <c r="W505" t="inlineStr">
        <is>
          <t>Asset schedule!E66:I66</t>
        </is>
      </c>
      <c r="X505">
        <f>R[4]C[-1]</f>
        <v/>
      </c>
    </row>
    <row r="506">
      <c r="A506" t="inlineStr">
        <is>
          <t>Asset schedule</t>
        </is>
      </c>
      <c r="B506" t="inlineStr">
        <is>
          <t>A67</t>
        </is>
      </c>
      <c r="C506" t="n">
        <v>67</v>
      </c>
      <c r="D506" t="n">
        <v>1</v>
      </c>
      <c r="E506" t="inlineStr">
        <is>
          <t>Input</t>
        </is>
      </c>
      <c r="F506" t="n">
        <v/>
      </c>
      <c r="G506" t="inlineStr">
        <is>
          <t>Add: purchase during the year</t>
        </is>
      </c>
      <c r="H506" t="inlineStr"/>
      <c r="I506" t="inlineStr">
        <is>
          <t>General</t>
        </is>
      </c>
      <c r="J506" t="b">
        <v>0</v>
      </c>
      <c r="K506" t="b">
        <v>0</v>
      </c>
      <c r="L506" t="n">
        <v>11</v>
      </c>
      <c r="M506" t="inlineStr">
        <is>
          <t>FF000000</t>
        </is>
      </c>
      <c r="N506" t="inlineStr">
        <is>
          <t>00000000</t>
        </is>
      </c>
      <c r="O506" t="n">
        <v/>
      </c>
      <c r="P506" t="n">
        <v/>
      </c>
      <c r="R506" t="b">
        <v>1</v>
      </c>
      <c r="S506" t="n">
        <v/>
      </c>
      <c r="T506" t="n">
        <v/>
      </c>
      <c r="U506" t="n">
        <v/>
      </c>
      <c r="V506" t="b">
        <v>0</v>
      </c>
      <c r="W506" t="inlineStr"/>
      <c r="X506" t="n">
        <v/>
      </c>
    </row>
    <row r="507">
      <c r="A507" t="inlineStr">
        <is>
          <t>Asset schedule</t>
        </is>
      </c>
      <c r="B507" t="inlineStr">
        <is>
          <t>D67</t>
        </is>
      </c>
      <c r="C507" t="n">
        <v>67</v>
      </c>
      <c r="D507" t="n">
        <v>4</v>
      </c>
      <c r="E507" t="inlineStr">
        <is>
          <t>Input</t>
        </is>
      </c>
      <c r="F507" t="n">
        <v/>
      </c>
      <c r="G507" t="n">
        <v>16.78</v>
      </c>
      <c r="H507" t="inlineStr"/>
      <c r="I507" t="inlineStr">
        <is>
          <t>General</t>
        </is>
      </c>
      <c r="J507" t="b">
        <v>0</v>
      </c>
      <c r="K507" t="b">
        <v>0</v>
      </c>
      <c r="L507" t="n">
        <v>11</v>
      </c>
      <c r="M507" t="inlineStr">
        <is>
          <t>FF000000</t>
        </is>
      </c>
      <c r="N507" t="inlineStr">
        <is>
          <t>00000000</t>
        </is>
      </c>
      <c r="O507" t="n">
        <v/>
      </c>
      <c r="P507" t="n">
        <v/>
      </c>
      <c r="R507" t="b">
        <v>1</v>
      </c>
      <c r="S507" t="n">
        <v/>
      </c>
      <c r="T507" t="n">
        <v/>
      </c>
      <c r="U507" t="n">
        <v/>
      </c>
      <c r="V507" t="b">
        <v>0</v>
      </c>
      <c r="W507" t="inlineStr"/>
      <c r="X507" t="n">
        <v/>
      </c>
    </row>
    <row r="508">
      <c r="A508" t="inlineStr">
        <is>
          <t>Asset schedule</t>
        </is>
      </c>
      <c r="B508" t="inlineStr">
        <is>
          <t>E67</t>
        </is>
      </c>
      <c r="C508" t="n">
        <v>67</v>
      </c>
      <c r="D508" t="n">
        <v>5</v>
      </c>
      <c r="E508" t="inlineStr">
        <is>
          <t>Calculation</t>
        </is>
      </c>
      <c r="F508" t="inlineStr">
        <is>
          <t>'=INDEX($L$4:$T$15,MATCH($A65,$L$4:$L$15,0),MATCH(E65,$L$4:$T$4,0))</t>
        </is>
      </c>
      <c r="G508" t="n">
        <v>18.06505063291139</v>
      </c>
      <c r="H508" t="inlineStr"/>
      <c r="I508" t="inlineStr">
        <is>
          <t>0.0</t>
        </is>
      </c>
      <c r="J508" t="b">
        <v>0</v>
      </c>
      <c r="K508" t="b">
        <v>0</v>
      </c>
      <c r="L508" t="n">
        <v>11</v>
      </c>
      <c r="M508" t="inlineStr">
        <is>
          <t>FF000000</t>
        </is>
      </c>
      <c r="N508" t="inlineStr">
        <is>
          <t>00000000</t>
        </is>
      </c>
      <c r="O508" t="n">
        <v/>
      </c>
      <c r="P508" t="n">
        <v/>
      </c>
      <c r="R508" t="b">
        <v>1</v>
      </c>
      <c r="S508" t="inlineStr">
        <is>
          <t>G000098</t>
        </is>
      </c>
      <c r="T508" t="inlineStr">
        <is>
          <t>Horizontal</t>
        </is>
      </c>
      <c r="U508" t="n">
        <v>5</v>
      </c>
      <c r="V508" t="b">
        <v>1</v>
      </c>
      <c r="W508" t="inlineStr">
        <is>
          <t>Asset schedule!E67:I67</t>
        </is>
      </c>
      <c r="X508">
        <f>INDEX(R4C12:R15C20,MATCH(R[-2]C1,R4C12:R15C12,0),MATCH(R[-2]C[0],R4C12:R4C20,0))</f>
        <v/>
      </c>
    </row>
    <row r="509">
      <c r="A509" t="inlineStr">
        <is>
          <t>Asset schedule</t>
        </is>
      </c>
      <c r="B509" t="inlineStr">
        <is>
          <t>F67</t>
        </is>
      </c>
      <c r="C509" t="n">
        <v>67</v>
      </c>
      <c r="D509" t="n">
        <v>6</v>
      </c>
      <c r="E509" t="inlineStr">
        <is>
          <t>Calculation</t>
        </is>
      </c>
      <c r="F509" t="inlineStr">
        <is>
          <t>'=INDEX($L$4:$T$15,MATCH($A65,$L$4:$L$15,0),MATCH(F65,$L$4:$T$4,0))</t>
        </is>
      </c>
      <c r="G509" t="n">
        <v>19.43665632911393</v>
      </c>
      <c r="H509" t="inlineStr"/>
      <c r="I509" t="inlineStr">
        <is>
          <t>0.0</t>
        </is>
      </c>
      <c r="J509" t="b">
        <v>0</v>
      </c>
      <c r="K509" t="b">
        <v>0</v>
      </c>
      <c r="L509" t="n">
        <v>11</v>
      </c>
      <c r="M509" t="inlineStr">
        <is>
          <t>FF000000</t>
        </is>
      </c>
      <c r="N509" t="inlineStr">
        <is>
          <t>00000000</t>
        </is>
      </c>
      <c r="O509" t="n">
        <v/>
      </c>
      <c r="P509" t="n">
        <v/>
      </c>
      <c r="R509" t="b">
        <v>1</v>
      </c>
      <c r="S509" t="inlineStr">
        <is>
          <t>G000098</t>
        </is>
      </c>
      <c r="T509" t="inlineStr">
        <is>
          <t>Horizontal</t>
        </is>
      </c>
      <c r="U509" t="n">
        <v>5</v>
      </c>
      <c r="V509" t="b">
        <v>1</v>
      </c>
      <c r="W509" t="inlineStr">
        <is>
          <t>Asset schedule!E67:I67</t>
        </is>
      </c>
      <c r="X509">
        <f>INDEX(R4C12:R15C20,MATCH(R[-2]C1,R4C12:R15C12,0),MATCH(R[-2]C[0],R4C12:R4C20,0))</f>
        <v/>
      </c>
    </row>
    <row r="510">
      <c r="A510" t="inlineStr">
        <is>
          <t>Asset schedule</t>
        </is>
      </c>
      <c r="B510" t="inlineStr">
        <is>
          <t>G67</t>
        </is>
      </c>
      <c r="C510" t="n">
        <v>67</v>
      </c>
      <c r="D510" t="n">
        <v>7</v>
      </c>
      <c r="E510" t="inlineStr">
        <is>
          <t>Calculation</t>
        </is>
      </c>
      <c r="F510" t="inlineStr">
        <is>
          <t>'=INDEX($L$4:$T$15,MATCH($A65,$L$4:$L$15,0),MATCH(G65,$L$4:$T$4,0))</t>
        </is>
      </c>
      <c r="G510" t="n">
        <v>20.90025996835443</v>
      </c>
      <c r="H510" t="inlineStr"/>
      <c r="I510" t="inlineStr">
        <is>
          <t>0.0</t>
        </is>
      </c>
      <c r="J510" t="b">
        <v>0</v>
      </c>
      <c r="K510" t="b">
        <v>0</v>
      </c>
      <c r="L510" t="n">
        <v>11</v>
      </c>
      <c r="M510" t="inlineStr">
        <is>
          <t>FF000000</t>
        </is>
      </c>
      <c r="N510" t="inlineStr">
        <is>
          <t>00000000</t>
        </is>
      </c>
      <c r="O510" t="n">
        <v/>
      </c>
      <c r="P510" t="n">
        <v/>
      </c>
      <c r="R510" t="b">
        <v>1</v>
      </c>
      <c r="S510" t="inlineStr">
        <is>
          <t>G000098</t>
        </is>
      </c>
      <c r="T510" t="inlineStr">
        <is>
          <t>Horizontal</t>
        </is>
      </c>
      <c r="U510" t="n">
        <v>5</v>
      </c>
      <c r="V510" t="b">
        <v>1</v>
      </c>
      <c r="W510" t="inlineStr">
        <is>
          <t>Asset schedule!E67:I67</t>
        </is>
      </c>
      <c r="X510">
        <f>INDEX(R4C12:R15C20,MATCH(R[-2]C1,R4C12:R15C12,0),MATCH(R[-2]C[0],R4C12:R4C20,0))</f>
        <v/>
      </c>
    </row>
    <row r="511">
      <c r="A511" t="inlineStr">
        <is>
          <t>Asset schedule</t>
        </is>
      </c>
      <c r="B511" t="inlineStr">
        <is>
          <t>H67</t>
        </is>
      </c>
      <c r="C511" t="n">
        <v>67</v>
      </c>
      <c r="D511" t="n">
        <v>8</v>
      </c>
      <c r="E511" t="inlineStr">
        <is>
          <t>Calculation</t>
        </is>
      </c>
      <c r="F511" t="inlineStr">
        <is>
          <t>'=INDEX($L$4:$T$15,MATCH($A65,$L$4:$L$15,0),MATCH(H65,$L$4:$T$4,0))</t>
        </is>
      </c>
      <c r="G511" t="n">
        <v>22.46163233069621</v>
      </c>
      <c r="H511" t="inlineStr"/>
      <c r="I511" t="inlineStr">
        <is>
          <t>0.0</t>
        </is>
      </c>
      <c r="J511" t="b">
        <v>0</v>
      </c>
      <c r="K511" t="b">
        <v>0</v>
      </c>
      <c r="L511" t="n">
        <v>11</v>
      </c>
      <c r="M511" t="inlineStr">
        <is>
          <t>FF000000</t>
        </is>
      </c>
      <c r="N511" t="inlineStr">
        <is>
          <t>00000000</t>
        </is>
      </c>
      <c r="O511" t="n">
        <v/>
      </c>
      <c r="P511" t="n">
        <v/>
      </c>
      <c r="R511" t="b">
        <v>1</v>
      </c>
      <c r="S511" t="inlineStr">
        <is>
          <t>G000098</t>
        </is>
      </c>
      <c r="T511" t="inlineStr">
        <is>
          <t>Horizontal</t>
        </is>
      </c>
      <c r="U511" t="n">
        <v>5</v>
      </c>
      <c r="V511" t="b">
        <v>1</v>
      </c>
      <c r="W511" t="inlineStr">
        <is>
          <t>Asset schedule!E67:I67</t>
        </is>
      </c>
      <c r="X511">
        <f>INDEX(R4C12:R15C20,MATCH(R[-2]C1,R4C12:R15C12,0),MATCH(R[-2]C[0],R4C12:R4C20,0))</f>
        <v/>
      </c>
    </row>
    <row r="512">
      <c r="A512" t="inlineStr">
        <is>
          <t>Asset schedule</t>
        </is>
      </c>
      <c r="B512" t="inlineStr">
        <is>
          <t>I67</t>
        </is>
      </c>
      <c r="C512" t="n">
        <v>67</v>
      </c>
      <c r="D512" t="n">
        <v>9</v>
      </c>
      <c r="E512" t="inlineStr">
        <is>
          <t>Calculation</t>
        </is>
      </c>
      <c r="F512" t="inlineStr">
        <is>
          <t>'=INDEX($L$4:$T$15,MATCH($A65,$L$4:$L$15,0),MATCH(I65,$L$4:$T$4,0))</t>
        </is>
      </c>
      <c r="G512" t="n">
        <v>24.12689127935128</v>
      </c>
      <c r="H512" t="inlineStr"/>
      <c r="I512" t="inlineStr">
        <is>
          <t>0.0</t>
        </is>
      </c>
      <c r="J512" t="b">
        <v>0</v>
      </c>
      <c r="K512" t="b">
        <v>0</v>
      </c>
      <c r="L512" t="n">
        <v>11</v>
      </c>
      <c r="M512" t="inlineStr">
        <is>
          <t>FF000000</t>
        </is>
      </c>
      <c r="N512" t="inlineStr">
        <is>
          <t>00000000</t>
        </is>
      </c>
      <c r="O512" t="n">
        <v/>
      </c>
      <c r="P512" t="n">
        <v/>
      </c>
      <c r="R512" t="b">
        <v>1</v>
      </c>
      <c r="S512" t="inlineStr">
        <is>
          <t>G000098</t>
        </is>
      </c>
      <c r="T512" t="inlineStr">
        <is>
          <t>Horizontal</t>
        </is>
      </c>
      <c r="U512" t="n">
        <v>5</v>
      </c>
      <c r="V512" t="b">
        <v>1</v>
      </c>
      <c r="W512" t="inlineStr">
        <is>
          <t>Asset schedule!E67:I67</t>
        </is>
      </c>
      <c r="X512">
        <f>INDEX(R4C12:R15C20,MATCH(R[-2]C1,R4C12:R15C12,0),MATCH(R[-2]C[0],R4C12:R4C20,0))</f>
        <v/>
      </c>
    </row>
    <row r="513">
      <c r="A513" t="inlineStr">
        <is>
          <t>Asset schedule</t>
        </is>
      </c>
      <c r="B513" t="inlineStr">
        <is>
          <t>A68</t>
        </is>
      </c>
      <c r="C513" t="n">
        <v>68</v>
      </c>
      <c r="D513" t="n">
        <v>1</v>
      </c>
      <c r="E513" t="inlineStr">
        <is>
          <t>Input</t>
        </is>
      </c>
      <c r="F513" t="n">
        <v/>
      </c>
      <c r="G513" t="inlineStr">
        <is>
          <t>Less: Sale during the year</t>
        </is>
      </c>
      <c r="H513" t="inlineStr"/>
      <c r="I513" t="inlineStr">
        <is>
          <t>General</t>
        </is>
      </c>
      <c r="J513" t="b">
        <v>0</v>
      </c>
      <c r="K513" t="b">
        <v>0</v>
      </c>
      <c r="L513" t="n">
        <v>11</v>
      </c>
      <c r="M513" t="inlineStr">
        <is>
          <t>FF000000</t>
        </is>
      </c>
      <c r="N513" t="inlineStr">
        <is>
          <t>00000000</t>
        </is>
      </c>
      <c r="O513" t="n">
        <v/>
      </c>
      <c r="P513" t="n">
        <v/>
      </c>
      <c r="R513" t="b">
        <v>1</v>
      </c>
      <c r="S513" t="n">
        <v/>
      </c>
      <c r="T513" t="n">
        <v/>
      </c>
      <c r="U513" t="n">
        <v/>
      </c>
      <c r="V513" t="b">
        <v>0</v>
      </c>
      <c r="W513" t="inlineStr"/>
      <c r="X513" t="n">
        <v/>
      </c>
    </row>
    <row r="514">
      <c r="A514" t="inlineStr">
        <is>
          <t>Asset schedule</t>
        </is>
      </c>
      <c r="B514" t="inlineStr">
        <is>
          <t>D68</t>
        </is>
      </c>
      <c r="C514" t="n">
        <v>68</v>
      </c>
      <c r="D514" t="n">
        <v>4</v>
      </c>
      <c r="E514" t="inlineStr">
        <is>
          <t>Input</t>
        </is>
      </c>
      <c r="F514" t="n">
        <v/>
      </c>
      <c r="G514" t="n">
        <v>0</v>
      </c>
      <c r="H514" t="inlineStr"/>
      <c r="I514" t="inlineStr">
        <is>
          <t>General</t>
        </is>
      </c>
      <c r="J514" t="b">
        <v>0</v>
      </c>
      <c r="K514" t="b">
        <v>0</v>
      </c>
      <c r="L514" t="n">
        <v>11</v>
      </c>
      <c r="M514" t="inlineStr">
        <is>
          <t>FF000000</t>
        </is>
      </c>
      <c r="N514" t="inlineStr">
        <is>
          <t>00000000</t>
        </is>
      </c>
      <c r="O514" t="n">
        <v/>
      </c>
      <c r="P514" t="n">
        <v/>
      </c>
      <c r="R514" t="b">
        <v>1</v>
      </c>
      <c r="S514" t="n">
        <v/>
      </c>
      <c r="T514" t="n">
        <v/>
      </c>
      <c r="U514" t="n">
        <v/>
      </c>
      <c r="V514" t="b">
        <v>0</v>
      </c>
      <c r="W514" t="inlineStr"/>
      <c r="X514" t="n">
        <v/>
      </c>
    </row>
    <row r="515">
      <c r="A515" t="inlineStr">
        <is>
          <t>Asset schedule</t>
        </is>
      </c>
      <c r="B515" t="inlineStr">
        <is>
          <t>E68</t>
        </is>
      </c>
      <c r="C515" t="n">
        <v>68</v>
      </c>
      <c r="D515" t="n">
        <v>5</v>
      </c>
      <c r="E515" t="inlineStr">
        <is>
          <t>Input</t>
        </is>
      </c>
      <c r="F515" t="n">
        <v/>
      </c>
      <c r="G515" t="n">
        <v>0</v>
      </c>
      <c r="H515" t="inlineStr"/>
      <c r="I515" t="inlineStr">
        <is>
          <t>General</t>
        </is>
      </c>
      <c r="J515" t="b">
        <v>0</v>
      </c>
      <c r="K515" t="b">
        <v>0</v>
      </c>
      <c r="L515" t="n">
        <v>11</v>
      </c>
      <c r="M515" t="inlineStr">
        <is>
          <t>FF000000</t>
        </is>
      </c>
      <c r="N515" t="inlineStr">
        <is>
          <t>00000000</t>
        </is>
      </c>
      <c r="O515" t="n">
        <v/>
      </c>
      <c r="P515" t="n">
        <v/>
      </c>
      <c r="R515" t="b">
        <v>1</v>
      </c>
      <c r="S515" t="n">
        <v/>
      </c>
      <c r="T515" t="n">
        <v/>
      </c>
      <c r="U515" t="n">
        <v/>
      </c>
      <c r="V515" t="b">
        <v>0</v>
      </c>
      <c r="W515" t="inlineStr"/>
      <c r="X515" t="n">
        <v/>
      </c>
    </row>
    <row r="516">
      <c r="A516" t="inlineStr">
        <is>
          <t>Asset schedule</t>
        </is>
      </c>
      <c r="B516" t="inlineStr">
        <is>
          <t>F68</t>
        </is>
      </c>
      <c r="C516" t="n">
        <v>68</v>
      </c>
      <c r="D516" t="n">
        <v>6</v>
      </c>
      <c r="E516" t="inlineStr">
        <is>
          <t>Input</t>
        </is>
      </c>
      <c r="F516" t="n">
        <v/>
      </c>
      <c r="G516" t="n">
        <v>0</v>
      </c>
      <c r="H516" t="inlineStr"/>
      <c r="I516" t="inlineStr">
        <is>
          <t>General</t>
        </is>
      </c>
      <c r="J516" t="b">
        <v>0</v>
      </c>
      <c r="K516" t="b">
        <v>0</v>
      </c>
      <c r="L516" t="n">
        <v>11</v>
      </c>
      <c r="M516" t="inlineStr">
        <is>
          <t>FF000000</t>
        </is>
      </c>
      <c r="N516" t="inlineStr">
        <is>
          <t>00000000</t>
        </is>
      </c>
      <c r="O516" t="n">
        <v/>
      </c>
      <c r="P516" t="n">
        <v/>
      </c>
      <c r="R516" t="b">
        <v>1</v>
      </c>
      <c r="S516" t="n">
        <v/>
      </c>
      <c r="T516" t="n">
        <v/>
      </c>
      <c r="U516" t="n">
        <v/>
      </c>
      <c r="V516" t="b">
        <v>0</v>
      </c>
      <c r="W516" t="inlineStr"/>
      <c r="X516" t="n">
        <v/>
      </c>
    </row>
    <row r="517">
      <c r="A517" t="inlineStr">
        <is>
          <t>Asset schedule</t>
        </is>
      </c>
      <c r="B517" t="inlineStr">
        <is>
          <t>G68</t>
        </is>
      </c>
      <c r="C517" t="n">
        <v>68</v>
      </c>
      <c r="D517" t="n">
        <v>7</v>
      </c>
      <c r="E517" t="inlineStr">
        <is>
          <t>Input</t>
        </is>
      </c>
      <c r="F517" t="n">
        <v/>
      </c>
      <c r="G517" t="n">
        <v>0</v>
      </c>
      <c r="H517" t="inlineStr"/>
      <c r="I517" t="inlineStr">
        <is>
          <t>General</t>
        </is>
      </c>
      <c r="J517" t="b">
        <v>0</v>
      </c>
      <c r="K517" t="b">
        <v>0</v>
      </c>
      <c r="L517" t="n">
        <v>11</v>
      </c>
      <c r="M517" t="inlineStr">
        <is>
          <t>FF000000</t>
        </is>
      </c>
      <c r="N517" t="inlineStr">
        <is>
          <t>00000000</t>
        </is>
      </c>
      <c r="O517" t="n">
        <v/>
      </c>
      <c r="P517" t="n">
        <v/>
      </c>
      <c r="R517" t="b">
        <v>1</v>
      </c>
      <c r="S517" t="n">
        <v/>
      </c>
      <c r="T517" t="n">
        <v/>
      </c>
      <c r="U517" t="n">
        <v/>
      </c>
      <c r="V517" t="b">
        <v>0</v>
      </c>
      <c r="W517" t="inlineStr"/>
      <c r="X517" t="n">
        <v/>
      </c>
    </row>
    <row r="518">
      <c r="A518" t="inlineStr">
        <is>
          <t>Asset schedule</t>
        </is>
      </c>
      <c r="B518" t="inlineStr">
        <is>
          <t>H68</t>
        </is>
      </c>
      <c r="C518" t="n">
        <v>68</v>
      </c>
      <c r="D518" t="n">
        <v>8</v>
      </c>
      <c r="E518" t="inlineStr">
        <is>
          <t>Input</t>
        </is>
      </c>
      <c r="F518" t="n">
        <v/>
      </c>
      <c r="G518" t="n">
        <v>0</v>
      </c>
      <c r="H518" t="inlineStr"/>
      <c r="I518" t="inlineStr">
        <is>
          <t>General</t>
        </is>
      </c>
      <c r="J518" t="b">
        <v>0</v>
      </c>
      <c r="K518" t="b">
        <v>0</v>
      </c>
      <c r="L518" t="n">
        <v>11</v>
      </c>
      <c r="M518" t="inlineStr">
        <is>
          <t>FF000000</t>
        </is>
      </c>
      <c r="N518" t="inlineStr">
        <is>
          <t>00000000</t>
        </is>
      </c>
      <c r="O518" t="n">
        <v/>
      </c>
      <c r="P518" t="n">
        <v/>
      </c>
      <c r="R518" t="b">
        <v>1</v>
      </c>
      <c r="S518" t="n">
        <v/>
      </c>
      <c r="T518" t="n">
        <v/>
      </c>
      <c r="U518" t="n">
        <v/>
      </c>
      <c r="V518" t="b">
        <v>0</v>
      </c>
      <c r="W518" t="inlineStr"/>
      <c r="X518" t="n">
        <v/>
      </c>
    </row>
    <row r="519">
      <c r="A519" t="inlineStr">
        <is>
          <t>Asset schedule</t>
        </is>
      </c>
      <c r="B519" t="inlineStr">
        <is>
          <t>I68</t>
        </is>
      </c>
      <c r="C519" t="n">
        <v>68</v>
      </c>
      <c r="D519" t="n">
        <v>9</v>
      </c>
      <c r="E519" t="inlineStr">
        <is>
          <t>Input</t>
        </is>
      </c>
      <c r="F519" t="n">
        <v/>
      </c>
      <c r="G519" t="n">
        <v>0</v>
      </c>
      <c r="H519" t="inlineStr"/>
      <c r="I519" t="inlineStr">
        <is>
          <t>General</t>
        </is>
      </c>
      <c r="J519" t="b">
        <v>0</v>
      </c>
      <c r="K519" t="b">
        <v>0</v>
      </c>
      <c r="L519" t="n">
        <v>11</v>
      </c>
      <c r="M519" t="inlineStr">
        <is>
          <t>FF000000</t>
        </is>
      </c>
      <c r="N519" t="inlineStr">
        <is>
          <t>00000000</t>
        </is>
      </c>
      <c r="O519" t="n">
        <v/>
      </c>
      <c r="P519" t="n">
        <v/>
      </c>
      <c r="R519" t="b">
        <v>1</v>
      </c>
      <c r="S519" t="n">
        <v/>
      </c>
      <c r="T519" t="n">
        <v/>
      </c>
      <c r="U519" t="n">
        <v/>
      </c>
      <c r="V519" t="b">
        <v>0</v>
      </c>
      <c r="W519" t="inlineStr"/>
      <c r="X519" t="n">
        <v/>
      </c>
    </row>
    <row r="520">
      <c r="A520" t="inlineStr">
        <is>
          <t>Asset schedule</t>
        </is>
      </c>
      <c r="B520" t="inlineStr">
        <is>
          <t>A69</t>
        </is>
      </c>
      <c r="C520" t="n">
        <v>69</v>
      </c>
      <c r="D520" t="n">
        <v>1</v>
      </c>
      <c r="E520" t="inlineStr">
        <is>
          <t>Input</t>
        </is>
      </c>
      <c r="F520" t="n">
        <v/>
      </c>
      <c r="G520" t="inlineStr">
        <is>
          <t>Less: Dep</t>
        </is>
      </c>
      <c r="H520" t="inlineStr"/>
      <c r="I520" t="inlineStr">
        <is>
          <t>General</t>
        </is>
      </c>
      <c r="J520" t="b">
        <v>0</v>
      </c>
      <c r="K520" t="b">
        <v>0</v>
      </c>
      <c r="L520" t="n">
        <v>11</v>
      </c>
      <c r="M520" t="inlineStr">
        <is>
          <t>FF000000</t>
        </is>
      </c>
      <c r="N520" t="inlineStr">
        <is>
          <t>00000000</t>
        </is>
      </c>
      <c r="O520" t="n">
        <v/>
      </c>
      <c r="P520" t="n">
        <v/>
      </c>
      <c r="R520" t="b">
        <v>1</v>
      </c>
      <c r="S520" t="n">
        <v/>
      </c>
      <c r="T520" t="n">
        <v/>
      </c>
      <c r="U520" t="n">
        <v/>
      </c>
      <c r="V520" t="b">
        <v>0</v>
      </c>
      <c r="W520" t="inlineStr"/>
      <c r="X520" t="n">
        <v/>
      </c>
    </row>
    <row r="521">
      <c r="A521" t="inlineStr">
        <is>
          <t>Asset schedule</t>
        </is>
      </c>
      <c r="B521" t="inlineStr">
        <is>
          <t>D69</t>
        </is>
      </c>
      <c r="C521" t="n">
        <v>69</v>
      </c>
      <c r="D521" t="n">
        <v>4</v>
      </c>
      <c r="E521" t="inlineStr">
        <is>
          <t>Input</t>
        </is>
      </c>
      <c r="F521" t="n">
        <v/>
      </c>
      <c r="G521" t="n">
        <v>2.47</v>
      </c>
      <c r="H521" t="inlineStr"/>
      <c r="I521" t="inlineStr">
        <is>
          <t>General</t>
        </is>
      </c>
      <c r="J521" t="b">
        <v>0</v>
      </c>
      <c r="K521" t="b">
        <v>0</v>
      </c>
      <c r="L521" t="n">
        <v>11</v>
      </c>
      <c r="M521" t="inlineStr">
        <is>
          <t>FF000000</t>
        </is>
      </c>
      <c r="N521" t="inlineStr">
        <is>
          <t>00000000</t>
        </is>
      </c>
      <c r="O521" t="n">
        <v/>
      </c>
      <c r="P521" t="n">
        <v/>
      </c>
      <c r="R521" t="b">
        <v>1</v>
      </c>
      <c r="S521" t="n">
        <v/>
      </c>
      <c r="T521" t="n">
        <v/>
      </c>
      <c r="U521" t="n">
        <v/>
      </c>
      <c r="V521" t="b">
        <v>0</v>
      </c>
      <c r="W521" t="inlineStr"/>
      <c r="X521" t="n">
        <v/>
      </c>
    </row>
    <row r="522">
      <c r="A522" t="inlineStr">
        <is>
          <t>Asset schedule</t>
        </is>
      </c>
      <c r="B522" t="inlineStr">
        <is>
          <t>E69</t>
        </is>
      </c>
      <c r="C522" t="n">
        <v>69</v>
      </c>
      <c r="D522" t="n">
        <v>5</v>
      </c>
      <c r="E522" t="inlineStr">
        <is>
          <t>Calculation</t>
        </is>
      </c>
      <c r="F522" t="inlineStr">
        <is>
          <t>'=E66*$B71</t>
        </is>
      </c>
      <c r="G522" t="n">
        <v>2.320724247614387</v>
      </c>
      <c r="H522" t="inlineStr"/>
      <c r="I522" t="inlineStr">
        <is>
          <t>0.0</t>
        </is>
      </c>
      <c r="J522" t="b">
        <v>0</v>
      </c>
      <c r="K522" t="b">
        <v>0</v>
      </c>
      <c r="L522" t="n">
        <v>11</v>
      </c>
      <c r="M522" t="inlineStr">
        <is>
          <t>FF000000</t>
        </is>
      </c>
      <c r="N522" t="inlineStr">
        <is>
          <t>00000000</t>
        </is>
      </c>
      <c r="O522" t="n">
        <v/>
      </c>
      <c r="P522" t="n">
        <v/>
      </c>
      <c r="R522" t="b">
        <v>1</v>
      </c>
      <c r="S522" t="inlineStr">
        <is>
          <t>G000109</t>
        </is>
      </c>
      <c r="T522" t="inlineStr">
        <is>
          <t>Horizontal</t>
        </is>
      </c>
      <c r="U522" t="n">
        <v>5</v>
      </c>
      <c r="V522" t="b">
        <v>1</v>
      </c>
      <c r="W522" t="inlineStr">
        <is>
          <t>Asset schedule!E69:I69</t>
        </is>
      </c>
      <c r="X522">
        <f>R[-3]C[0]*R[2]C2</f>
        <v/>
      </c>
    </row>
    <row r="523">
      <c r="A523" t="inlineStr">
        <is>
          <t>Asset schedule</t>
        </is>
      </c>
      <c r="B523" t="inlineStr">
        <is>
          <t>F69</t>
        </is>
      </c>
      <c r="C523" t="n">
        <v>69</v>
      </c>
      <c r="D523" t="n">
        <v>6</v>
      </c>
      <c r="E523" t="inlineStr">
        <is>
          <t>Calculation</t>
        </is>
      </c>
      <c r="F523" t="inlineStr">
        <is>
          <t>'=F66*$B71</t>
        </is>
      </c>
      <c r="G523" t="n">
        <v>3.272240914403807</v>
      </c>
      <c r="H523" t="inlineStr"/>
      <c r="I523" t="inlineStr">
        <is>
          <t>0.0</t>
        </is>
      </c>
      <c r="J523" t="b">
        <v>0</v>
      </c>
      <c r="K523" t="b">
        <v>0</v>
      </c>
      <c r="L523" t="n">
        <v>11</v>
      </c>
      <c r="M523" t="inlineStr">
        <is>
          <t>FF000000</t>
        </is>
      </c>
      <c r="N523" t="inlineStr">
        <is>
          <t>00000000</t>
        </is>
      </c>
      <c r="O523" t="n">
        <v/>
      </c>
      <c r="P523" t="n">
        <v/>
      </c>
      <c r="R523" t="b">
        <v>1</v>
      </c>
      <c r="S523" t="inlineStr">
        <is>
          <t>G000109</t>
        </is>
      </c>
      <c r="T523" t="inlineStr">
        <is>
          <t>Horizontal</t>
        </is>
      </c>
      <c r="U523" t="n">
        <v>5</v>
      </c>
      <c r="V523" t="b">
        <v>1</v>
      </c>
      <c r="W523" t="inlineStr">
        <is>
          <t>Asset schedule!E69:I69</t>
        </is>
      </c>
      <c r="X523">
        <f>R[-3]C[0]*R[2]C2</f>
        <v/>
      </c>
    </row>
    <row r="524">
      <c r="A524" t="inlineStr">
        <is>
          <t>Asset schedule</t>
        </is>
      </c>
      <c r="B524" t="inlineStr">
        <is>
          <t>G69</t>
        </is>
      </c>
      <c r="C524" t="n">
        <v>69</v>
      </c>
      <c r="D524" t="n">
        <v>7</v>
      </c>
      <c r="E524" t="inlineStr">
        <is>
          <t>Calculation</t>
        </is>
      </c>
      <c r="F524" t="inlineStr">
        <is>
          <t>'=G66*$B71</t>
        </is>
      </c>
      <c r="G524" t="n">
        <v>4.249145883191035</v>
      </c>
      <c r="H524" t="inlineStr"/>
      <c r="I524" t="inlineStr">
        <is>
          <t>0.0</t>
        </is>
      </c>
      <c r="J524" t="b">
        <v>0</v>
      </c>
      <c r="K524" t="b">
        <v>0</v>
      </c>
      <c r="L524" t="n">
        <v>11</v>
      </c>
      <c r="M524" t="inlineStr">
        <is>
          <t>FF000000</t>
        </is>
      </c>
      <c r="N524" t="inlineStr">
        <is>
          <t>00000000</t>
        </is>
      </c>
      <c r="O524" t="n">
        <v/>
      </c>
      <c r="P524" t="n">
        <v/>
      </c>
      <c r="R524" t="b">
        <v>1</v>
      </c>
      <c r="S524" t="inlineStr">
        <is>
          <t>G000109</t>
        </is>
      </c>
      <c r="T524" t="inlineStr">
        <is>
          <t>Horizontal</t>
        </is>
      </c>
      <c r="U524" t="n">
        <v>5</v>
      </c>
      <c r="V524" t="b">
        <v>1</v>
      </c>
      <c r="W524" t="inlineStr">
        <is>
          <t>Asset schedule!E69:I69</t>
        </is>
      </c>
      <c r="X524">
        <f>R[-3]C[0]*R[2]C2</f>
        <v/>
      </c>
    </row>
    <row r="525">
      <c r="A525" t="inlineStr">
        <is>
          <t>Asset schedule</t>
        </is>
      </c>
      <c r="B525" t="inlineStr">
        <is>
          <t>H69</t>
        </is>
      </c>
      <c r="C525" t="n">
        <v>69</v>
      </c>
      <c r="D525" t="n">
        <v>8</v>
      </c>
      <c r="E525" t="inlineStr">
        <is>
          <t>Calculation</t>
        </is>
      </c>
      <c r="F525" t="inlineStr">
        <is>
          <t>'=H66*$B71</t>
        </is>
      </c>
      <c r="G525" t="n">
        <v>5.255464742754373</v>
      </c>
      <c r="H525" t="inlineStr"/>
      <c r="I525" t="inlineStr">
        <is>
          <t>0.0</t>
        </is>
      </c>
      <c r="J525" t="b">
        <v>0</v>
      </c>
      <c r="K525" t="b">
        <v>0</v>
      </c>
      <c r="L525" t="n">
        <v>11</v>
      </c>
      <c r="M525" t="inlineStr">
        <is>
          <t>FF000000</t>
        </is>
      </c>
      <c r="N525" t="inlineStr">
        <is>
          <t>00000000</t>
        </is>
      </c>
      <c r="O525" t="n">
        <v/>
      </c>
      <c r="P525" t="n">
        <v/>
      </c>
      <c r="R525" t="b">
        <v>1</v>
      </c>
      <c r="S525" t="inlineStr">
        <is>
          <t>G000109</t>
        </is>
      </c>
      <c r="T525" t="inlineStr">
        <is>
          <t>Horizontal</t>
        </is>
      </c>
      <c r="U525" t="n">
        <v>5</v>
      </c>
      <c r="V525" t="b">
        <v>1</v>
      </c>
      <c r="W525" t="inlineStr">
        <is>
          <t>Asset schedule!E69:I69</t>
        </is>
      </c>
      <c r="X525">
        <f>R[-3]C[0]*R[2]C2</f>
        <v/>
      </c>
    </row>
    <row r="526">
      <c r="A526" t="inlineStr">
        <is>
          <t>Asset schedule</t>
        </is>
      </c>
      <c r="B526" t="inlineStr">
        <is>
          <t>I69</t>
        </is>
      </c>
      <c r="C526" t="n">
        <v>69</v>
      </c>
      <c r="D526" t="n">
        <v>9</v>
      </c>
      <c r="E526" t="inlineStr">
        <is>
          <t>Calculation</t>
        </is>
      </c>
      <c r="F526" t="inlineStr">
        <is>
          <t>'=I66*$B71</t>
        </is>
      </c>
      <c r="G526" t="n">
        <v>6.295328553427638</v>
      </c>
      <c r="H526" t="inlineStr"/>
      <c r="I526" t="inlineStr">
        <is>
          <t>0.0</t>
        </is>
      </c>
      <c r="J526" t="b">
        <v>0</v>
      </c>
      <c r="K526" t="b">
        <v>0</v>
      </c>
      <c r="L526" t="n">
        <v>11</v>
      </c>
      <c r="M526" t="inlineStr">
        <is>
          <t>FF000000</t>
        </is>
      </c>
      <c r="N526" t="inlineStr">
        <is>
          <t>00000000</t>
        </is>
      </c>
      <c r="O526" t="n">
        <v/>
      </c>
      <c r="P526" t="n">
        <v/>
      </c>
      <c r="R526" t="b">
        <v>1</v>
      </c>
      <c r="S526" t="inlineStr">
        <is>
          <t>G000109</t>
        </is>
      </c>
      <c r="T526" t="inlineStr">
        <is>
          <t>Horizontal</t>
        </is>
      </c>
      <c r="U526" t="n">
        <v>5</v>
      </c>
      <c r="V526" t="b">
        <v>1</v>
      </c>
      <c r="W526" t="inlineStr">
        <is>
          <t>Asset schedule!E69:I69</t>
        </is>
      </c>
      <c r="X526">
        <f>R[-3]C[0]*R[2]C2</f>
        <v/>
      </c>
    </row>
    <row r="527">
      <c r="A527" t="inlineStr">
        <is>
          <t>Asset schedule</t>
        </is>
      </c>
      <c r="B527" t="inlineStr">
        <is>
          <t>A70</t>
        </is>
      </c>
      <c r="C527" t="n">
        <v>70</v>
      </c>
      <c r="D527" t="n">
        <v>1</v>
      </c>
      <c r="E527" t="inlineStr">
        <is>
          <t>Input</t>
        </is>
      </c>
      <c r="F527" t="n">
        <v/>
      </c>
      <c r="G527" t="inlineStr">
        <is>
          <t>Closing balance</t>
        </is>
      </c>
      <c r="H527" t="inlineStr"/>
      <c r="I527" t="inlineStr">
        <is>
          <t>General</t>
        </is>
      </c>
      <c r="J527" t="b">
        <v>0</v>
      </c>
      <c r="K527" t="b">
        <v>0</v>
      </c>
      <c r="L527" t="n">
        <v>11</v>
      </c>
      <c r="M527" t="inlineStr">
        <is>
          <t>FF000000</t>
        </is>
      </c>
      <c r="N527" t="inlineStr">
        <is>
          <t>00000000</t>
        </is>
      </c>
      <c r="O527" t="n">
        <v/>
      </c>
      <c r="P527" t="n">
        <v/>
      </c>
      <c r="R527" t="b">
        <v>1</v>
      </c>
      <c r="S527" t="n">
        <v/>
      </c>
      <c r="T527" t="n">
        <v/>
      </c>
      <c r="U527" t="n">
        <v/>
      </c>
      <c r="V527" t="b">
        <v>0</v>
      </c>
      <c r="W527" t="inlineStr"/>
      <c r="X527" t="n">
        <v/>
      </c>
    </row>
    <row r="528">
      <c r="A528" t="inlineStr">
        <is>
          <t>Asset schedule</t>
        </is>
      </c>
      <c r="B528" t="inlineStr">
        <is>
          <t>D70</t>
        </is>
      </c>
      <c r="C528" t="n">
        <v>70</v>
      </c>
      <c r="D528" t="n">
        <v>4</v>
      </c>
      <c r="E528" t="inlineStr">
        <is>
          <t>Input</t>
        </is>
      </c>
      <c r="F528" t="n">
        <v/>
      </c>
      <c r="G528" t="n">
        <v>38.4</v>
      </c>
      <c r="H528" t="inlineStr"/>
      <c r="I528" t="inlineStr">
        <is>
          <t>General</t>
        </is>
      </c>
      <c r="J528" t="b">
        <v>0</v>
      </c>
      <c r="K528" t="b">
        <v>0</v>
      </c>
      <c r="L528" t="n">
        <v>11</v>
      </c>
      <c r="M528" t="inlineStr">
        <is>
          <t>FF000000</t>
        </is>
      </c>
      <c r="N528" t="inlineStr">
        <is>
          <t>00000000</t>
        </is>
      </c>
      <c r="O528" t="n">
        <v/>
      </c>
      <c r="P528" t="n">
        <v/>
      </c>
      <c r="R528" t="b">
        <v>1</v>
      </c>
      <c r="S528" t="n">
        <v/>
      </c>
      <c r="T528" t="n">
        <v/>
      </c>
      <c r="U528" t="n">
        <v/>
      </c>
      <c r="V528" t="b">
        <v>0</v>
      </c>
      <c r="W528" t="inlineStr"/>
      <c r="X528" t="n">
        <v/>
      </c>
    </row>
    <row r="529">
      <c r="A529" t="inlineStr">
        <is>
          <t>Asset schedule</t>
        </is>
      </c>
      <c r="B529" t="inlineStr">
        <is>
          <t>E70</t>
        </is>
      </c>
      <c r="C529" t="n">
        <v>70</v>
      </c>
      <c r="D529" t="n">
        <v>5</v>
      </c>
      <c r="E529" t="inlineStr">
        <is>
          <t>Calculation</t>
        </is>
      </c>
      <c r="F529" t="inlineStr">
        <is>
          <t>'=E66+E67-E68-E69</t>
        </is>
      </c>
      <c r="G529" t="n">
        <v>54.14432638529701</v>
      </c>
      <c r="H529" t="inlineStr"/>
      <c r="I529" t="inlineStr">
        <is>
          <t>0.00</t>
        </is>
      </c>
      <c r="J529" t="b">
        <v>0</v>
      </c>
      <c r="K529" t="b">
        <v>0</v>
      </c>
      <c r="L529" t="n">
        <v>11</v>
      </c>
      <c r="M529" t="inlineStr">
        <is>
          <t>FF000000</t>
        </is>
      </c>
      <c r="N529" t="inlineStr">
        <is>
          <t>00000000</t>
        </is>
      </c>
      <c r="O529" t="n">
        <v/>
      </c>
      <c r="P529" t="n">
        <v/>
      </c>
      <c r="R529" t="b">
        <v>1</v>
      </c>
      <c r="S529" t="inlineStr">
        <is>
          <t>G000133</t>
        </is>
      </c>
      <c r="T529" t="inlineStr">
        <is>
          <t>Horizontal</t>
        </is>
      </c>
      <c r="U529" t="n">
        <v>5</v>
      </c>
      <c r="V529" t="b">
        <v>1</v>
      </c>
      <c r="W529" t="inlineStr">
        <is>
          <t>Asset schedule!E70:I70</t>
        </is>
      </c>
      <c r="X529">
        <f>R[-4]C[0]+R[-3]C[0]-R[-2]C[0]-R[-1]C[0]</f>
        <v/>
      </c>
    </row>
    <row r="530">
      <c r="A530" t="inlineStr">
        <is>
          <t>Asset schedule</t>
        </is>
      </c>
      <c r="B530" t="inlineStr">
        <is>
          <t>F70</t>
        </is>
      </c>
      <c r="C530" t="n">
        <v>70</v>
      </c>
      <c r="D530" t="n">
        <v>6</v>
      </c>
      <c r="E530" t="inlineStr">
        <is>
          <t>Calculation</t>
        </is>
      </c>
      <c r="F530" t="inlineStr">
        <is>
          <t>'=F66+F67-F68-F69</t>
        </is>
      </c>
      <c r="G530" t="n">
        <v>70.30874180000713</v>
      </c>
      <c r="H530" t="inlineStr"/>
      <c r="I530" t="inlineStr">
        <is>
          <t>0.00</t>
        </is>
      </c>
      <c r="J530" t="b">
        <v>0</v>
      </c>
      <c r="K530" t="b">
        <v>0</v>
      </c>
      <c r="L530" t="n">
        <v>11</v>
      </c>
      <c r="M530" t="inlineStr">
        <is>
          <t>FF000000</t>
        </is>
      </c>
      <c r="N530" t="inlineStr">
        <is>
          <t>00000000</t>
        </is>
      </c>
      <c r="O530" t="n">
        <v/>
      </c>
      <c r="P530" t="n">
        <v/>
      </c>
      <c r="R530" t="b">
        <v>1</v>
      </c>
      <c r="S530" t="inlineStr">
        <is>
          <t>G000133</t>
        </is>
      </c>
      <c r="T530" t="inlineStr">
        <is>
          <t>Horizontal</t>
        </is>
      </c>
      <c r="U530" t="n">
        <v>5</v>
      </c>
      <c r="V530" t="b">
        <v>1</v>
      </c>
      <c r="W530" t="inlineStr">
        <is>
          <t>Asset schedule!E70:I70</t>
        </is>
      </c>
      <c r="X530">
        <f>R[-4]C[0]+R[-3]C[0]-R[-2]C[0]-R[-1]C[0]</f>
        <v/>
      </c>
    </row>
    <row r="531">
      <c r="A531" t="inlineStr">
        <is>
          <t>Asset schedule</t>
        </is>
      </c>
      <c r="B531" t="inlineStr">
        <is>
          <t>G70</t>
        </is>
      </c>
      <c r="C531" t="n">
        <v>70</v>
      </c>
      <c r="D531" t="n">
        <v>7</v>
      </c>
      <c r="E531" t="inlineStr">
        <is>
          <t>Calculation</t>
        </is>
      </c>
      <c r="F531" t="inlineStr">
        <is>
          <t>'=G66+G67-G68-G69</t>
        </is>
      </c>
      <c r="G531" t="n">
        <v>86.95985588517053</v>
      </c>
      <c r="H531" t="inlineStr"/>
      <c r="I531" t="inlineStr">
        <is>
          <t>0.00</t>
        </is>
      </c>
      <c r="J531" t="b">
        <v>0</v>
      </c>
      <c r="K531" t="b">
        <v>0</v>
      </c>
      <c r="L531" t="n">
        <v>11</v>
      </c>
      <c r="M531" t="inlineStr">
        <is>
          <t>FF000000</t>
        </is>
      </c>
      <c r="N531" t="inlineStr">
        <is>
          <t>00000000</t>
        </is>
      </c>
      <c r="O531" t="n">
        <v/>
      </c>
      <c r="P531" t="n">
        <v/>
      </c>
      <c r="R531" t="b">
        <v>1</v>
      </c>
      <c r="S531" t="inlineStr">
        <is>
          <t>G000133</t>
        </is>
      </c>
      <c r="T531" t="inlineStr">
        <is>
          <t>Horizontal</t>
        </is>
      </c>
      <c r="U531" t="n">
        <v>5</v>
      </c>
      <c r="V531" t="b">
        <v>1</v>
      </c>
      <c r="W531" t="inlineStr">
        <is>
          <t>Asset schedule!E70:I70</t>
        </is>
      </c>
      <c r="X531">
        <f>R[-4]C[0]+R[-3]C[0]-R[-2]C[0]-R[-1]C[0]</f>
        <v/>
      </c>
    </row>
    <row r="532">
      <c r="A532" t="inlineStr">
        <is>
          <t>Asset schedule</t>
        </is>
      </c>
      <c r="B532" t="inlineStr">
        <is>
          <t>H70</t>
        </is>
      </c>
      <c r="C532" t="n">
        <v>70</v>
      </c>
      <c r="D532" t="n">
        <v>8</v>
      </c>
      <c r="E532" t="inlineStr">
        <is>
          <t>Calculation</t>
        </is>
      </c>
      <c r="F532" t="inlineStr">
        <is>
          <t>'=H66+H67-H68-H69</t>
        </is>
      </c>
      <c r="G532" t="n">
        <v>104.1660234731124</v>
      </c>
      <c r="H532" t="inlineStr"/>
      <c r="I532" t="inlineStr">
        <is>
          <t>0.00</t>
        </is>
      </c>
      <c r="J532" t="b">
        <v>0</v>
      </c>
      <c r="K532" t="b">
        <v>0</v>
      </c>
      <c r="L532" t="n">
        <v>11</v>
      </c>
      <c r="M532" t="inlineStr">
        <is>
          <t>FF000000</t>
        </is>
      </c>
      <c r="N532" t="inlineStr">
        <is>
          <t>00000000</t>
        </is>
      </c>
      <c r="O532" t="n">
        <v/>
      </c>
      <c r="P532" t="n">
        <v/>
      </c>
      <c r="R532" t="b">
        <v>1</v>
      </c>
      <c r="S532" t="inlineStr">
        <is>
          <t>G000133</t>
        </is>
      </c>
      <c r="T532" t="inlineStr">
        <is>
          <t>Horizontal</t>
        </is>
      </c>
      <c r="U532" t="n">
        <v>5</v>
      </c>
      <c r="V532" t="b">
        <v>1</v>
      </c>
      <c r="W532" t="inlineStr">
        <is>
          <t>Asset schedule!E70:I70</t>
        </is>
      </c>
      <c r="X532">
        <f>R[-4]C[0]+R[-3]C[0]-R[-2]C[0]-R[-1]C[0]</f>
        <v/>
      </c>
    </row>
    <row r="533">
      <c r="A533" t="inlineStr">
        <is>
          <t>Asset schedule</t>
        </is>
      </c>
      <c r="B533" t="inlineStr">
        <is>
          <t>I70</t>
        </is>
      </c>
      <c r="C533" t="n">
        <v>70</v>
      </c>
      <c r="D533" t="n">
        <v>9</v>
      </c>
      <c r="E533" t="inlineStr">
        <is>
          <t>Calculation</t>
        </is>
      </c>
      <c r="F533" t="inlineStr">
        <is>
          <t>'=I66+I67-I68-I69</t>
        </is>
      </c>
      <c r="G533" t="n">
        <v>121.997586199036</v>
      </c>
      <c r="H533" t="inlineStr"/>
      <c r="I533" t="inlineStr">
        <is>
          <t>0.00</t>
        </is>
      </c>
      <c r="J533" t="b">
        <v>0</v>
      </c>
      <c r="K533" t="b">
        <v>0</v>
      </c>
      <c r="L533" t="n">
        <v>11</v>
      </c>
      <c r="M533" t="inlineStr">
        <is>
          <t>FF000000</t>
        </is>
      </c>
      <c r="N533" t="inlineStr">
        <is>
          <t>00000000</t>
        </is>
      </c>
      <c r="O533" t="n">
        <v/>
      </c>
      <c r="P533" t="n">
        <v/>
      </c>
      <c r="R533" t="b">
        <v>1</v>
      </c>
      <c r="S533" t="inlineStr">
        <is>
          <t>G000133</t>
        </is>
      </c>
      <c r="T533" t="inlineStr">
        <is>
          <t>Horizontal</t>
        </is>
      </c>
      <c r="U533" t="n">
        <v>5</v>
      </c>
      <c r="V533" t="b">
        <v>1</v>
      </c>
      <c r="W533" t="inlineStr">
        <is>
          <t>Asset schedule!E70:I70</t>
        </is>
      </c>
      <c r="X533">
        <f>R[-4]C[0]+R[-3]C[0]-R[-2]C[0]-R[-1]C[0]</f>
        <v/>
      </c>
    </row>
    <row r="534">
      <c r="A534" t="inlineStr">
        <is>
          <t>Asset schedule</t>
        </is>
      </c>
      <c r="B534" t="inlineStr">
        <is>
          <t>A71</t>
        </is>
      </c>
      <c r="C534" t="n">
        <v>71</v>
      </c>
      <c r="D534" t="n">
        <v>1</v>
      </c>
      <c r="E534" t="inlineStr">
        <is>
          <t>Input</t>
        </is>
      </c>
      <c r="F534" t="n">
        <v/>
      </c>
      <c r="G534" t="inlineStr">
        <is>
          <t>Depreciation rate</t>
        </is>
      </c>
      <c r="H534" t="inlineStr"/>
      <c r="I534" t="inlineStr">
        <is>
          <t>General</t>
        </is>
      </c>
      <c r="J534" t="b">
        <v>0</v>
      </c>
      <c r="K534" t="b">
        <v>0</v>
      </c>
      <c r="L534" t="n">
        <v>11</v>
      </c>
      <c r="M534" t="inlineStr">
        <is>
          <t>FF000000</t>
        </is>
      </c>
      <c r="N534" t="inlineStr">
        <is>
          <t>00000000</t>
        </is>
      </c>
      <c r="O534" t="n">
        <v/>
      </c>
      <c r="P534" t="n">
        <v/>
      </c>
      <c r="R534" t="b">
        <v>1</v>
      </c>
      <c r="S534" t="n">
        <v/>
      </c>
      <c r="T534" t="n">
        <v/>
      </c>
      <c r="U534" t="n">
        <v/>
      </c>
      <c r="V534" t="b">
        <v>0</v>
      </c>
      <c r="W534" t="inlineStr"/>
      <c r="X534" t="n">
        <v/>
      </c>
    </row>
    <row r="535">
      <c r="A535" t="inlineStr">
        <is>
          <t>Asset schedule</t>
        </is>
      </c>
      <c r="B535" t="inlineStr">
        <is>
          <t>B71</t>
        </is>
      </c>
      <c r="C535" t="n">
        <v>71</v>
      </c>
      <c r="D535" t="n">
        <v>2</v>
      </c>
      <c r="E535" t="inlineStr">
        <is>
          <t>Calculation</t>
        </is>
      </c>
      <c r="F535" t="inlineStr">
        <is>
          <t>'=D69/(D66+D67-D68)</t>
        </is>
      </c>
      <c r="G535" t="n">
        <v>0.06043552728162466</v>
      </c>
      <c r="H535" t="inlineStr"/>
      <c r="I535" t="inlineStr">
        <is>
          <t>0%</t>
        </is>
      </c>
      <c r="J535" t="b">
        <v>0</v>
      </c>
      <c r="K535" t="b">
        <v>0</v>
      </c>
      <c r="L535" t="n">
        <v>11</v>
      </c>
      <c r="M535" t="inlineStr">
        <is>
          <t>FF000000</t>
        </is>
      </c>
      <c r="N535" t="inlineStr">
        <is>
          <t>00000000</t>
        </is>
      </c>
      <c r="O535" t="n">
        <v/>
      </c>
      <c r="P535" t="n">
        <v/>
      </c>
      <c r="R535" t="b">
        <v>1</v>
      </c>
      <c r="S535" t="inlineStr">
        <is>
          <t>G000136</t>
        </is>
      </c>
      <c r="T535" t="inlineStr">
        <is>
          <t>Block</t>
        </is>
      </c>
      <c r="U535" t="n">
        <v>11</v>
      </c>
      <c r="V535" t="b">
        <v>1</v>
      </c>
      <c r="W535" t="inlineStr">
        <is>
          <t>Asset schedule!B7:B87</t>
        </is>
      </c>
      <c r="X535">
        <f>R[-2]C[2]/(R[-5]C[2]+R[-4]C[2]-R[-3]C[2])</f>
        <v/>
      </c>
    </row>
    <row r="536">
      <c r="A536" t="inlineStr">
        <is>
          <t>Asset schedule</t>
        </is>
      </c>
      <c r="B536" t="inlineStr">
        <is>
          <t>A73</t>
        </is>
      </c>
      <c r="C536" t="n">
        <v>73</v>
      </c>
      <c r="D536" t="n">
        <v>1</v>
      </c>
      <c r="E536" t="inlineStr">
        <is>
          <t>Input</t>
        </is>
      </c>
      <c r="F536" t="n">
        <v/>
      </c>
      <c r="G536" t="inlineStr">
        <is>
          <t>Vehicles</t>
        </is>
      </c>
      <c r="H536" t="inlineStr"/>
      <c r="I536" t="inlineStr">
        <is>
          <t>General</t>
        </is>
      </c>
      <c r="J536" t="b">
        <v>1</v>
      </c>
      <c r="K536" t="b">
        <v>0</v>
      </c>
      <c r="L536" t="n">
        <v>11</v>
      </c>
      <c r="M536" t="inlineStr">
        <is>
          <t>FF000000</t>
        </is>
      </c>
      <c r="N536" t="inlineStr">
        <is>
          <t>00000000</t>
        </is>
      </c>
      <c r="O536" t="n">
        <v/>
      </c>
      <c r="P536" t="n">
        <v/>
      </c>
      <c r="R536" t="b">
        <v>1</v>
      </c>
      <c r="S536" t="n">
        <v/>
      </c>
      <c r="T536" t="n">
        <v/>
      </c>
      <c r="U536" t="n">
        <v/>
      </c>
      <c r="V536" t="b">
        <v>0</v>
      </c>
      <c r="W536" t="inlineStr"/>
      <c r="X536" t="n">
        <v/>
      </c>
    </row>
    <row r="537">
      <c r="A537" t="inlineStr">
        <is>
          <t>Asset schedule</t>
        </is>
      </c>
      <c r="B537" t="inlineStr">
        <is>
          <t>B73</t>
        </is>
      </c>
      <c r="C537" t="n">
        <v>73</v>
      </c>
      <c r="D537" t="n">
        <v>2</v>
      </c>
      <c r="E537" t="inlineStr">
        <is>
          <t>Input</t>
        </is>
      </c>
      <c r="F537" t="n">
        <v/>
      </c>
      <c r="G537" t="n">
        <v>2015</v>
      </c>
      <c r="H537" t="inlineStr"/>
      <c r="I537" t="inlineStr">
        <is>
          <t>General</t>
        </is>
      </c>
      <c r="J537" t="b">
        <v>1</v>
      </c>
      <c r="K537" t="b">
        <v>0</v>
      </c>
      <c r="L537" t="n">
        <v>11</v>
      </c>
      <c r="M537" t="inlineStr">
        <is>
          <t>Values must be of type &lt;class 'str'&gt;</t>
        </is>
      </c>
      <c r="N537" t="inlineStr">
        <is>
          <t>Values must be of type &lt;class 'str'&gt;</t>
        </is>
      </c>
      <c r="O537" t="inlineStr">
        <is>
          <t>center</t>
        </is>
      </c>
      <c r="P537" t="inlineStr">
        <is>
          <t>center</t>
        </is>
      </c>
      <c r="R537" t="b">
        <v>1</v>
      </c>
      <c r="S537" t="n">
        <v/>
      </c>
      <c r="T537" t="n">
        <v/>
      </c>
      <c r="U537" t="n">
        <v/>
      </c>
      <c r="V537" t="b">
        <v>0</v>
      </c>
      <c r="W537" t="inlineStr"/>
      <c r="X537" t="n">
        <v/>
      </c>
    </row>
    <row r="538">
      <c r="A538" t="inlineStr">
        <is>
          <t>Asset schedule</t>
        </is>
      </c>
      <c r="B538" t="inlineStr">
        <is>
          <t>C73</t>
        </is>
      </c>
      <c r="C538" t="n">
        <v>73</v>
      </c>
      <c r="D538" t="n">
        <v>3</v>
      </c>
      <c r="E538" t="inlineStr">
        <is>
          <t>Input</t>
        </is>
      </c>
      <c r="F538" t="n">
        <v/>
      </c>
      <c r="G538" t="n">
        <v>2016</v>
      </c>
      <c r="H538" t="inlineStr"/>
      <c r="I538" t="inlineStr">
        <is>
          <t>General</t>
        </is>
      </c>
      <c r="J538" t="b">
        <v>1</v>
      </c>
      <c r="K538" t="b">
        <v>0</v>
      </c>
      <c r="L538" t="n">
        <v>11</v>
      </c>
      <c r="M538" t="inlineStr">
        <is>
          <t>Values must be of type &lt;class 'str'&gt;</t>
        </is>
      </c>
      <c r="N538" t="inlineStr">
        <is>
          <t>Values must be of type &lt;class 'str'&gt;</t>
        </is>
      </c>
      <c r="O538" t="inlineStr">
        <is>
          <t>center</t>
        </is>
      </c>
      <c r="P538" t="inlineStr">
        <is>
          <t>center</t>
        </is>
      </c>
      <c r="R538" t="b">
        <v>1</v>
      </c>
      <c r="S538" t="n">
        <v/>
      </c>
      <c r="T538" t="n">
        <v/>
      </c>
      <c r="U538" t="n">
        <v/>
      </c>
      <c r="V538" t="b">
        <v>0</v>
      </c>
      <c r="W538" t="inlineStr"/>
      <c r="X538" t="n">
        <v/>
      </c>
    </row>
    <row r="539">
      <c r="A539" t="inlineStr">
        <is>
          <t>Asset schedule</t>
        </is>
      </c>
      <c r="B539" t="inlineStr">
        <is>
          <t>D73</t>
        </is>
      </c>
      <c r="C539" t="n">
        <v>73</v>
      </c>
      <c r="D539" t="n">
        <v>4</v>
      </c>
      <c r="E539" t="inlineStr">
        <is>
          <t>Input</t>
        </is>
      </c>
      <c r="F539" t="n">
        <v/>
      </c>
      <c r="G539" t="n">
        <v>2017</v>
      </c>
      <c r="H539" t="inlineStr"/>
      <c r="I539" t="inlineStr">
        <is>
          <t>General</t>
        </is>
      </c>
      <c r="J539" t="b">
        <v>1</v>
      </c>
      <c r="K539" t="b">
        <v>0</v>
      </c>
      <c r="L539" t="n">
        <v>11</v>
      </c>
      <c r="M539" t="inlineStr">
        <is>
          <t>Values must be of type &lt;class 'str'&gt;</t>
        </is>
      </c>
      <c r="N539" t="inlineStr">
        <is>
          <t>Values must be of type &lt;class 'str'&gt;</t>
        </is>
      </c>
      <c r="O539" t="inlineStr">
        <is>
          <t>center</t>
        </is>
      </c>
      <c r="P539" t="inlineStr">
        <is>
          <t>center</t>
        </is>
      </c>
      <c r="R539" t="b">
        <v>1</v>
      </c>
      <c r="S539" t="n">
        <v/>
      </c>
      <c r="T539" t="n">
        <v/>
      </c>
      <c r="U539" t="n">
        <v/>
      </c>
      <c r="V539" t="b">
        <v>0</v>
      </c>
      <c r="W539" t="inlineStr"/>
      <c r="X539" t="n">
        <v/>
      </c>
    </row>
    <row r="540">
      <c r="A540" t="inlineStr">
        <is>
          <t>Asset schedule</t>
        </is>
      </c>
      <c r="B540" t="inlineStr">
        <is>
          <t>E73</t>
        </is>
      </c>
      <c r="C540" t="n">
        <v>73</v>
      </c>
      <c r="D540" t="n">
        <v>5</v>
      </c>
      <c r="E540" t="inlineStr">
        <is>
          <t>Input</t>
        </is>
      </c>
      <c r="F540" t="n">
        <v/>
      </c>
      <c r="G540" t="inlineStr">
        <is>
          <t>2018 F</t>
        </is>
      </c>
      <c r="H540" t="inlineStr"/>
      <c r="I540" t="inlineStr">
        <is>
          <t>General</t>
        </is>
      </c>
      <c r="J540" t="b">
        <v>1</v>
      </c>
      <c r="K540" t="b">
        <v>0</v>
      </c>
      <c r="L540" t="n">
        <v>11</v>
      </c>
      <c r="M540" t="inlineStr">
        <is>
          <t>Values must be of type &lt;class 'str'&gt;</t>
        </is>
      </c>
      <c r="N540" t="inlineStr">
        <is>
          <t>Values must be of type &lt;class 'str'&gt;</t>
        </is>
      </c>
      <c r="O540" t="inlineStr">
        <is>
          <t>center</t>
        </is>
      </c>
      <c r="P540" t="inlineStr">
        <is>
          <t>center</t>
        </is>
      </c>
      <c r="R540" t="b">
        <v>1</v>
      </c>
      <c r="S540" t="n">
        <v/>
      </c>
      <c r="T540" t="n">
        <v/>
      </c>
      <c r="U540" t="n">
        <v/>
      </c>
      <c r="V540" t="b">
        <v>0</v>
      </c>
      <c r="W540" t="inlineStr"/>
      <c r="X540" t="n">
        <v/>
      </c>
    </row>
    <row r="541">
      <c r="A541" t="inlineStr">
        <is>
          <t>Asset schedule</t>
        </is>
      </c>
      <c r="B541" t="inlineStr">
        <is>
          <t>F73</t>
        </is>
      </c>
      <c r="C541" t="n">
        <v>73</v>
      </c>
      <c r="D541" t="n">
        <v>6</v>
      </c>
      <c r="E541" t="inlineStr">
        <is>
          <t>Input</t>
        </is>
      </c>
      <c r="F541" t="n">
        <v/>
      </c>
      <c r="G541" t="inlineStr">
        <is>
          <t>2019 F</t>
        </is>
      </c>
      <c r="H541" t="inlineStr"/>
      <c r="I541" t="inlineStr">
        <is>
          <t>General</t>
        </is>
      </c>
      <c r="J541" t="b">
        <v>1</v>
      </c>
      <c r="K541" t="b">
        <v>0</v>
      </c>
      <c r="L541" t="n">
        <v>11</v>
      </c>
      <c r="M541" t="inlineStr">
        <is>
          <t>Values must be of type &lt;class 'str'&gt;</t>
        </is>
      </c>
      <c r="N541" t="inlineStr">
        <is>
          <t>Values must be of type &lt;class 'str'&gt;</t>
        </is>
      </c>
      <c r="O541" t="inlineStr">
        <is>
          <t>center</t>
        </is>
      </c>
      <c r="P541" t="inlineStr">
        <is>
          <t>center</t>
        </is>
      </c>
      <c r="R541" t="b">
        <v>1</v>
      </c>
      <c r="S541" t="n">
        <v/>
      </c>
      <c r="T541" t="n">
        <v/>
      </c>
      <c r="U541" t="n">
        <v/>
      </c>
      <c r="V541" t="b">
        <v>0</v>
      </c>
      <c r="W541" t="inlineStr"/>
      <c r="X541" t="n">
        <v/>
      </c>
    </row>
    <row r="542">
      <c r="A542" t="inlineStr">
        <is>
          <t>Asset schedule</t>
        </is>
      </c>
      <c r="B542" t="inlineStr">
        <is>
          <t>G73</t>
        </is>
      </c>
      <c r="C542" t="n">
        <v>73</v>
      </c>
      <c r="D542" t="n">
        <v>7</v>
      </c>
      <c r="E542" t="inlineStr">
        <is>
          <t>Input</t>
        </is>
      </c>
      <c r="F542" t="n">
        <v/>
      </c>
      <c r="G542" t="inlineStr">
        <is>
          <t>2020 F</t>
        </is>
      </c>
      <c r="H542" t="inlineStr"/>
      <c r="I542" t="inlineStr">
        <is>
          <t>General</t>
        </is>
      </c>
      <c r="J542" t="b">
        <v>1</v>
      </c>
      <c r="K542" t="b">
        <v>0</v>
      </c>
      <c r="L542" t="n">
        <v>11</v>
      </c>
      <c r="M542" t="inlineStr">
        <is>
          <t>Values must be of type &lt;class 'str'&gt;</t>
        </is>
      </c>
      <c r="N542" t="inlineStr">
        <is>
          <t>Values must be of type &lt;class 'str'&gt;</t>
        </is>
      </c>
      <c r="O542" t="inlineStr">
        <is>
          <t>center</t>
        </is>
      </c>
      <c r="P542" t="inlineStr">
        <is>
          <t>center</t>
        </is>
      </c>
      <c r="R542" t="b">
        <v>1</v>
      </c>
      <c r="S542" t="n">
        <v/>
      </c>
      <c r="T542" t="n">
        <v/>
      </c>
      <c r="U542" t="n">
        <v/>
      </c>
      <c r="V542" t="b">
        <v>0</v>
      </c>
      <c r="W542" t="inlineStr"/>
      <c r="X542" t="n">
        <v/>
      </c>
    </row>
    <row r="543">
      <c r="A543" t="inlineStr">
        <is>
          <t>Asset schedule</t>
        </is>
      </c>
      <c r="B543" t="inlineStr">
        <is>
          <t>H73</t>
        </is>
      </c>
      <c r="C543" t="n">
        <v>73</v>
      </c>
      <c r="D543" t="n">
        <v>8</v>
      </c>
      <c r="E543" t="inlineStr">
        <is>
          <t>Input</t>
        </is>
      </c>
      <c r="F543" t="n">
        <v/>
      </c>
      <c r="G543" t="inlineStr">
        <is>
          <t>2021 F</t>
        </is>
      </c>
      <c r="H543" t="inlineStr"/>
      <c r="I543" t="inlineStr">
        <is>
          <t>General</t>
        </is>
      </c>
      <c r="J543" t="b">
        <v>1</v>
      </c>
      <c r="K543" t="b">
        <v>0</v>
      </c>
      <c r="L543" t="n">
        <v>11</v>
      </c>
      <c r="M543" t="inlineStr">
        <is>
          <t>Values must be of type &lt;class 'str'&gt;</t>
        </is>
      </c>
      <c r="N543" t="inlineStr">
        <is>
          <t>Values must be of type &lt;class 'str'&gt;</t>
        </is>
      </c>
      <c r="O543" t="inlineStr">
        <is>
          <t>center</t>
        </is>
      </c>
      <c r="P543" t="inlineStr">
        <is>
          <t>center</t>
        </is>
      </c>
      <c r="R543" t="b">
        <v>1</v>
      </c>
      <c r="S543" t="n">
        <v/>
      </c>
      <c r="T543" t="n">
        <v/>
      </c>
      <c r="U543" t="n">
        <v/>
      </c>
      <c r="V543" t="b">
        <v>0</v>
      </c>
      <c r="W543" t="inlineStr"/>
      <c r="X543" t="n">
        <v/>
      </c>
    </row>
    <row r="544">
      <c r="A544" t="inlineStr">
        <is>
          <t>Asset schedule</t>
        </is>
      </c>
      <c r="B544" t="inlineStr">
        <is>
          <t>I73</t>
        </is>
      </c>
      <c r="C544" t="n">
        <v>73</v>
      </c>
      <c r="D544" t="n">
        <v>9</v>
      </c>
      <c r="E544" t="inlineStr">
        <is>
          <t>Input</t>
        </is>
      </c>
      <c r="F544" t="n">
        <v/>
      </c>
      <c r="G544" t="inlineStr">
        <is>
          <t>2022 F</t>
        </is>
      </c>
      <c r="H544" t="inlineStr"/>
      <c r="I544" t="inlineStr">
        <is>
          <t>General</t>
        </is>
      </c>
      <c r="J544" t="b">
        <v>1</v>
      </c>
      <c r="K544" t="b">
        <v>0</v>
      </c>
      <c r="L544" t="n">
        <v>11</v>
      </c>
      <c r="M544" t="inlineStr">
        <is>
          <t>Values must be of type &lt;class 'str'&gt;</t>
        </is>
      </c>
      <c r="N544" t="inlineStr">
        <is>
          <t>Values must be of type &lt;class 'str'&gt;</t>
        </is>
      </c>
      <c r="O544" t="inlineStr">
        <is>
          <t>center</t>
        </is>
      </c>
      <c r="P544" t="inlineStr">
        <is>
          <t>center</t>
        </is>
      </c>
      <c r="R544" t="b">
        <v>1</v>
      </c>
      <c r="S544" t="n">
        <v/>
      </c>
      <c r="T544" t="n">
        <v/>
      </c>
      <c r="U544" t="n">
        <v/>
      </c>
      <c r="V544" t="b">
        <v>0</v>
      </c>
      <c r="W544" t="inlineStr"/>
      <c r="X544" t="n">
        <v/>
      </c>
    </row>
    <row r="545">
      <c r="A545" t="inlineStr">
        <is>
          <t>Asset schedule</t>
        </is>
      </c>
      <c r="B545" t="inlineStr">
        <is>
          <t>A74</t>
        </is>
      </c>
      <c r="C545" t="n">
        <v>74</v>
      </c>
      <c r="D545" t="n">
        <v>1</v>
      </c>
      <c r="E545" t="inlineStr">
        <is>
          <t>Input</t>
        </is>
      </c>
      <c r="F545" t="n">
        <v/>
      </c>
      <c r="G545" t="inlineStr">
        <is>
          <t>Opening balance</t>
        </is>
      </c>
      <c r="H545" t="inlineStr"/>
      <c r="I545" t="inlineStr">
        <is>
          <t>General</t>
        </is>
      </c>
      <c r="J545" t="b">
        <v>0</v>
      </c>
      <c r="K545" t="b">
        <v>0</v>
      </c>
      <c r="L545" t="n">
        <v>11</v>
      </c>
      <c r="M545" t="inlineStr">
        <is>
          <t>FF000000</t>
        </is>
      </c>
      <c r="N545" t="inlineStr">
        <is>
          <t>00000000</t>
        </is>
      </c>
      <c r="O545" t="n">
        <v/>
      </c>
      <c r="P545" t="n">
        <v/>
      </c>
      <c r="R545" t="b">
        <v>1</v>
      </c>
      <c r="S545" t="n">
        <v/>
      </c>
      <c r="T545" t="n">
        <v/>
      </c>
      <c r="U545" t="n">
        <v/>
      </c>
      <c r="V545" t="b">
        <v>0</v>
      </c>
      <c r="W545" t="inlineStr"/>
      <c r="X545" t="n">
        <v/>
      </c>
    </row>
    <row r="546">
      <c r="A546" t="inlineStr">
        <is>
          <t>Asset schedule</t>
        </is>
      </c>
      <c r="B546" t="inlineStr">
        <is>
          <t>D74</t>
        </is>
      </c>
      <c r="C546" t="n">
        <v>74</v>
      </c>
      <c r="D546" t="n">
        <v>4</v>
      </c>
      <c r="E546" t="inlineStr">
        <is>
          <t>Input</t>
        </is>
      </c>
      <c r="F546" t="n">
        <v/>
      </c>
      <c r="G546" t="n">
        <v>41.91</v>
      </c>
      <c r="H546" t="inlineStr"/>
      <c r="I546" t="inlineStr">
        <is>
          <t>General</t>
        </is>
      </c>
      <c r="J546" t="b">
        <v>0</v>
      </c>
      <c r="K546" t="b">
        <v>0</v>
      </c>
      <c r="L546" t="n">
        <v>11</v>
      </c>
      <c r="M546" t="inlineStr">
        <is>
          <t>FF000000</t>
        </is>
      </c>
      <c r="N546" t="inlineStr">
        <is>
          <t>00000000</t>
        </is>
      </c>
      <c r="O546" t="n">
        <v/>
      </c>
      <c r="P546" t="n">
        <v/>
      </c>
      <c r="R546" t="b">
        <v>1</v>
      </c>
      <c r="S546" t="n">
        <v/>
      </c>
      <c r="T546" t="n">
        <v/>
      </c>
      <c r="U546" t="n">
        <v/>
      </c>
      <c r="V546" t="b">
        <v>0</v>
      </c>
      <c r="W546" t="inlineStr"/>
      <c r="X546" t="n">
        <v/>
      </c>
    </row>
    <row r="547">
      <c r="A547" t="inlineStr">
        <is>
          <t>Asset schedule</t>
        </is>
      </c>
      <c r="B547" t="inlineStr">
        <is>
          <t>E74</t>
        </is>
      </c>
      <c r="C547" t="n">
        <v>74</v>
      </c>
      <c r="D547" t="n">
        <v>5</v>
      </c>
      <c r="E547" t="inlineStr">
        <is>
          <t>Calculation</t>
        </is>
      </c>
      <c r="F547" t="inlineStr">
        <is>
          <t>'=D78</t>
        </is>
      </c>
      <c r="G547" t="n">
        <v>39.33</v>
      </c>
      <c r="H547" t="inlineStr"/>
      <c r="I547" t="inlineStr">
        <is>
          <t>General</t>
        </is>
      </c>
      <c r="J547" t="b">
        <v>0</v>
      </c>
      <c r="K547" t="b">
        <v>0</v>
      </c>
      <c r="L547" t="n">
        <v>11</v>
      </c>
      <c r="M547" t="inlineStr">
        <is>
          <t>FF000000</t>
        </is>
      </c>
      <c r="N547" t="inlineStr">
        <is>
          <t>00000000</t>
        </is>
      </c>
      <c r="O547" t="n">
        <v/>
      </c>
      <c r="P547" t="n">
        <v/>
      </c>
      <c r="R547" t="b">
        <v>1</v>
      </c>
      <c r="S547" t="inlineStr">
        <is>
          <t>G000087</t>
        </is>
      </c>
      <c r="T547" t="inlineStr">
        <is>
          <t>Horizontal</t>
        </is>
      </c>
      <c r="U547" t="n">
        <v>5</v>
      </c>
      <c r="V547" t="b">
        <v>1</v>
      </c>
      <c r="W547" t="inlineStr">
        <is>
          <t>Asset schedule!E74:I74</t>
        </is>
      </c>
      <c r="X547">
        <f>R[4]C[-1]</f>
        <v/>
      </c>
    </row>
    <row r="548">
      <c r="A548" t="inlineStr">
        <is>
          <t>Asset schedule</t>
        </is>
      </c>
      <c r="B548" t="inlineStr">
        <is>
          <t>F74</t>
        </is>
      </c>
      <c r="C548" t="n">
        <v>74</v>
      </c>
      <c r="D548" t="n">
        <v>6</v>
      </c>
      <c r="E548" t="inlineStr">
        <is>
          <t>Calculation</t>
        </is>
      </c>
      <c r="F548" t="inlineStr">
        <is>
          <t>'=E78</t>
        </is>
      </c>
      <c r="G548" t="n">
        <v>39.32307497455008</v>
      </c>
      <c r="H548" t="inlineStr"/>
      <c r="I548" t="inlineStr">
        <is>
          <t>General</t>
        </is>
      </c>
      <c r="J548" t="b">
        <v>0</v>
      </c>
      <c r="K548" t="b">
        <v>0</v>
      </c>
      <c r="L548" t="n">
        <v>11</v>
      </c>
      <c r="M548" t="inlineStr">
        <is>
          <t>FF000000</t>
        </is>
      </c>
      <c r="N548" t="inlineStr">
        <is>
          <t>00000000</t>
        </is>
      </c>
      <c r="O548" t="n">
        <v/>
      </c>
      <c r="P548" t="n">
        <v/>
      </c>
      <c r="R548" t="b">
        <v>1</v>
      </c>
      <c r="S548" t="inlineStr">
        <is>
          <t>G000087</t>
        </is>
      </c>
      <c r="T548" t="inlineStr">
        <is>
          <t>Horizontal</t>
        </is>
      </c>
      <c r="U548" t="n">
        <v>5</v>
      </c>
      <c r="V548" t="b">
        <v>1</v>
      </c>
      <c r="W548" t="inlineStr">
        <is>
          <t>Asset schedule!E74:I74</t>
        </is>
      </c>
      <c r="X548">
        <f>R[4]C[-1]</f>
        <v/>
      </c>
    </row>
    <row r="549">
      <c r="A549" t="inlineStr">
        <is>
          <t>Asset schedule</t>
        </is>
      </c>
      <c r="B549" t="inlineStr">
        <is>
          <t>G74</t>
        </is>
      </c>
      <c r="C549" t="n">
        <v>74</v>
      </c>
      <c r="D549" t="n">
        <v>7</v>
      </c>
      <c r="E549" t="inlineStr">
        <is>
          <t>Calculation</t>
        </is>
      </c>
      <c r="F549" t="inlineStr">
        <is>
          <t>'=F78</t>
        </is>
      </c>
      <c r="G549" t="n">
        <v>39.89048092713026</v>
      </c>
      <c r="H549" t="inlineStr"/>
      <c r="I549" t="inlineStr">
        <is>
          <t>General</t>
        </is>
      </c>
      <c r="J549" t="b">
        <v>0</v>
      </c>
      <c r="K549" t="b">
        <v>0</v>
      </c>
      <c r="L549" t="n">
        <v>11</v>
      </c>
      <c r="M549" t="inlineStr">
        <is>
          <t>FF000000</t>
        </is>
      </c>
      <c r="N549" t="inlineStr">
        <is>
          <t>00000000</t>
        </is>
      </c>
      <c r="O549" t="n">
        <v/>
      </c>
      <c r="P549" t="n">
        <v/>
      </c>
      <c r="R549" t="b">
        <v>1</v>
      </c>
      <c r="S549" t="inlineStr">
        <is>
          <t>G000087</t>
        </is>
      </c>
      <c r="T549" t="inlineStr">
        <is>
          <t>Horizontal</t>
        </is>
      </c>
      <c r="U549" t="n">
        <v>5</v>
      </c>
      <c r="V549" t="b">
        <v>1</v>
      </c>
      <c r="W549" t="inlineStr">
        <is>
          <t>Asset schedule!E74:I74</t>
        </is>
      </c>
      <c r="X549">
        <f>R[4]C[-1]</f>
        <v/>
      </c>
    </row>
    <row r="550">
      <c r="A550" t="inlineStr">
        <is>
          <t>Asset schedule</t>
        </is>
      </c>
      <c r="B550" t="inlineStr">
        <is>
          <t>H74</t>
        </is>
      </c>
      <c r="C550" t="n">
        <v>74</v>
      </c>
      <c r="D550" t="n">
        <v>8</v>
      </c>
      <c r="E550" t="inlineStr">
        <is>
          <t>Calculation</t>
        </is>
      </c>
      <c r="F550" t="inlineStr">
        <is>
          <t>'=G78</t>
        </is>
      </c>
      <c r="G550" t="n">
        <v>40.96034415430642</v>
      </c>
      <c r="H550" t="inlineStr"/>
      <c r="I550" t="inlineStr">
        <is>
          <t>General</t>
        </is>
      </c>
      <c r="J550" t="b">
        <v>0</v>
      </c>
      <c r="K550" t="b">
        <v>0</v>
      </c>
      <c r="L550" t="n">
        <v>11</v>
      </c>
      <c r="M550" t="inlineStr">
        <is>
          <t>FF000000</t>
        </is>
      </c>
      <c r="N550" t="inlineStr">
        <is>
          <t>00000000</t>
        </is>
      </c>
      <c r="O550" t="n">
        <v/>
      </c>
      <c r="P550" t="n">
        <v/>
      </c>
      <c r="R550" t="b">
        <v>1</v>
      </c>
      <c r="S550" t="inlineStr">
        <is>
          <t>G000087</t>
        </is>
      </c>
      <c r="T550" t="inlineStr">
        <is>
          <t>Horizontal</t>
        </is>
      </c>
      <c r="U550" t="n">
        <v>5</v>
      </c>
      <c r="V550" t="b">
        <v>1</v>
      </c>
      <c r="W550" t="inlineStr">
        <is>
          <t>Asset schedule!E74:I74</t>
        </is>
      </c>
      <c r="X550">
        <f>R[4]C[-1]</f>
        <v/>
      </c>
    </row>
    <row r="551">
      <c r="A551" t="inlineStr">
        <is>
          <t>Asset schedule</t>
        </is>
      </c>
      <c r="B551" t="inlineStr">
        <is>
          <t>I74</t>
        </is>
      </c>
      <c r="C551" t="n">
        <v>74</v>
      </c>
      <c r="D551" t="n">
        <v>9</v>
      </c>
      <c r="E551" t="inlineStr">
        <is>
          <t>Calculation</t>
        </is>
      </c>
      <c r="F551" t="inlineStr">
        <is>
          <t>'=H78</t>
        </is>
      </c>
      <c r="G551" t="n">
        <v>42.47700589868908</v>
      </c>
      <c r="H551" t="inlineStr"/>
      <c r="I551" t="inlineStr">
        <is>
          <t>General</t>
        </is>
      </c>
      <c r="J551" t="b">
        <v>0</v>
      </c>
      <c r="K551" t="b">
        <v>0</v>
      </c>
      <c r="L551" t="n">
        <v>11</v>
      </c>
      <c r="M551" t="inlineStr">
        <is>
          <t>FF000000</t>
        </is>
      </c>
      <c r="N551" t="inlineStr">
        <is>
          <t>00000000</t>
        </is>
      </c>
      <c r="O551" t="n">
        <v/>
      </c>
      <c r="P551" t="n">
        <v/>
      </c>
      <c r="R551" t="b">
        <v>1</v>
      </c>
      <c r="S551" t="inlineStr">
        <is>
          <t>G000087</t>
        </is>
      </c>
      <c r="T551" t="inlineStr">
        <is>
          <t>Horizontal</t>
        </is>
      </c>
      <c r="U551" t="n">
        <v>5</v>
      </c>
      <c r="V551" t="b">
        <v>1</v>
      </c>
      <c r="W551" t="inlineStr">
        <is>
          <t>Asset schedule!E74:I74</t>
        </is>
      </c>
      <c r="X551">
        <f>R[4]C[-1]</f>
        <v/>
      </c>
    </row>
    <row r="552">
      <c r="A552" t="inlineStr">
        <is>
          <t>Asset schedule</t>
        </is>
      </c>
      <c r="B552" t="inlineStr">
        <is>
          <t>A75</t>
        </is>
      </c>
      <c r="C552" t="n">
        <v>75</v>
      </c>
      <c r="D552" t="n">
        <v>1</v>
      </c>
      <c r="E552" t="inlineStr">
        <is>
          <t>Input</t>
        </is>
      </c>
      <c r="F552" t="n">
        <v/>
      </c>
      <c r="G552" t="inlineStr">
        <is>
          <t>Add: purchase during the year</t>
        </is>
      </c>
      <c r="H552" t="inlineStr"/>
      <c r="I552" t="inlineStr">
        <is>
          <t>General</t>
        </is>
      </c>
      <c r="J552" t="b">
        <v>0</v>
      </c>
      <c r="K552" t="b">
        <v>0</v>
      </c>
      <c r="L552" t="n">
        <v>11</v>
      </c>
      <c r="M552" t="inlineStr">
        <is>
          <t>FF000000</t>
        </is>
      </c>
      <c r="N552" t="inlineStr">
        <is>
          <t>00000000</t>
        </is>
      </c>
      <c r="O552" t="n">
        <v/>
      </c>
      <c r="P552" t="n">
        <v/>
      </c>
      <c r="R552" t="b">
        <v>1</v>
      </c>
      <c r="S552" t="n">
        <v/>
      </c>
      <c r="T552" t="n">
        <v/>
      </c>
      <c r="U552" t="n">
        <v/>
      </c>
      <c r="V552" t="b">
        <v>0</v>
      </c>
      <c r="W552" t="inlineStr"/>
      <c r="X552" t="n">
        <v/>
      </c>
    </row>
    <row r="553">
      <c r="A553" t="inlineStr">
        <is>
          <t>Asset schedule</t>
        </is>
      </c>
      <c r="B553" t="inlineStr">
        <is>
          <t>D75</t>
        </is>
      </c>
      <c r="C553" t="n">
        <v>75</v>
      </c>
      <c r="D553" t="n">
        <v>4</v>
      </c>
      <c r="E553" t="inlineStr">
        <is>
          <t>Input</t>
        </is>
      </c>
      <c r="F553" t="n">
        <v/>
      </c>
      <c r="G553" t="n">
        <v>7.01</v>
      </c>
      <c r="H553" t="inlineStr"/>
      <c r="I553" t="inlineStr">
        <is>
          <t>General</t>
        </is>
      </c>
      <c r="J553" t="b">
        <v>0</v>
      </c>
      <c r="K553" t="b">
        <v>0</v>
      </c>
      <c r="L553" t="n">
        <v>11</v>
      </c>
      <c r="M553" t="inlineStr">
        <is>
          <t>FF000000</t>
        </is>
      </c>
      <c r="N553" t="inlineStr">
        <is>
          <t>00000000</t>
        </is>
      </c>
      <c r="O553" t="n">
        <v/>
      </c>
      <c r="P553" t="n">
        <v/>
      </c>
      <c r="R553" t="b">
        <v>1</v>
      </c>
      <c r="S553" t="n">
        <v/>
      </c>
      <c r="T553" t="n">
        <v/>
      </c>
      <c r="U553" t="n">
        <v/>
      </c>
      <c r="V553" t="b">
        <v>0</v>
      </c>
      <c r="W553" t="inlineStr"/>
      <c r="X553" t="n">
        <v/>
      </c>
    </row>
    <row r="554">
      <c r="A554" t="inlineStr">
        <is>
          <t>Asset schedule</t>
        </is>
      </c>
      <c r="B554" t="inlineStr">
        <is>
          <t>E75</t>
        </is>
      </c>
      <c r="C554" t="n">
        <v>75</v>
      </c>
      <c r="D554" t="n">
        <v>5</v>
      </c>
      <c r="E554" t="inlineStr">
        <is>
          <t>Calculation</t>
        </is>
      </c>
      <c r="F554" t="inlineStr">
        <is>
          <t>'=INDEX($L$4:$T$15,MATCH($A73,$L$4:$L$15,0),MATCH(E73,$L$4:$T$4,0))</t>
        </is>
      </c>
      <c r="G554" t="n">
        <v>7.546841772151899</v>
      </c>
      <c r="H554" t="inlineStr"/>
      <c r="I554" t="inlineStr">
        <is>
          <t>0.0</t>
        </is>
      </c>
      <c r="J554" t="b">
        <v>0</v>
      </c>
      <c r="K554" t="b">
        <v>0</v>
      </c>
      <c r="L554" t="n">
        <v>11</v>
      </c>
      <c r="M554" t="inlineStr">
        <is>
          <t>FF000000</t>
        </is>
      </c>
      <c r="N554" t="inlineStr">
        <is>
          <t>00000000</t>
        </is>
      </c>
      <c r="O554" t="n">
        <v/>
      </c>
      <c r="P554" t="n">
        <v/>
      </c>
      <c r="R554" t="b">
        <v>1</v>
      </c>
      <c r="S554" t="inlineStr">
        <is>
          <t>G000099</t>
        </is>
      </c>
      <c r="T554" t="inlineStr">
        <is>
          <t>Horizontal</t>
        </is>
      </c>
      <c r="U554" t="n">
        <v>5</v>
      </c>
      <c r="V554" t="b">
        <v>1</v>
      </c>
      <c r="W554" t="inlineStr">
        <is>
          <t>Asset schedule!E75:I75</t>
        </is>
      </c>
      <c r="X554">
        <f>INDEX(R4C12:R15C20,MATCH(R[-2]C1,R4C12:R15C12,0),MATCH(R[-2]C[0],R4C12:R4C20,0))</f>
        <v/>
      </c>
    </row>
    <row r="555">
      <c r="A555" t="inlineStr">
        <is>
          <t>Asset schedule</t>
        </is>
      </c>
      <c r="B555" t="inlineStr">
        <is>
          <t>F75</t>
        </is>
      </c>
      <c r="C555" t="n">
        <v>75</v>
      </c>
      <c r="D555" t="n">
        <v>6</v>
      </c>
      <c r="E555" t="inlineStr">
        <is>
          <t>Calculation</t>
        </is>
      </c>
      <c r="F555" t="inlineStr">
        <is>
          <t>'=INDEX($L$4:$T$15,MATCH($A73,$L$4:$L$15,0),MATCH(F73,$L$4:$T$4,0))</t>
        </is>
      </c>
      <c r="G555" t="n">
        <v>8.119842721518989</v>
      </c>
      <c r="H555" t="inlineStr"/>
      <c r="I555" t="inlineStr">
        <is>
          <t>0.0</t>
        </is>
      </c>
      <c r="J555" t="b">
        <v>0</v>
      </c>
      <c r="K555" t="b">
        <v>0</v>
      </c>
      <c r="L555" t="n">
        <v>11</v>
      </c>
      <c r="M555" t="inlineStr">
        <is>
          <t>FF000000</t>
        </is>
      </c>
      <c r="N555" t="inlineStr">
        <is>
          <t>00000000</t>
        </is>
      </c>
      <c r="O555" t="n">
        <v/>
      </c>
      <c r="P555" t="n">
        <v/>
      </c>
      <c r="R555" t="b">
        <v>1</v>
      </c>
      <c r="S555" t="inlineStr">
        <is>
          <t>G000099</t>
        </is>
      </c>
      <c r="T555" t="inlineStr">
        <is>
          <t>Horizontal</t>
        </is>
      </c>
      <c r="U555" t="n">
        <v>5</v>
      </c>
      <c r="V555" t="b">
        <v>1</v>
      </c>
      <c r="W555" t="inlineStr">
        <is>
          <t>Asset schedule!E75:I75</t>
        </is>
      </c>
      <c r="X555">
        <f>INDEX(R4C12:R15C20,MATCH(R[-2]C1,R4C12:R15C12,0),MATCH(R[-2]C[0],R4C12:R4C20,0))</f>
        <v/>
      </c>
    </row>
    <row r="556">
      <c r="A556" t="inlineStr">
        <is>
          <t>Asset schedule</t>
        </is>
      </c>
      <c r="B556" t="inlineStr">
        <is>
          <t>G75</t>
        </is>
      </c>
      <c r="C556" t="n">
        <v>75</v>
      </c>
      <c r="D556" t="n">
        <v>7</v>
      </c>
      <c r="E556" t="inlineStr">
        <is>
          <t>Calculation</t>
        </is>
      </c>
      <c r="F556" t="inlineStr">
        <is>
          <t>'=INDEX($L$4:$T$15,MATCH($A73,$L$4:$L$15,0),MATCH(G73,$L$4:$T$4,0))</t>
        </is>
      </c>
      <c r="G556" t="n">
        <v>8.731276661392407</v>
      </c>
      <c r="H556" t="inlineStr"/>
      <c r="I556" t="inlineStr">
        <is>
          <t>0.0</t>
        </is>
      </c>
      <c r="J556" t="b">
        <v>0</v>
      </c>
      <c r="K556" t="b">
        <v>0</v>
      </c>
      <c r="L556" t="n">
        <v>11</v>
      </c>
      <c r="M556" t="inlineStr">
        <is>
          <t>FF000000</t>
        </is>
      </c>
      <c r="N556" t="inlineStr">
        <is>
          <t>00000000</t>
        </is>
      </c>
      <c r="O556" t="n">
        <v/>
      </c>
      <c r="P556" t="n">
        <v/>
      </c>
      <c r="R556" t="b">
        <v>1</v>
      </c>
      <c r="S556" t="inlineStr">
        <is>
          <t>G000099</t>
        </is>
      </c>
      <c r="T556" t="inlineStr">
        <is>
          <t>Horizontal</t>
        </is>
      </c>
      <c r="U556" t="n">
        <v>5</v>
      </c>
      <c r="V556" t="b">
        <v>1</v>
      </c>
      <c r="W556" t="inlineStr">
        <is>
          <t>Asset schedule!E75:I75</t>
        </is>
      </c>
      <c r="X556">
        <f>INDEX(R4C12:R15C20,MATCH(R[-2]C1,R4C12:R15C12,0),MATCH(R[-2]C[0],R4C12:R4C20,0))</f>
        <v/>
      </c>
    </row>
    <row r="557">
      <c r="A557" t="inlineStr">
        <is>
          <t>Asset schedule</t>
        </is>
      </c>
      <c r="B557" t="inlineStr">
        <is>
          <t>H75</t>
        </is>
      </c>
      <c r="C557" t="n">
        <v>75</v>
      </c>
      <c r="D557" t="n">
        <v>8</v>
      </c>
      <c r="E557" t="inlineStr">
        <is>
          <t>Calculation</t>
        </is>
      </c>
      <c r="F557" t="inlineStr">
        <is>
          <t>'=INDEX($L$4:$T$15,MATCH($A73,$L$4:$L$15,0),MATCH(H73,$L$4:$T$4,0))</t>
        </is>
      </c>
      <c r="G557" t="n">
        <v>9.383554388449369</v>
      </c>
      <c r="H557" t="inlineStr"/>
      <c r="I557" t="inlineStr">
        <is>
          <t>0.0</t>
        </is>
      </c>
      <c r="J557" t="b">
        <v>0</v>
      </c>
      <c r="K557" t="b">
        <v>0</v>
      </c>
      <c r="L557" t="n">
        <v>11</v>
      </c>
      <c r="M557" t="inlineStr">
        <is>
          <t>FF000000</t>
        </is>
      </c>
      <c r="N557" t="inlineStr">
        <is>
          <t>00000000</t>
        </is>
      </c>
      <c r="O557" t="n">
        <v/>
      </c>
      <c r="P557" t="n">
        <v/>
      </c>
      <c r="R557" t="b">
        <v>1</v>
      </c>
      <c r="S557" t="inlineStr">
        <is>
          <t>G000099</t>
        </is>
      </c>
      <c r="T557" t="inlineStr">
        <is>
          <t>Horizontal</t>
        </is>
      </c>
      <c r="U557" t="n">
        <v>5</v>
      </c>
      <c r="V557" t="b">
        <v>1</v>
      </c>
      <c r="W557" t="inlineStr">
        <is>
          <t>Asset schedule!E75:I75</t>
        </is>
      </c>
      <c r="X557">
        <f>INDEX(R4C12:R15C20,MATCH(R[-2]C1,R4C12:R15C12,0),MATCH(R[-2]C[0],R4C12:R4C20,0))</f>
        <v/>
      </c>
    </row>
    <row r="558">
      <c r="A558" t="inlineStr">
        <is>
          <t>Asset schedule</t>
        </is>
      </c>
      <c r="B558" t="inlineStr">
        <is>
          <t>I75</t>
        </is>
      </c>
      <c r="C558" t="n">
        <v>75</v>
      </c>
      <c r="D558" t="n">
        <v>9</v>
      </c>
      <c r="E558" t="inlineStr">
        <is>
          <t>Calculation</t>
        </is>
      </c>
      <c r="F558" t="inlineStr">
        <is>
          <t>'=INDEX($L$4:$T$15,MATCH($A73,$L$4:$L$15,0),MATCH(I73,$L$4:$T$4,0))</t>
        </is>
      </c>
      <c r="G558" t="n">
        <v>10.07923169655855</v>
      </c>
      <c r="H558" t="inlineStr"/>
      <c r="I558" t="inlineStr">
        <is>
          <t>0.0</t>
        </is>
      </c>
      <c r="J558" t="b">
        <v>0</v>
      </c>
      <c r="K558" t="b">
        <v>0</v>
      </c>
      <c r="L558" t="n">
        <v>11</v>
      </c>
      <c r="M558" t="inlineStr">
        <is>
          <t>FF000000</t>
        </is>
      </c>
      <c r="N558" t="inlineStr">
        <is>
          <t>00000000</t>
        </is>
      </c>
      <c r="O558" t="n">
        <v/>
      </c>
      <c r="P558" t="n">
        <v/>
      </c>
      <c r="R558" t="b">
        <v>1</v>
      </c>
      <c r="S558" t="inlineStr">
        <is>
          <t>G000099</t>
        </is>
      </c>
      <c r="T558" t="inlineStr">
        <is>
          <t>Horizontal</t>
        </is>
      </c>
      <c r="U558" t="n">
        <v>5</v>
      </c>
      <c r="V558" t="b">
        <v>1</v>
      </c>
      <c r="W558" t="inlineStr">
        <is>
          <t>Asset schedule!E75:I75</t>
        </is>
      </c>
      <c r="X558">
        <f>INDEX(R4C12:R15C20,MATCH(R[-2]C1,R4C12:R15C12,0),MATCH(R[-2]C[0],R4C12:R4C20,0))</f>
        <v/>
      </c>
    </row>
    <row r="559">
      <c r="A559" t="inlineStr">
        <is>
          <t>Asset schedule</t>
        </is>
      </c>
      <c r="B559" t="inlineStr">
        <is>
          <t>A76</t>
        </is>
      </c>
      <c r="C559" t="n">
        <v>76</v>
      </c>
      <c r="D559" t="n">
        <v>1</v>
      </c>
      <c r="E559" t="inlineStr">
        <is>
          <t>Input</t>
        </is>
      </c>
      <c r="F559" t="n">
        <v/>
      </c>
      <c r="G559" t="inlineStr">
        <is>
          <t>Less: Sale during the year</t>
        </is>
      </c>
      <c r="H559" t="inlineStr"/>
      <c r="I559" t="inlineStr">
        <is>
          <t>General</t>
        </is>
      </c>
      <c r="J559" t="b">
        <v>0</v>
      </c>
      <c r="K559" t="b">
        <v>0</v>
      </c>
      <c r="L559" t="n">
        <v>11</v>
      </c>
      <c r="M559" t="inlineStr">
        <is>
          <t>FF000000</t>
        </is>
      </c>
      <c r="N559" t="inlineStr">
        <is>
          <t>00000000</t>
        </is>
      </c>
      <c r="O559" t="n">
        <v/>
      </c>
      <c r="P559" t="n">
        <v/>
      </c>
      <c r="R559" t="b">
        <v>1</v>
      </c>
      <c r="S559" t="n">
        <v/>
      </c>
      <c r="T559" t="n">
        <v/>
      </c>
      <c r="U559" t="n">
        <v/>
      </c>
      <c r="V559" t="b">
        <v>0</v>
      </c>
      <c r="W559" t="inlineStr"/>
      <c r="X559" t="n">
        <v/>
      </c>
    </row>
    <row r="560">
      <c r="A560" t="inlineStr">
        <is>
          <t>Asset schedule</t>
        </is>
      </c>
      <c r="B560" t="inlineStr">
        <is>
          <t>D76</t>
        </is>
      </c>
      <c r="C560" t="n">
        <v>76</v>
      </c>
      <c r="D560" t="n">
        <v>4</v>
      </c>
      <c r="E560" t="inlineStr">
        <is>
          <t>Input</t>
        </is>
      </c>
      <c r="F560" t="n">
        <v/>
      </c>
      <c r="G560" t="n">
        <v>0.55</v>
      </c>
      <c r="H560" t="inlineStr"/>
      <c r="I560" t="inlineStr">
        <is>
          <t>General</t>
        </is>
      </c>
      <c r="J560" t="b">
        <v>0</v>
      </c>
      <c r="K560" t="b">
        <v>0</v>
      </c>
      <c r="L560" t="n">
        <v>11</v>
      </c>
      <c r="M560" t="inlineStr">
        <is>
          <t>FF000000</t>
        </is>
      </c>
      <c r="N560" t="inlineStr">
        <is>
          <t>00000000</t>
        </is>
      </c>
      <c r="O560" t="n">
        <v/>
      </c>
      <c r="P560" t="n">
        <v/>
      </c>
      <c r="R560" t="b">
        <v>1</v>
      </c>
      <c r="S560" t="n">
        <v/>
      </c>
      <c r="T560" t="n">
        <v/>
      </c>
      <c r="U560" t="n">
        <v/>
      </c>
      <c r="V560" t="b">
        <v>0</v>
      </c>
      <c r="W560" t="inlineStr"/>
      <c r="X560" t="n">
        <v/>
      </c>
    </row>
    <row r="561">
      <c r="A561" t="inlineStr">
        <is>
          <t>Asset schedule</t>
        </is>
      </c>
      <c r="B561" t="inlineStr">
        <is>
          <t>E76</t>
        </is>
      </c>
      <c r="C561" t="n">
        <v>76</v>
      </c>
      <c r="D561" t="n">
        <v>5</v>
      </c>
      <c r="E561" t="inlineStr">
        <is>
          <t>Input</t>
        </is>
      </c>
      <c r="F561" t="n">
        <v/>
      </c>
      <c r="G561" t="n">
        <v>0</v>
      </c>
      <c r="H561" t="inlineStr"/>
      <c r="I561" t="inlineStr">
        <is>
          <t>General</t>
        </is>
      </c>
      <c r="J561" t="b">
        <v>0</v>
      </c>
      <c r="K561" t="b">
        <v>0</v>
      </c>
      <c r="L561" t="n">
        <v>11</v>
      </c>
      <c r="M561" t="inlineStr">
        <is>
          <t>FF000000</t>
        </is>
      </c>
      <c r="N561" t="inlineStr">
        <is>
          <t>00000000</t>
        </is>
      </c>
      <c r="O561" t="n">
        <v/>
      </c>
      <c r="P561" t="n">
        <v/>
      </c>
      <c r="R561" t="b">
        <v>1</v>
      </c>
      <c r="S561" t="n">
        <v/>
      </c>
      <c r="T561" t="n">
        <v/>
      </c>
      <c r="U561" t="n">
        <v/>
      </c>
      <c r="V561" t="b">
        <v>0</v>
      </c>
      <c r="W561" t="inlineStr"/>
      <c r="X561" t="n">
        <v/>
      </c>
    </row>
    <row r="562">
      <c r="A562" t="inlineStr">
        <is>
          <t>Asset schedule</t>
        </is>
      </c>
      <c r="B562" t="inlineStr">
        <is>
          <t>F76</t>
        </is>
      </c>
      <c r="C562" t="n">
        <v>76</v>
      </c>
      <c r="D562" t="n">
        <v>6</v>
      </c>
      <c r="E562" t="inlineStr">
        <is>
          <t>Input</t>
        </is>
      </c>
      <c r="F562" t="n">
        <v/>
      </c>
      <c r="G562" t="n">
        <v>0</v>
      </c>
      <c r="H562" t="inlineStr"/>
      <c r="I562" t="inlineStr">
        <is>
          <t>General</t>
        </is>
      </c>
      <c r="J562" t="b">
        <v>0</v>
      </c>
      <c r="K562" t="b">
        <v>0</v>
      </c>
      <c r="L562" t="n">
        <v>11</v>
      </c>
      <c r="M562" t="inlineStr">
        <is>
          <t>FF000000</t>
        </is>
      </c>
      <c r="N562" t="inlineStr">
        <is>
          <t>00000000</t>
        </is>
      </c>
      <c r="O562" t="n">
        <v/>
      </c>
      <c r="P562" t="n">
        <v/>
      </c>
      <c r="R562" t="b">
        <v>1</v>
      </c>
      <c r="S562" t="n">
        <v/>
      </c>
      <c r="T562" t="n">
        <v/>
      </c>
      <c r="U562" t="n">
        <v/>
      </c>
      <c r="V562" t="b">
        <v>0</v>
      </c>
      <c r="W562" t="inlineStr"/>
      <c r="X562" t="n">
        <v/>
      </c>
    </row>
    <row r="563">
      <c r="A563" t="inlineStr">
        <is>
          <t>Asset schedule</t>
        </is>
      </c>
      <c r="B563" t="inlineStr">
        <is>
          <t>G76</t>
        </is>
      </c>
      <c r="C563" t="n">
        <v>76</v>
      </c>
      <c r="D563" t="n">
        <v>7</v>
      </c>
      <c r="E563" t="inlineStr">
        <is>
          <t>Input</t>
        </is>
      </c>
      <c r="F563" t="n">
        <v/>
      </c>
      <c r="G563" t="n">
        <v>0</v>
      </c>
      <c r="H563" t="inlineStr"/>
      <c r="I563" t="inlineStr">
        <is>
          <t>General</t>
        </is>
      </c>
      <c r="J563" t="b">
        <v>0</v>
      </c>
      <c r="K563" t="b">
        <v>0</v>
      </c>
      <c r="L563" t="n">
        <v>11</v>
      </c>
      <c r="M563" t="inlineStr">
        <is>
          <t>FF000000</t>
        </is>
      </c>
      <c r="N563" t="inlineStr">
        <is>
          <t>00000000</t>
        </is>
      </c>
      <c r="O563" t="n">
        <v/>
      </c>
      <c r="P563" t="n">
        <v/>
      </c>
      <c r="R563" t="b">
        <v>1</v>
      </c>
      <c r="S563" t="n">
        <v/>
      </c>
      <c r="T563" t="n">
        <v/>
      </c>
      <c r="U563" t="n">
        <v/>
      </c>
      <c r="V563" t="b">
        <v>0</v>
      </c>
      <c r="W563" t="inlineStr"/>
      <c r="X563" t="n">
        <v/>
      </c>
    </row>
    <row r="564">
      <c r="A564" t="inlineStr">
        <is>
          <t>Asset schedule</t>
        </is>
      </c>
      <c r="B564" t="inlineStr">
        <is>
          <t>H76</t>
        </is>
      </c>
      <c r="C564" t="n">
        <v>76</v>
      </c>
      <c r="D564" t="n">
        <v>8</v>
      </c>
      <c r="E564" t="inlineStr">
        <is>
          <t>Input</t>
        </is>
      </c>
      <c r="F564" t="n">
        <v/>
      </c>
      <c r="G564" t="n">
        <v>0</v>
      </c>
      <c r="H564" t="inlineStr"/>
      <c r="I564" t="inlineStr">
        <is>
          <t>General</t>
        </is>
      </c>
      <c r="J564" t="b">
        <v>0</v>
      </c>
      <c r="K564" t="b">
        <v>0</v>
      </c>
      <c r="L564" t="n">
        <v>11</v>
      </c>
      <c r="M564" t="inlineStr">
        <is>
          <t>FF000000</t>
        </is>
      </c>
      <c r="N564" t="inlineStr">
        <is>
          <t>00000000</t>
        </is>
      </c>
      <c r="O564" t="n">
        <v/>
      </c>
      <c r="P564" t="n">
        <v/>
      </c>
      <c r="R564" t="b">
        <v>1</v>
      </c>
      <c r="S564" t="n">
        <v/>
      </c>
      <c r="T564" t="n">
        <v/>
      </c>
      <c r="U564" t="n">
        <v/>
      </c>
      <c r="V564" t="b">
        <v>0</v>
      </c>
      <c r="W564" t="inlineStr"/>
      <c r="X564" t="n">
        <v/>
      </c>
    </row>
    <row r="565">
      <c r="A565" t="inlineStr">
        <is>
          <t>Asset schedule</t>
        </is>
      </c>
      <c r="B565" t="inlineStr">
        <is>
          <t>I76</t>
        </is>
      </c>
      <c r="C565" t="n">
        <v>76</v>
      </c>
      <c r="D565" t="n">
        <v>9</v>
      </c>
      <c r="E565" t="inlineStr">
        <is>
          <t>Input</t>
        </is>
      </c>
      <c r="F565" t="n">
        <v/>
      </c>
      <c r="G565" t="n">
        <v>0</v>
      </c>
      <c r="H565" t="inlineStr"/>
      <c r="I565" t="inlineStr">
        <is>
          <t>General</t>
        </is>
      </c>
      <c r="J565" t="b">
        <v>0</v>
      </c>
      <c r="K565" t="b">
        <v>0</v>
      </c>
      <c r="L565" t="n">
        <v>11</v>
      </c>
      <c r="M565" t="inlineStr">
        <is>
          <t>FF000000</t>
        </is>
      </c>
      <c r="N565" t="inlineStr">
        <is>
          <t>00000000</t>
        </is>
      </c>
      <c r="O565" t="n">
        <v/>
      </c>
      <c r="P565" t="n">
        <v/>
      </c>
      <c r="R565" t="b">
        <v>1</v>
      </c>
      <c r="S565" t="n">
        <v/>
      </c>
      <c r="T565" t="n">
        <v/>
      </c>
      <c r="U565" t="n">
        <v/>
      </c>
      <c r="V565" t="b">
        <v>0</v>
      </c>
      <c r="W565" t="inlineStr"/>
      <c r="X565" t="n">
        <v/>
      </c>
    </row>
    <row r="566">
      <c r="A566" t="inlineStr">
        <is>
          <t>Asset schedule</t>
        </is>
      </c>
      <c r="B566" t="inlineStr">
        <is>
          <t>A77</t>
        </is>
      </c>
      <c r="C566" t="n">
        <v>77</v>
      </c>
      <c r="D566" t="n">
        <v>1</v>
      </c>
      <c r="E566" t="inlineStr">
        <is>
          <t>Input</t>
        </is>
      </c>
      <c r="F566" t="n">
        <v/>
      </c>
      <c r="G566" t="inlineStr">
        <is>
          <t>Less: Dep</t>
        </is>
      </c>
      <c r="H566" t="inlineStr"/>
      <c r="I566" t="inlineStr">
        <is>
          <t>General</t>
        </is>
      </c>
      <c r="J566" t="b">
        <v>0</v>
      </c>
      <c r="K566" t="b">
        <v>0</v>
      </c>
      <c r="L566" t="n">
        <v>11</v>
      </c>
      <c r="M566" t="inlineStr">
        <is>
          <t>FF000000</t>
        </is>
      </c>
      <c r="N566" t="inlineStr">
        <is>
          <t>00000000</t>
        </is>
      </c>
      <c r="O566" t="n">
        <v/>
      </c>
      <c r="P566" t="n">
        <v/>
      </c>
      <c r="R566" t="b">
        <v>1</v>
      </c>
      <c r="S566" t="n">
        <v/>
      </c>
      <c r="T566" t="n">
        <v/>
      </c>
      <c r="U566" t="n">
        <v/>
      </c>
      <c r="V566" t="b">
        <v>0</v>
      </c>
      <c r="W566" t="inlineStr"/>
      <c r="X566" t="n">
        <v/>
      </c>
    </row>
    <row r="567">
      <c r="A567" t="inlineStr">
        <is>
          <t>Asset schedule</t>
        </is>
      </c>
      <c r="B567" t="inlineStr">
        <is>
          <t>D77</t>
        </is>
      </c>
      <c r="C567" t="n">
        <v>77</v>
      </c>
      <c r="D567" t="n">
        <v>4</v>
      </c>
      <c r="E567" t="inlineStr">
        <is>
          <t>Input</t>
        </is>
      </c>
      <c r="F567" t="n">
        <v/>
      </c>
      <c r="G567" t="n">
        <v>9.289999999999999</v>
      </c>
      <c r="H567" t="inlineStr"/>
      <c r="I567" t="inlineStr">
        <is>
          <t>General</t>
        </is>
      </c>
      <c r="J567" t="b">
        <v>0</v>
      </c>
      <c r="K567" t="b">
        <v>0</v>
      </c>
      <c r="L567" t="n">
        <v>11</v>
      </c>
      <c r="M567" t="inlineStr">
        <is>
          <t>FF000000</t>
        </is>
      </c>
      <c r="N567" t="inlineStr">
        <is>
          <t>00000000</t>
        </is>
      </c>
      <c r="O567" t="n">
        <v/>
      </c>
      <c r="P567" t="n">
        <v/>
      </c>
      <c r="R567" t="b">
        <v>1</v>
      </c>
      <c r="S567" t="n">
        <v/>
      </c>
      <c r="T567" t="n">
        <v/>
      </c>
      <c r="U567" t="n">
        <v/>
      </c>
      <c r="V567" t="b">
        <v>0</v>
      </c>
      <c r="W567" t="inlineStr"/>
      <c r="X567" t="n">
        <v/>
      </c>
    </row>
    <row r="568">
      <c r="A568" t="inlineStr">
        <is>
          <t>Asset schedule</t>
        </is>
      </c>
      <c r="B568" t="inlineStr">
        <is>
          <t>E77</t>
        </is>
      </c>
      <c r="C568" t="n">
        <v>77</v>
      </c>
      <c r="D568" t="n">
        <v>5</v>
      </c>
      <c r="E568" t="inlineStr">
        <is>
          <t>Calculation</t>
        </is>
      </c>
      <c r="F568" t="inlineStr">
        <is>
          <t>'=E74*$B79</t>
        </is>
      </c>
      <c r="G568" t="n">
        <v>7.553766797601819</v>
      </c>
      <c r="H568" t="inlineStr"/>
      <c r="I568" t="inlineStr">
        <is>
          <t>0.0</t>
        </is>
      </c>
      <c r="J568" t="b">
        <v>0</v>
      </c>
      <c r="K568" t="b">
        <v>0</v>
      </c>
      <c r="L568" t="n">
        <v>11</v>
      </c>
      <c r="M568" t="inlineStr">
        <is>
          <t>FF000000</t>
        </is>
      </c>
      <c r="N568" t="inlineStr">
        <is>
          <t>00000000</t>
        </is>
      </c>
      <c r="O568" t="n">
        <v/>
      </c>
      <c r="P568" t="n">
        <v/>
      </c>
      <c r="R568" t="b">
        <v>1</v>
      </c>
      <c r="S568" t="inlineStr">
        <is>
          <t>G000110</t>
        </is>
      </c>
      <c r="T568" t="inlineStr">
        <is>
          <t>Horizontal</t>
        </is>
      </c>
      <c r="U568" t="n">
        <v>5</v>
      </c>
      <c r="V568" t="b">
        <v>1</v>
      </c>
      <c r="W568" t="inlineStr">
        <is>
          <t>Asset schedule!E77:I77</t>
        </is>
      </c>
      <c r="X568">
        <f>R[-3]C[0]*R[2]C2</f>
        <v/>
      </c>
    </row>
    <row r="569">
      <c r="A569" t="inlineStr">
        <is>
          <t>Asset schedule</t>
        </is>
      </c>
      <c r="B569" t="inlineStr">
        <is>
          <t>F77</t>
        </is>
      </c>
      <c r="C569" t="n">
        <v>77</v>
      </c>
      <c r="D569" t="n">
        <v>6</v>
      </c>
      <c r="E569" t="inlineStr">
        <is>
          <t>Calculation</t>
        </is>
      </c>
      <c r="F569" t="inlineStr">
        <is>
          <t>'=F74*$B79</t>
        </is>
      </c>
      <c r="G569" t="n">
        <v>7.552436768938811</v>
      </c>
      <c r="H569" t="inlineStr"/>
      <c r="I569" t="inlineStr">
        <is>
          <t>0.0</t>
        </is>
      </c>
      <c r="J569" t="b">
        <v>0</v>
      </c>
      <c r="K569" t="b">
        <v>0</v>
      </c>
      <c r="L569" t="n">
        <v>11</v>
      </c>
      <c r="M569" t="inlineStr">
        <is>
          <t>FF000000</t>
        </is>
      </c>
      <c r="N569" t="inlineStr">
        <is>
          <t>00000000</t>
        </is>
      </c>
      <c r="O569" t="n">
        <v/>
      </c>
      <c r="P569" t="n">
        <v/>
      </c>
      <c r="R569" t="b">
        <v>1</v>
      </c>
      <c r="S569" t="inlineStr">
        <is>
          <t>G000110</t>
        </is>
      </c>
      <c r="T569" t="inlineStr">
        <is>
          <t>Horizontal</t>
        </is>
      </c>
      <c r="U569" t="n">
        <v>5</v>
      </c>
      <c r="V569" t="b">
        <v>1</v>
      </c>
      <c r="W569" t="inlineStr">
        <is>
          <t>Asset schedule!E77:I77</t>
        </is>
      </c>
      <c r="X569">
        <f>R[-3]C[0]*R[2]C2</f>
        <v/>
      </c>
    </row>
    <row r="570">
      <c r="A570" t="inlineStr">
        <is>
          <t>Asset schedule</t>
        </is>
      </c>
      <c r="B570" t="inlineStr">
        <is>
          <t>G77</t>
        </is>
      </c>
      <c r="C570" t="n">
        <v>77</v>
      </c>
      <c r="D570" t="n">
        <v>7</v>
      </c>
      <c r="E570" t="inlineStr">
        <is>
          <t>Calculation</t>
        </is>
      </c>
      <c r="F570" t="inlineStr">
        <is>
          <t>'=G74*$B79</t>
        </is>
      </c>
      <c r="G570" t="n">
        <v>7.661413434216253</v>
      </c>
      <c r="H570" t="inlineStr"/>
      <c r="I570" t="inlineStr">
        <is>
          <t>0.0</t>
        </is>
      </c>
      <c r="J570" t="b">
        <v>0</v>
      </c>
      <c r="K570" t="b">
        <v>0</v>
      </c>
      <c r="L570" t="n">
        <v>11</v>
      </c>
      <c r="M570" t="inlineStr">
        <is>
          <t>FF000000</t>
        </is>
      </c>
      <c r="N570" t="inlineStr">
        <is>
          <t>00000000</t>
        </is>
      </c>
      <c r="O570" t="n">
        <v/>
      </c>
      <c r="P570" t="n">
        <v/>
      </c>
      <c r="R570" t="b">
        <v>1</v>
      </c>
      <c r="S570" t="inlineStr">
        <is>
          <t>G000110</t>
        </is>
      </c>
      <c r="T570" t="inlineStr">
        <is>
          <t>Horizontal</t>
        </is>
      </c>
      <c r="U570" t="n">
        <v>5</v>
      </c>
      <c r="V570" t="b">
        <v>1</v>
      </c>
      <c r="W570" t="inlineStr">
        <is>
          <t>Asset schedule!E77:I77</t>
        </is>
      </c>
      <c r="X570">
        <f>R[-3]C[0]*R[2]C2</f>
        <v/>
      </c>
    </row>
    <row r="571">
      <c r="A571" t="inlineStr">
        <is>
          <t>Asset schedule</t>
        </is>
      </c>
      <c r="B571" t="inlineStr">
        <is>
          <t>H77</t>
        </is>
      </c>
      <c r="C571" t="n">
        <v>77</v>
      </c>
      <c r="D571" t="n">
        <v>8</v>
      </c>
      <c r="E571" t="inlineStr">
        <is>
          <t>Calculation</t>
        </is>
      </c>
      <c r="F571" t="inlineStr">
        <is>
          <t>'=H74*$B79</t>
        </is>
      </c>
      <c r="G571" t="n">
        <v>7.866892644066708</v>
      </c>
      <c r="H571" t="inlineStr"/>
      <c r="I571" t="inlineStr">
        <is>
          <t>0.0</t>
        </is>
      </c>
      <c r="J571" t="b">
        <v>0</v>
      </c>
      <c r="K571" t="b">
        <v>0</v>
      </c>
      <c r="L571" t="n">
        <v>11</v>
      </c>
      <c r="M571" t="inlineStr">
        <is>
          <t>FF000000</t>
        </is>
      </c>
      <c r="N571" t="inlineStr">
        <is>
          <t>00000000</t>
        </is>
      </c>
      <c r="O571" t="n">
        <v/>
      </c>
      <c r="P571" t="n">
        <v/>
      </c>
      <c r="R571" t="b">
        <v>1</v>
      </c>
      <c r="S571" t="inlineStr">
        <is>
          <t>G000110</t>
        </is>
      </c>
      <c r="T571" t="inlineStr">
        <is>
          <t>Horizontal</t>
        </is>
      </c>
      <c r="U571" t="n">
        <v>5</v>
      </c>
      <c r="V571" t="b">
        <v>1</v>
      </c>
      <c r="W571" t="inlineStr">
        <is>
          <t>Asset schedule!E77:I77</t>
        </is>
      </c>
      <c r="X571">
        <f>R[-3]C[0]*R[2]C2</f>
        <v/>
      </c>
    </row>
    <row r="572">
      <c r="A572" t="inlineStr">
        <is>
          <t>Asset schedule</t>
        </is>
      </c>
      <c r="B572" t="inlineStr">
        <is>
          <t>I77</t>
        </is>
      </c>
      <c r="C572" t="n">
        <v>77</v>
      </c>
      <c r="D572" t="n">
        <v>9</v>
      </c>
      <c r="E572" t="inlineStr">
        <is>
          <t>Calculation</t>
        </is>
      </c>
      <c r="F572" t="inlineStr">
        <is>
          <t>'=I74*$B79</t>
        </is>
      </c>
      <c r="G572" t="n">
        <v>8.158184511036211</v>
      </c>
      <c r="H572" t="inlineStr"/>
      <c r="I572" t="inlineStr">
        <is>
          <t>0.0</t>
        </is>
      </c>
      <c r="J572" t="b">
        <v>0</v>
      </c>
      <c r="K572" t="b">
        <v>0</v>
      </c>
      <c r="L572" t="n">
        <v>11</v>
      </c>
      <c r="M572" t="inlineStr">
        <is>
          <t>FF000000</t>
        </is>
      </c>
      <c r="N572" t="inlineStr">
        <is>
          <t>00000000</t>
        </is>
      </c>
      <c r="O572" t="n">
        <v/>
      </c>
      <c r="P572" t="n">
        <v/>
      </c>
      <c r="R572" t="b">
        <v>1</v>
      </c>
      <c r="S572" t="inlineStr">
        <is>
          <t>G000110</t>
        </is>
      </c>
      <c r="T572" t="inlineStr">
        <is>
          <t>Horizontal</t>
        </is>
      </c>
      <c r="U572" t="n">
        <v>5</v>
      </c>
      <c r="V572" t="b">
        <v>1</v>
      </c>
      <c r="W572" t="inlineStr">
        <is>
          <t>Asset schedule!E77:I77</t>
        </is>
      </c>
      <c r="X572">
        <f>R[-3]C[0]*R[2]C2</f>
        <v/>
      </c>
    </row>
    <row r="573">
      <c r="A573" t="inlineStr">
        <is>
          <t>Asset schedule</t>
        </is>
      </c>
      <c r="B573" t="inlineStr">
        <is>
          <t>A78</t>
        </is>
      </c>
      <c r="C573" t="n">
        <v>78</v>
      </c>
      <c r="D573" t="n">
        <v>1</v>
      </c>
      <c r="E573" t="inlineStr">
        <is>
          <t>Input</t>
        </is>
      </c>
      <c r="F573" t="n">
        <v/>
      </c>
      <c r="G573" t="inlineStr">
        <is>
          <t>Closing balance</t>
        </is>
      </c>
      <c r="H573" t="inlineStr"/>
      <c r="I573" t="inlineStr">
        <is>
          <t>General</t>
        </is>
      </c>
      <c r="J573" t="b">
        <v>0</v>
      </c>
      <c r="K573" t="b">
        <v>0</v>
      </c>
      <c r="L573" t="n">
        <v>11</v>
      </c>
      <c r="M573" t="inlineStr">
        <is>
          <t>FF000000</t>
        </is>
      </c>
      <c r="N573" t="inlineStr">
        <is>
          <t>00000000</t>
        </is>
      </c>
      <c r="O573" t="n">
        <v/>
      </c>
      <c r="P573" t="n">
        <v/>
      </c>
      <c r="R573" t="b">
        <v>1</v>
      </c>
      <c r="S573" t="n">
        <v/>
      </c>
      <c r="T573" t="n">
        <v/>
      </c>
      <c r="U573" t="n">
        <v/>
      </c>
      <c r="V573" t="b">
        <v>0</v>
      </c>
      <c r="W573" t="inlineStr"/>
      <c r="X573" t="n">
        <v/>
      </c>
    </row>
    <row r="574">
      <c r="A574" t="inlineStr">
        <is>
          <t>Asset schedule</t>
        </is>
      </c>
      <c r="B574" t="inlineStr">
        <is>
          <t>D78</t>
        </is>
      </c>
      <c r="C574" t="n">
        <v>78</v>
      </c>
      <c r="D574" t="n">
        <v>4</v>
      </c>
      <c r="E574" t="inlineStr">
        <is>
          <t>Input</t>
        </is>
      </c>
      <c r="F574" t="n">
        <v/>
      </c>
      <c r="G574" t="n">
        <v>39.33</v>
      </c>
      <c r="H574" t="inlineStr"/>
      <c r="I574" t="inlineStr">
        <is>
          <t>General</t>
        </is>
      </c>
      <c r="J574" t="b">
        <v>0</v>
      </c>
      <c r="K574" t="b">
        <v>0</v>
      </c>
      <c r="L574" t="n">
        <v>11</v>
      </c>
      <c r="M574" t="inlineStr">
        <is>
          <t>FF000000</t>
        </is>
      </c>
      <c r="N574" t="inlineStr">
        <is>
          <t>00000000</t>
        </is>
      </c>
      <c r="O574" t="n">
        <v/>
      </c>
      <c r="P574" t="n">
        <v/>
      </c>
      <c r="R574" t="b">
        <v>1</v>
      </c>
      <c r="S574" t="n">
        <v/>
      </c>
      <c r="T574" t="n">
        <v/>
      </c>
      <c r="U574" t="n">
        <v/>
      </c>
      <c r="V574" t="b">
        <v>0</v>
      </c>
      <c r="W574" t="inlineStr"/>
      <c r="X574" t="n">
        <v/>
      </c>
    </row>
    <row r="575">
      <c r="A575" t="inlineStr">
        <is>
          <t>Asset schedule</t>
        </is>
      </c>
      <c r="B575" t="inlineStr">
        <is>
          <t>E78</t>
        </is>
      </c>
      <c r="C575" t="n">
        <v>78</v>
      </c>
      <c r="D575" t="n">
        <v>5</v>
      </c>
      <c r="E575" t="inlineStr">
        <is>
          <t>Calculation</t>
        </is>
      </c>
      <c r="F575" t="inlineStr">
        <is>
          <t>'=E74+E75-E76-E77</t>
        </is>
      </c>
      <c r="G575" t="n">
        <v>39.32307497455008</v>
      </c>
      <c r="H575" t="inlineStr"/>
      <c r="I575" t="inlineStr">
        <is>
          <t>0.00</t>
        </is>
      </c>
      <c r="J575" t="b">
        <v>0</v>
      </c>
      <c r="K575" t="b">
        <v>0</v>
      </c>
      <c r="L575" t="n">
        <v>11</v>
      </c>
      <c r="M575" t="inlineStr">
        <is>
          <t>FF000000</t>
        </is>
      </c>
      <c r="N575" t="inlineStr">
        <is>
          <t>00000000</t>
        </is>
      </c>
      <c r="O575" t="n">
        <v/>
      </c>
      <c r="P575" t="n">
        <v/>
      </c>
      <c r="R575" t="b">
        <v>1</v>
      </c>
      <c r="S575" t="inlineStr">
        <is>
          <t>G000134</t>
        </is>
      </c>
      <c r="T575" t="inlineStr">
        <is>
          <t>Horizontal</t>
        </is>
      </c>
      <c r="U575" t="n">
        <v>5</v>
      </c>
      <c r="V575" t="b">
        <v>1</v>
      </c>
      <c r="W575" t="inlineStr">
        <is>
          <t>Asset schedule!E78:I78</t>
        </is>
      </c>
      <c r="X575">
        <f>R[-4]C[0]+R[-3]C[0]-R[-2]C[0]-R[-1]C[0]</f>
        <v/>
      </c>
    </row>
    <row r="576">
      <c r="A576" t="inlineStr">
        <is>
          <t>Asset schedule</t>
        </is>
      </c>
      <c r="B576" t="inlineStr">
        <is>
          <t>F78</t>
        </is>
      </c>
      <c r="C576" t="n">
        <v>78</v>
      </c>
      <c r="D576" t="n">
        <v>6</v>
      </c>
      <c r="E576" t="inlineStr">
        <is>
          <t>Calculation</t>
        </is>
      </c>
      <c r="F576" t="inlineStr">
        <is>
          <t>'=F74+F75-F76-F77</t>
        </is>
      </c>
      <c r="G576" t="n">
        <v>39.89048092713026</v>
      </c>
      <c r="H576" t="inlineStr"/>
      <c r="I576" t="inlineStr">
        <is>
          <t>0.00</t>
        </is>
      </c>
      <c r="J576" t="b">
        <v>0</v>
      </c>
      <c r="K576" t="b">
        <v>0</v>
      </c>
      <c r="L576" t="n">
        <v>11</v>
      </c>
      <c r="M576" t="inlineStr">
        <is>
          <t>FF000000</t>
        </is>
      </c>
      <c r="N576" t="inlineStr">
        <is>
          <t>00000000</t>
        </is>
      </c>
      <c r="O576" t="n">
        <v/>
      </c>
      <c r="P576" t="n">
        <v/>
      </c>
      <c r="R576" t="b">
        <v>1</v>
      </c>
      <c r="S576" t="inlineStr">
        <is>
          <t>G000134</t>
        </is>
      </c>
      <c r="T576" t="inlineStr">
        <is>
          <t>Horizontal</t>
        </is>
      </c>
      <c r="U576" t="n">
        <v>5</v>
      </c>
      <c r="V576" t="b">
        <v>1</v>
      </c>
      <c r="W576" t="inlineStr">
        <is>
          <t>Asset schedule!E78:I78</t>
        </is>
      </c>
      <c r="X576">
        <f>R[-4]C[0]+R[-3]C[0]-R[-2]C[0]-R[-1]C[0]</f>
        <v/>
      </c>
    </row>
    <row r="577">
      <c r="A577" t="inlineStr">
        <is>
          <t>Asset schedule</t>
        </is>
      </c>
      <c r="B577" t="inlineStr">
        <is>
          <t>G78</t>
        </is>
      </c>
      <c r="C577" t="n">
        <v>78</v>
      </c>
      <c r="D577" t="n">
        <v>7</v>
      </c>
      <c r="E577" t="inlineStr">
        <is>
          <t>Calculation</t>
        </is>
      </c>
      <c r="F577" t="inlineStr">
        <is>
          <t>'=G74+G75-G76-G77</t>
        </is>
      </c>
      <c r="G577" t="n">
        <v>40.96034415430642</v>
      </c>
      <c r="H577" t="inlineStr"/>
      <c r="I577" t="inlineStr">
        <is>
          <t>0.00</t>
        </is>
      </c>
      <c r="J577" t="b">
        <v>0</v>
      </c>
      <c r="K577" t="b">
        <v>0</v>
      </c>
      <c r="L577" t="n">
        <v>11</v>
      </c>
      <c r="M577" t="inlineStr">
        <is>
          <t>FF000000</t>
        </is>
      </c>
      <c r="N577" t="inlineStr">
        <is>
          <t>00000000</t>
        </is>
      </c>
      <c r="O577" t="n">
        <v/>
      </c>
      <c r="P577" t="n">
        <v/>
      </c>
      <c r="R577" t="b">
        <v>1</v>
      </c>
      <c r="S577" t="inlineStr">
        <is>
          <t>G000134</t>
        </is>
      </c>
      <c r="T577" t="inlineStr">
        <is>
          <t>Horizontal</t>
        </is>
      </c>
      <c r="U577" t="n">
        <v>5</v>
      </c>
      <c r="V577" t="b">
        <v>1</v>
      </c>
      <c r="W577" t="inlineStr">
        <is>
          <t>Asset schedule!E78:I78</t>
        </is>
      </c>
      <c r="X577">
        <f>R[-4]C[0]+R[-3]C[0]-R[-2]C[0]-R[-1]C[0]</f>
        <v/>
      </c>
    </row>
    <row r="578">
      <c r="A578" t="inlineStr">
        <is>
          <t>Asset schedule</t>
        </is>
      </c>
      <c r="B578" t="inlineStr">
        <is>
          <t>H78</t>
        </is>
      </c>
      <c r="C578" t="n">
        <v>78</v>
      </c>
      <c r="D578" t="n">
        <v>8</v>
      </c>
      <c r="E578" t="inlineStr">
        <is>
          <t>Calculation</t>
        </is>
      </c>
      <c r="F578" t="inlineStr">
        <is>
          <t>'=H74+H75-H76-H77</t>
        </is>
      </c>
      <c r="G578" t="n">
        <v>42.47700589868908</v>
      </c>
      <c r="H578" t="inlineStr"/>
      <c r="I578" t="inlineStr">
        <is>
          <t>0.00</t>
        </is>
      </c>
      <c r="J578" t="b">
        <v>0</v>
      </c>
      <c r="K578" t="b">
        <v>0</v>
      </c>
      <c r="L578" t="n">
        <v>11</v>
      </c>
      <c r="M578" t="inlineStr">
        <is>
          <t>FF000000</t>
        </is>
      </c>
      <c r="N578" t="inlineStr">
        <is>
          <t>00000000</t>
        </is>
      </c>
      <c r="O578" t="n">
        <v/>
      </c>
      <c r="P578" t="n">
        <v/>
      </c>
      <c r="R578" t="b">
        <v>1</v>
      </c>
      <c r="S578" t="inlineStr">
        <is>
          <t>G000134</t>
        </is>
      </c>
      <c r="T578" t="inlineStr">
        <is>
          <t>Horizontal</t>
        </is>
      </c>
      <c r="U578" t="n">
        <v>5</v>
      </c>
      <c r="V578" t="b">
        <v>1</v>
      </c>
      <c r="W578" t="inlineStr">
        <is>
          <t>Asset schedule!E78:I78</t>
        </is>
      </c>
      <c r="X578">
        <f>R[-4]C[0]+R[-3]C[0]-R[-2]C[0]-R[-1]C[0]</f>
        <v/>
      </c>
    </row>
    <row r="579">
      <c r="A579" t="inlineStr">
        <is>
          <t>Asset schedule</t>
        </is>
      </c>
      <c r="B579" t="inlineStr">
        <is>
          <t>I78</t>
        </is>
      </c>
      <c r="C579" t="n">
        <v>78</v>
      </c>
      <c r="D579" t="n">
        <v>9</v>
      </c>
      <c r="E579" t="inlineStr">
        <is>
          <t>Calculation</t>
        </is>
      </c>
      <c r="F579" t="inlineStr">
        <is>
          <t>'=I74+I75-I76-I77</t>
        </is>
      </c>
      <c r="G579" t="n">
        <v>44.39805308421142</v>
      </c>
      <c r="H579" t="inlineStr"/>
      <c r="I579" t="inlineStr">
        <is>
          <t>0.00</t>
        </is>
      </c>
      <c r="J579" t="b">
        <v>0</v>
      </c>
      <c r="K579" t="b">
        <v>0</v>
      </c>
      <c r="L579" t="n">
        <v>11</v>
      </c>
      <c r="M579" t="inlineStr">
        <is>
          <t>FF000000</t>
        </is>
      </c>
      <c r="N579" t="inlineStr">
        <is>
          <t>00000000</t>
        </is>
      </c>
      <c r="O579" t="n">
        <v/>
      </c>
      <c r="P579" t="n">
        <v/>
      </c>
      <c r="R579" t="b">
        <v>1</v>
      </c>
      <c r="S579" t="inlineStr">
        <is>
          <t>G000134</t>
        </is>
      </c>
      <c r="T579" t="inlineStr">
        <is>
          <t>Horizontal</t>
        </is>
      </c>
      <c r="U579" t="n">
        <v>5</v>
      </c>
      <c r="V579" t="b">
        <v>1</v>
      </c>
      <c r="W579" t="inlineStr">
        <is>
          <t>Asset schedule!E78:I78</t>
        </is>
      </c>
      <c r="X579">
        <f>R[-4]C[0]+R[-3]C[0]-R[-2]C[0]-R[-1]C[0]</f>
        <v/>
      </c>
    </row>
    <row r="580">
      <c r="A580" t="inlineStr">
        <is>
          <t>Asset schedule</t>
        </is>
      </c>
      <c r="B580" t="inlineStr">
        <is>
          <t>A79</t>
        </is>
      </c>
      <c r="C580" t="n">
        <v>79</v>
      </c>
      <c r="D580" t="n">
        <v>1</v>
      </c>
      <c r="E580" t="inlineStr">
        <is>
          <t>Input</t>
        </is>
      </c>
      <c r="F580" t="n">
        <v/>
      </c>
      <c r="G580" t="inlineStr">
        <is>
          <t>Depreciation rate</t>
        </is>
      </c>
      <c r="H580" t="inlineStr"/>
      <c r="I580" t="inlineStr">
        <is>
          <t>General</t>
        </is>
      </c>
      <c r="J580" t="b">
        <v>0</v>
      </c>
      <c r="K580" t="b">
        <v>0</v>
      </c>
      <c r="L580" t="n">
        <v>11</v>
      </c>
      <c r="M580" t="inlineStr">
        <is>
          <t>FF000000</t>
        </is>
      </c>
      <c r="N580" t="inlineStr">
        <is>
          <t>00000000</t>
        </is>
      </c>
      <c r="O580" t="n">
        <v/>
      </c>
      <c r="P580" t="n">
        <v/>
      </c>
      <c r="R580" t="b">
        <v>1</v>
      </c>
      <c r="S580" t="n">
        <v/>
      </c>
      <c r="T580" t="n">
        <v/>
      </c>
      <c r="U580" t="n">
        <v/>
      </c>
      <c r="V580" t="b">
        <v>0</v>
      </c>
      <c r="W580" t="inlineStr"/>
      <c r="X580" t="n">
        <v/>
      </c>
    </row>
    <row r="581">
      <c r="A581" t="inlineStr">
        <is>
          <t>Asset schedule</t>
        </is>
      </c>
      <c r="B581" t="inlineStr">
        <is>
          <t>B79</t>
        </is>
      </c>
      <c r="C581" t="n">
        <v>79</v>
      </c>
      <c r="D581" t="n">
        <v>2</v>
      </c>
      <c r="E581" t="inlineStr">
        <is>
          <t>Calculation</t>
        </is>
      </c>
      <c r="F581" t="inlineStr">
        <is>
          <t>'=D77/(D74+D75-D76)</t>
        </is>
      </c>
      <c r="G581" t="n">
        <v>0.192061194955551</v>
      </c>
      <c r="H581" t="inlineStr"/>
      <c r="I581" t="inlineStr">
        <is>
          <t>0%</t>
        </is>
      </c>
      <c r="J581" t="b">
        <v>0</v>
      </c>
      <c r="K581" t="b">
        <v>0</v>
      </c>
      <c r="L581" t="n">
        <v>11</v>
      </c>
      <c r="M581" t="inlineStr">
        <is>
          <t>FF000000</t>
        </is>
      </c>
      <c r="N581" t="inlineStr">
        <is>
          <t>00000000</t>
        </is>
      </c>
      <c r="O581" t="n">
        <v/>
      </c>
      <c r="P581" t="n">
        <v/>
      </c>
      <c r="R581" t="b">
        <v>1</v>
      </c>
      <c r="S581" t="inlineStr">
        <is>
          <t>G000136</t>
        </is>
      </c>
      <c r="T581" t="inlineStr">
        <is>
          <t>Block</t>
        </is>
      </c>
      <c r="U581" t="n">
        <v>11</v>
      </c>
      <c r="V581" t="b">
        <v>1</v>
      </c>
      <c r="W581" t="inlineStr">
        <is>
          <t>Asset schedule!B7:B87</t>
        </is>
      </c>
      <c r="X581">
        <f>R[-2]C[2]/(R[-5]C[2]+R[-4]C[2]-R[-3]C[2])</f>
        <v/>
      </c>
    </row>
    <row r="582">
      <c r="A582" t="inlineStr">
        <is>
          <t>Asset schedule</t>
        </is>
      </c>
      <c r="B582" t="inlineStr">
        <is>
          <t>A81</t>
        </is>
      </c>
      <c r="C582" t="n">
        <v>81</v>
      </c>
      <c r="D582" t="n">
        <v>1</v>
      </c>
      <c r="E582" t="inlineStr">
        <is>
          <t>Input</t>
        </is>
      </c>
      <c r="F582" t="n">
        <v/>
      </c>
      <c r="G582" t="inlineStr">
        <is>
          <t>Furniture</t>
        </is>
      </c>
      <c r="H582" t="inlineStr"/>
      <c r="I582" t="inlineStr">
        <is>
          <t>General</t>
        </is>
      </c>
      <c r="J582" t="b">
        <v>1</v>
      </c>
      <c r="K582" t="b">
        <v>0</v>
      </c>
      <c r="L582" t="n">
        <v>11</v>
      </c>
      <c r="M582" t="inlineStr">
        <is>
          <t>FF000000</t>
        </is>
      </c>
      <c r="N582" t="inlineStr">
        <is>
          <t>00000000</t>
        </is>
      </c>
      <c r="O582" t="n">
        <v/>
      </c>
      <c r="P582" t="n">
        <v/>
      </c>
      <c r="R582" t="b">
        <v>1</v>
      </c>
      <c r="S582" t="n">
        <v/>
      </c>
      <c r="T582" t="n">
        <v/>
      </c>
      <c r="U582" t="n">
        <v/>
      </c>
      <c r="V582" t="b">
        <v>0</v>
      </c>
      <c r="W582" t="inlineStr"/>
      <c r="X582" t="n">
        <v/>
      </c>
    </row>
    <row r="583">
      <c r="A583" t="inlineStr">
        <is>
          <t>Asset schedule</t>
        </is>
      </c>
      <c r="B583" t="inlineStr">
        <is>
          <t>B81</t>
        </is>
      </c>
      <c r="C583" t="n">
        <v>81</v>
      </c>
      <c r="D583" t="n">
        <v>2</v>
      </c>
      <c r="E583" t="inlineStr">
        <is>
          <t>Input</t>
        </is>
      </c>
      <c r="F583" t="n">
        <v/>
      </c>
      <c r="G583" t="n">
        <v>2015</v>
      </c>
      <c r="H583" t="inlineStr"/>
      <c r="I583" t="inlineStr">
        <is>
          <t>General</t>
        </is>
      </c>
      <c r="J583" t="b">
        <v>1</v>
      </c>
      <c r="K583" t="b">
        <v>0</v>
      </c>
      <c r="L583" t="n">
        <v>11</v>
      </c>
      <c r="M583" t="inlineStr">
        <is>
          <t>Values must be of type &lt;class 'str'&gt;</t>
        </is>
      </c>
      <c r="N583" t="inlineStr">
        <is>
          <t>Values must be of type &lt;class 'str'&gt;</t>
        </is>
      </c>
      <c r="O583" t="inlineStr">
        <is>
          <t>center</t>
        </is>
      </c>
      <c r="P583" t="inlineStr">
        <is>
          <t>center</t>
        </is>
      </c>
      <c r="R583" t="b">
        <v>1</v>
      </c>
      <c r="S583" t="n">
        <v/>
      </c>
      <c r="T583" t="n">
        <v/>
      </c>
      <c r="U583" t="n">
        <v/>
      </c>
      <c r="V583" t="b">
        <v>0</v>
      </c>
      <c r="W583" t="inlineStr"/>
      <c r="X583" t="n">
        <v/>
      </c>
    </row>
    <row r="584">
      <c r="A584" t="inlineStr">
        <is>
          <t>Asset schedule</t>
        </is>
      </c>
      <c r="B584" t="inlineStr">
        <is>
          <t>C81</t>
        </is>
      </c>
      <c r="C584" t="n">
        <v>81</v>
      </c>
      <c r="D584" t="n">
        <v>3</v>
      </c>
      <c r="E584" t="inlineStr">
        <is>
          <t>Input</t>
        </is>
      </c>
      <c r="F584" t="n">
        <v/>
      </c>
      <c r="G584" t="n">
        <v>2016</v>
      </c>
      <c r="H584" t="inlineStr"/>
      <c r="I584" t="inlineStr">
        <is>
          <t>General</t>
        </is>
      </c>
      <c r="J584" t="b">
        <v>1</v>
      </c>
      <c r="K584" t="b">
        <v>0</v>
      </c>
      <c r="L584" t="n">
        <v>11</v>
      </c>
      <c r="M584" t="inlineStr">
        <is>
          <t>Values must be of type &lt;class 'str'&gt;</t>
        </is>
      </c>
      <c r="N584" t="inlineStr">
        <is>
          <t>Values must be of type &lt;class 'str'&gt;</t>
        </is>
      </c>
      <c r="O584" t="inlineStr">
        <is>
          <t>center</t>
        </is>
      </c>
      <c r="P584" t="inlineStr">
        <is>
          <t>center</t>
        </is>
      </c>
      <c r="R584" t="b">
        <v>1</v>
      </c>
      <c r="S584" t="n">
        <v/>
      </c>
      <c r="T584" t="n">
        <v/>
      </c>
      <c r="U584" t="n">
        <v/>
      </c>
      <c r="V584" t="b">
        <v>0</v>
      </c>
      <c r="W584" t="inlineStr"/>
      <c r="X584" t="n">
        <v/>
      </c>
    </row>
    <row r="585">
      <c r="A585" t="inlineStr">
        <is>
          <t>Asset schedule</t>
        </is>
      </c>
      <c r="B585" t="inlineStr">
        <is>
          <t>D81</t>
        </is>
      </c>
      <c r="C585" t="n">
        <v>81</v>
      </c>
      <c r="D585" t="n">
        <v>4</v>
      </c>
      <c r="E585" t="inlineStr">
        <is>
          <t>Input</t>
        </is>
      </c>
      <c r="F585" t="n">
        <v/>
      </c>
      <c r="G585" t="n">
        <v>2017</v>
      </c>
      <c r="H585" t="inlineStr"/>
      <c r="I585" t="inlineStr">
        <is>
          <t>General</t>
        </is>
      </c>
      <c r="J585" t="b">
        <v>1</v>
      </c>
      <c r="K585" t="b">
        <v>0</v>
      </c>
      <c r="L585" t="n">
        <v>11</v>
      </c>
      <c r="M585" t="inlineStr">
        <is>
          <t>Values must be of type &lt;class 'str'&gt;</t>
        </is>
      </c>
      <c r="N585" t="inlineStr">
        <is>
          <t>Values must be of type &lt;class 'str'&gt;</t>
        </is>
      </c>
      <c r="O585" t="inlineStr">
        <is>
          <t>center</t>
        </is>
      </c>
      <c r="P585" t="inlineStr">
        <is>
          <t>center</t>
        </is>
      </c>
      <c r="R585" t="b">
        <v>1</v>
      </c>
      <c r="S585" t="n">
        <v/>
      </c>
      <c r="T585" t="n">
        <v/>
      </c>
      <c r="U585" t="n">
        <v/>
      </c>
      <c r="V585" t="b">
        <v>0</v>
      </c>
      <c r="W585" t="inlineStr"/>
      <c r="X585" t="n">
        <v/>
      </c>
    </row>
    <row r="586">
      <c r="A586" t="inlineStr">
        <is>
          <t>Asset schedule</t>
        </is>
      </c>
      <c r="B586" t="inlineStr">
        <is>
          <t>E81</t>
        </is>
      </c>
      <c r="C586" t="n">
        <v>81</v>
      </c>
      <c r="D586" t="n">
        <v>5</v>
      </c>
      <c r="E586" t="inlineStr">
        <is>
          <t>Input</t>
        </is>
      </c>
      <c r="F586" t="n">
        <v/>
      </c>
      <c r="G586" t="inlineStr">
        <is>
          <t>2018 F</t>
        </is>
      </c>
      <c r="H586" t="inlineStr"/>
      <c r="I586" t="inlineStr">
        <is>
          <t>General</t>
        </is>
      </c>
      <c r="J586" t="b">
        <v>1</v>
      </c>
      <c r="K586" t="b">
        <v>0</v>
      </c>
      <c r="L586" t="n">
        <v>11</v>
      </c>
      <c r="M586" t="inlineStr">
        <is>
          <t>Values must be of type &lt;class 'str'&gt;</t>
        </is>
      </c>
      <c r="N586" t="inlineStr">
        <is>
          <t>Values must be of type &lt;class 'str'&gt;</t>
        </is>
      </c>
      <c r="O586" t="inlineStr">
        <is>
          <t>center</t>
        </is>
      </c>
      <c r="P586" t="inlineStr">
        <is>
          <t>center</t>
        </is>
      </c>
      <c r="R586" t="b">
        <v>1</v>
      </c>
      <c r="S586" t="n">
        <v/>
      </c>
      <c r="T586" t="n">
        <v/>
      </c>
      <c r="U586" t="n">
        <v/>
      </c>
      <c r="V586" t="b">
        <v>0</v>
      </c>
      <c r="W586" t="inlineStr"/>
      <c r="X586" t="n">
        <v/>
      </c>
    </row>
    <row r="587">
      <c r="A587" t="inlineStr">
        <is>
          <t>Asset schedule</t>
        </is>
      </c>
      <c r="B587" t="inlineStr">
        <is>
          <t>F81</t>
        </is>
      </c>
      <c r="C587" t="n">
        <v>81</v>
      </c>
      <c r="D587" t="n">
        <v>6</v>
      </c>
      <c r="E587" t="inlineStr">
        <is>
          <t>Input</t>
        </is>
      </c>
      <c r="F587" t="n">
        <v/>
      </c>
      <c r="G587" t="inlineStr">
        <is>
          <t>2019 F</t>
        </is>
      </c>
      <c r="H587" t="inlineStr"/>
      <c r="I587" t="inlineStr">
        <is>
          <t>General</t>
        </is>
      </c>
      <c r="J587" t="b">
        <v>1</v>
      </c>
      <c r="K587" t="b">
        <v>0</v>
      </c>
      <c r="L587" t="n">
        <v>11</v>
      </c>
      <c r="M587" t="inlineStr">
        <is>
          <t>Values must be of type &lt;class 'str'&gt;</t>
        </is>
      </c>
      <c r="N587" t="inlineStr">
        <is>
          <t>Values must be of type &lt;class 'str'&gt;</t>
        </is>
      </c>
      <c r="O587" t="inlineStr">
        <is>
          <t>center</t>
        </is>
      </c>
      <c r="P587" t="inlineStr">
        <is>
          <t>center</t>
        </is>
      </c>
      <c r="R587" t="b">
        <v>1</v>
      </c>
      <c r="S587" t="n">
        <v/>
      </c>
      <c r="T587" t="n">
        <v/>
      </c>
      <c r="U587" t="n">
        <v/>
      </c>
      <c r="V587" t="b">
        <v>0</v>
      </c>
      <c r="W587" t="inlineStr"/>
      <c r="X587" t="n">
        <v/>
      </c>
    </row>
    <row r="588">
      <c r="A588" t="inlineStr">
        <is>
          <t>Asset schedule</t>
        </is>
      </c>
      <c r="B588" t="inlineStr">
        <is>
          <t>G81</t>
        </is>
      </c>
      <c r="C588" t="n">
        <v>81</v>
      </c>
      <c r="D588" t="n">
        <v>7</v>
      </c>
      <c r="E588" t="inlineStr">
        <is>
          <t>Input</t>
        </is>
      </c>
      <c r="F588" t="n">
        <v/>
      </c>
      <c r="G588" t="inlineStr">
        <is>
          <t>2020 F</t>
        </is>
      </c>
      <c r="H588" t="inlineStr"/>
      <c r="I588" t="inlineStr">
        <is>
          <t>General</t>
        </is>
      </c>
      <c r="J588" t="b">
        <v>1</v>
      </c>
      <c r="K588" t="b">
        <v>0</v>
      </c>
      <c r="L588" t="n">
        <v>11</v>
      </c>
      <c r="M588" t="inlineStr">
        <is>
          <t>Values must be of type &lt;class 'str'&gt;</t>
        </is>
      </c>
      <c r="N588" t="inlineStr">
        <is>
          <t>Values must be of type &lt;class 'str'&gt;</t>
        </is>
      </c>
      <c r="O588" t="inlineStr">
        <is>
          <t>center</t>
        </is>
      </c>
      <c r="P588" t="inlineStr">
        <is>
          <t>center</t>
        </is>
      </c>
      <c r="R588" t="b">
        <v>1</v>
      </c>
      <c r="S588" t="n">
        <v/>
      </c>
      <c r="T588" t="n">
        <v/>
      </c>
      <c r="U588" t="n">
        <v/>
      </c>
      <c r="V588" t="b">
        <v>0</v>
      </c>
      <c r="W588" t="inlineStr"/>
      <c r="X588" t="n">
        <v/>
      </c>
    </row>
    <row r="589">
      <c r="A589" t="inlineStr">
        <is>
          <t>Asset schedule</t>
        </is>
      </c>
      <c r="B589" t="inlineStr">
        <is>
          <t>H81</t>
        </is>
      </c>
      <c r="C589" t="n">
        <v>81</v>
      </c>
      <c r="D589" t="n">
        <v>8</v>
      </c>
      <c r="E589" t="inlineStr">
        <is>
          <t>Input</t>
        </is>
      </c>
      <c r="F589" t="n">
        <v/>
      </c>
      <c r="G589" t="inlineStr">
        <is>
          <t>2021 F</t>
        </is>
      </c>
      <c r="H589" t="inlineStr"/>
      <c r="I589" t="inlineStr">
        <is>
          <t>General</t>
        </is>
      </c>
      <c r="J589" t="b">
        <v>1</v>
      </c>
      <c r="K589" t="b">
        <v>0</v>
      </c>
      <c r="L589" t="n">
        <v>11</v>
      </c>
      <c r="M589" t="inlineStr">
        <is>
          <t>Values must be of type &lt;class 'str'&gt;</t>
        </is>
      </c>
      <c r="N589" t="inlineStr">
        <is>
          <t>Values must be of type &lt;class 'str'&gt;</t>
        </is>
      </c>
      <c r="O589" t="inlineStr">
        <is>
          <t>center</t>
        </is>
      </c>
      <c r="P589" t="inlineStr">
        <is>
          <t>center</t>
        </is>
      </c>
      <c r="R589" t="b">
        <v>1</v>
      </c>
      <c r="S589" t="n">
        <v/>
      </c>
      <c r="T589" t="n">
        <v/>
      </c>
      <c r="U589" t="n">
        <v/>
      </c>
      <c r="V589" t="b">
        <v>0</v>
      </c>
      <c r="W589" t="inlineStr"/>
      <c r="X589" t="n">
        <v/>
      </c>
    </row>
    <row r="590">
      <c r="A590" t="inlineStr">
        <is>
          <t>Asset schedule</t>
        </is>
      </c>
      <c r="B590" t="inlineStr">
        <is>
          <t>I81</t>
        </is>
      </c>
      <c r="C590" t="n">
        <v>81</v>
      </c>
      <c r="D590" t="n">
        <v>9</v>
      </c>
      <c r="E590" t="inlineStr">
        <is>
          <t>Input</t>
        </is>
      </c>
      <c r="F590" t="n">
        <v/>
      </c>
      <c r="G590" t="inlineStr">
        <is>
          <t>2022 F</t>
        </is>
      </c>
      <c r="H590" t="inlineStr"/>
      <c r="I590" t="inlineStr">
        <is>
          <t>General</t>
        </is>
      </c>
      <c r="J590" t="b">
        <v>1</v>
      </c>
      <c r="K590" t="b">
        <v>0</v>
      </c>
      <c r="L590" t="n">
        <v>11</v>
      </c>
      <c r="M590" t="inlineStr">
        <is>
          <t>Values must be of type &lt;class 'str'&gt;</t>
        </is>
      </c>
      <c r="N590" t="inlineStr">
        <is>
          <t>Values must be of type &lt;class 'str'&gt;</t>
        </is>
      </c>
      <c r="O590" t="inlineStr">
        <is>
          <t>center</t>
        </is>
      </c>
      <c r="P590" t="inlineStr">
        <is>
          <t>center</t>
        </is>
      </c>
      <c r="R590" t="b">
        <v>1</v>
      </c>
      <c r="S590" t="n">
        <v/>
      </c>
      <c r="T590" t="n">
        <v/>
      </c>
      <c r="U590" t="n">
        <v/>
      </c>
      <c r="V590" t="b">
        <v>0</v>
      </c>
      <c r="W590" t="inlineStr"/>
      <c r="X590" t="n">
        <v/>
      </c>
    </row>
    <row r="591">
      <c r="A591" t="inlineStr">
        <is>
          <t>Asset schedule</t>
        </is>
      </c>
      <c r="B591" t="inlineStr">
        <is>
          <t>A82</t>
        </is>
      </c>
      <c r="C591" t="n">
        <v>82</v>
      </c>
      <c r="D591" t="n">
        <v>1</v>
      </c>
      <c r="E591" t="inlineStr">
        <is>
          <t>Input</t>
        </is>
      </c>
      <c r="F591" t="n">
        <v/>
      </c>
      <c r="G591" t="inlineStr">
        <is>
          <t>Opening balance</t>
        </is>
      </c>
      <c r="H591" t="inlineStr"/>
      <c r="I591" t="inlineStr">
        <is>
          <t>General</t>
        </is>
      </c>
      <c r="J591" t="b">
        <v>0</v>
      </c>
      <c r="K591" t="b">
        <v>0</v>
      </c>
      <c r="L591" t="n">
        <v>11</v>
      </c>
      <c r="M591" t="inlineStr">
        <is>
          <t>FF000000</t>
        </is>
      </c>
      <c r="N591" t="inlineStr">
        <is>
          <t>00000000</t>
        </is>
      </c>
      <c r="O591" t="n">
        <v/>
      </c>
      <c r="P591" t="n">
        <v/>
      </c>
      <c r="R591" t="b">
        <v>1</v>
      </c>
      <c r="S591" t="n">
        <v/>
      </c>
      <c r="T591" t="n">
        <v/>
      </c>
      <c r="U591" t="n">
        <v/>
      </c>
      <c r="V591" t="b">
        <v>0</v>
      </c>
      <c r="W591" t="inlineStr"/>
      <c r="X591" t="n">
        <v/>
      </c>
    </row>
    <row r="592">
      <c r="A592" t="inlineStr">
        <is>
          <t>Asset schedule</t>
        </is>
      </c>
      <c r="B592" t="inlineStr">
        <is>
          <t>D82</t>
        </is>
      </c>
      <c r="C592" t="n">
        <v>82</v>
      </c>
      <c r="D592" t="n">
        <v>4</v>
      </c>
      <c r="E592" t="inlineStr">
        <is>
          <t>Input</t>
        </is>
      </c>
      <c r="F592" t="n">
        <v/>
      </c>
      <c r="G592" t="n">
        <v>18.72</v>
      </c>
      <c r="H592" t="inlineStr"/>
      <c r="I592" t="inlineStr">
        <is>
          <t>General</t>
        </is>
      </c>
      <c r="J592" t="b">
        <v>0</v>
      </c>
      <c r="K592" t="b">
        <v>0</v>
      </c>
      <c r="L592" t="n">
        <v>11</v>
      </c>
      <c r="M592" t="inlineStr">
        <is>
          <t>FF000000</t>
        </is>
      </c>
      <c r="N592" t="inlineStr">
        <is>
          <t>00000000</t>
        </is>
      </c>
      <c r="O592" t="n">
        <v/>
      </c>
      <c r="P592" t="n">
        <v/>
      </c>
      <c r="R592" t="b">
        <v>1</v>
      </c>
      <c r="S592" t="n">
        <v/>
      </c>
      <c r="T592" t="n">
        <v/>
      </c>
      <c r="U592" t="n">
        <v/>
      </c>
      <c r="V592" t="b">
        <v>0</v>
      </c>
      <c r="W592" t="inlineStr"/>
      <c r="X592" t="n">
        <v/>
      </c>
    </row>
    <row r="593">
      <c r="A593" t="inlineStr">
        <is>
          <t>Asset schedule</t>
        </is>
      </c>
      <c r="B593" t="inlineStr">
        <is>
          <t>E82</t>
        </is>
      </c>
      <c r="C593" t="n">
        <v>82</v>
      </c>
      <c r="D593" t="n">
        <v>5</v>
      </c>
      <c r="E593" t="inlineStr">
        <is>
          <t>Calculation</t>
        </is>
      </c>
      <c r="F593" t="inlineStr">
        <is>
          <t>'=D86</t>
        </is>
      </c>
      <c r="G593" t="n">
        <v>16.51</v>
      </c>
      <c r="H593" t="inlineStr"/>
      <c r="I593" t="inlineStr">
        <is>
          <t>General</t>
        </is>
      </c>
      <c r="J593" t="b">
        <v>0</v>
      </c>
      <c r="K593" t="b">
        <v>0</v>
      </c>
      <c r="L593" t="n">
        <v>11</v>
      </c>
      <c r="M593" t="inlineStr">
        <is>
          <t>FF000000</t>
        </is>
      </c>
      <c r="N593" t="inlineStr">
        <is>
          <t>00000000</t>
        </is>
      </c>
      <c r="O593" t="n">
        <v/>
      </c>
      <c r="P593" t="n">
        <v/>
      </c>
      <c r="R593" t="b">
        <v>1</v>
      </c>
      <c r="S593" t="inlineStr">
        <is>
          <t>G000088</t>
        </is>
      </c>
      <c r="T593" t="inlineStr">
        <is>
          <t>Horizontal</t>
        </is>
      </c>
      <c r="U593" t="n">
        <v>5</v>
      </c>
      <c r="V593" t="b">
        <v>1</v>
      </c>
      <c r="W593" t="inlineStr">
        <is>
          <t>Asset schedule!E82:I82</t>
        </is>
      </c>
      <c r="X593">
        <f>R[4]C[-1]</f>
        <v/>
      </c>
    </row>
    <row r="594">
      <c r="A594" t="inlineStr">
        <is>
          <t>Asset schedule</t>
        </is>
      </c>
      <c r="B594" t="inlineStr">
        <is>
          <t>F82</t>
        </is>
      </c>
      <c r="C594" t="n">
        <v>82</v>
      </c>
      <c r="D594" t="n">
        <v>6</v>
      </c>
      <c r="E594" t="inlineStr">
        <is>
          <t>Calculation</t>
        </is>
      </c>
      <c r="F594" t="inlineStr">
        <is>
          <t>'=E86</t>
        </is>
      </c>
      <c r="G594" t="n">
        <v>15.71870614266083</v>
      </c>
      <c r="H594" t="inlineStr"/>
      <c r="I594" t="inlineStr">
        <is>
          <t>General</t>
        </is>
      </c>
      <c r="J594" t="b">
        <v>0</v>
      </c>
      <c r="K594" t="b">
        <v>0</v>
      </c>
      <c r="L594" t="n">
        <v>11</v>
      </c>
      <c r="M594" t="inlineStr">
        <is>
          <t>FF000000</t>
        </is>
      </c>
      <c r="N594" t="inlineStr">
        <is>
          <t>00000000</t>
        </is>
      </c>
      <c r="O594" t="n">
        <v/>
      </c>
      <c r="P594" t="n">
        <v/>
      </c>
      <c r="R594" t="b">
        <v>1</v>
      </c>
      <c r="S594" t="inlineStr">
        <is>
          <t>G000088</t>
        </is>
      </c>
      <c r="T594" t="inlineStr">
        <is>
          <t>Horizontal</t>
        </is>
      </c>
      <c r="U594" t="n">
        <v>5</v>
      </c>
      <c r="V594" t="b">
        <v>1</v>
      </c>
      <c r="W594" t="inlineStr">
        <is>
          <t>Asset schedule!E82:I82</t>
        </is>
      </c>
      <c r="X594">
        <f>R[4]C[-1]</f>
        <v/>
      </c>
    </row>
    <row r="595">
      <c r="A595" t="inlineStr">
        <is>
          <t>Asset schedule</t>
        </is>
      </c>
      <c r="B595" t="inlineStr">
        <is>
          <t>G82</t>
        </is>
      </c>
      <c r="C595" t="n">
        <v>82</v>
      </c>
      <c r="D595" t="n">
        <v>7</v>
      </c>
      <c r="E595" t="inlineStr">
        <is>
          <t>Calculation</t>
        </is>
      </c>
      <c r="F595" t="inlineStr">
        <is>
          <t>'=F86</t>
        </is>
      </c>
      <c r="G595" t="n">
        <v>15.30935244421764</v>
      </c>
      <c r="H595" t="inlineStr"/>
      <c r="I595" t="inlineStr">
        <is>
          <t>General</t>
        </is>
      </c>
      <c r="J595" t="b">
        <v>0</v>
      </c>
      <c r="K595" t="b">
        <v>0</v>
      </c>
      <c r="L595" t="n">
        <v>11</v>
      </c>
      <c r="M595" t="inlineStr">
        <is>
          <t>FF000000</t>
        </is>
      </c>
      <c r="N595" t="inlineStr">
        <is>
          <t>00000000</t>
        </is>
      </c>
      <c r="O595" t="n">
        <v/>
      </c>
      <c r="P595" t="n">
        <v/>
      </c>
      <c r="R595" t="b">
        <v>1</v>
      </c>
      <c r="S595" t="inlineStr">
        <is>
          <t>G000088</t>
        </is>
      </c>
      <c r="T595" t="inlineStr">
        <is>
          <t>Horizontal</t>
        </is>
      </c>
      <c r="U595" t="n">
        <v>5</v>
      </c>
      <c r="V595" t="b">
        <v>1</v>
      </c>
      <c r="W595" t="inlineStr">
        <is>
          <t>Asset schedule!E82:I82</t>
        </is>
      </c>
      <c r="X595">
        <f>R[4]C[-1]</f>
        <v/>
      </c>
    </row>
    <row r="596">
      <c r="A596" t="inlineStr">
        <is>
          <t>Asset schedule</t>
        </is>
      </c>
      <c r="B596" t="inlineStr">
        <is>
          <t>H82</t>
        </is>
      </c>
      <c r="C596" t="n">
        <v>82</v>
      </c>
      <c r="D596" t="n">
        <v>8</v>
      </c>
      <c r="E596" t="inlineStr">
        <is>
          <t>Calculation</t>
        </is>
      </c>
      <c r="F596" t="inlineStr">
        <is>
          <t>'=G86</t>
        </is>
      </c>
      <c r="G596" t="n">
        <v>15.21352209055835</v>
      </c>
      <c r="H596" t="inlineStr"/>
      <c r="I596" t="inlineStr">
        <is>
          <t>General</t>
        </is>
      </c>
      <c r="J596" t="b">
        <v>0</v>
      </c>
      <c r="K596" t="b">
        <v>0</v>
      </c>
      <c r="L596" t="n">
        <v>11</v>
      </c>
      <c r="M596" t="inlineStr">
        <is>
          <t>FF000000</t>
        </is>
      </c>
      <c r="N596" t="inlineStr">
        <is>
          <t>00000000</t>
        </is>
      </c>
      <c r="O596" t="n">
        <v/>
      </c>
      <c r="P596" t="n">
        <v/>
      </c>
      <c r="R596" t="b">
        <v>1</v>
      </c>
      <c r="S596" t="inlineStr">
        <is>
          <t>G000088</t>
        </is>
      </c>
      <c r="T596" t="inlineStr">
        <is>
          <t>Horizontal</t>
        </is>
      </c>
      <c r="U596" t="n">
        <v>5</v>
      </c>
      <c r="V596" t="b">
        <v>1</v>
      </c>
      <c r="W596" t="inlineStr">
        <is>
          <t>Asset schedule!E82:I82</t>
        </is>
      </c>
      <c r="X596">
        <f>R[4]C[-1]</f>
        <v/>
      </c>
    </row>
    <row r="597">
      <c r="A597" t="inlineStr">
        <is>
          <t>Asset schedule</t>
        </is>
      </c>
      <c r="B597" t="inlineStr">
        <is>
          <t>I82</t>
        </is>
      </c>
      <c r="C597" t="n">
        <v>82</v>
      </c>
      <c r="D597" t="n">
        <v>9</v>
      </c>
      <c r="E597" t="inlineStr">
        <is>
          <t>Calculation</t>
        </is>
      </c>
      <c r="F597" t="inlineStr">
        <is>
          <t>'=H86</t>
        </is>
      </c>
      <c r="G597" t="n">
        <v>15.37847483821085</v>
      </c>
      <c r="H597" t="inlineStr"/>
      <c r="I597" t="inlineStr">
        <is>
          <t>General</t>
        </is>
      </c>
      <c r="J597" t="b">
        <v>0</v>
      </c>
      <c r="K597" t="b">
        <v>0</v>
      </c>
      <c r="L597" t="n">
        <v>11</v>
      </c>
      <c r="M597" t="inlineStr">
        <is>
          <t>FF000000</t>
        </is>
      </c>
      <c r="N597" t="inlineStr">
        <is>
          <t>00000000</t>
        </is>
      </c>
      <c r="O597" t="n">
        <v/>
      </c>
      <c r="P597" t="n">
        <v/>
      </c>
      <c r="R597" t="b">
        <v>1</v>
      </c>
      <c r="S597" t="inlineStr">
        <is>
          <t>G000088</t>
        </is>
      </c>
      <c r="T597" t="inlineStr">
        <is>
          <t>Horizontal</t>
        </is>
      </c>
      <c r="U597" t="n">
        <v>5</v>
      </c>
      <c r="V597" t="b">
        <v>1</v>
      </c>
      <c r="W597" t="inlineStr">
        <is>
          <t>Asset schedule!E82:I82</t>
        </is>
      </c>
      <c r="X597">
        <f>R[4]C[-1]</f>
        <v/>
      </c>
    </row>
    <row r="598">
      <c r="A598" t="inlineStr">
        <is>
          <t>Asset schedule</t>
        </is>
      </c>
      <c r="B598" t="inlineStr">
        <is>
          <t>A83</t>
        </is>
      </c>
      <c r="C598" t="n">
        <v>83</v>
      </c>
      <c r="D598" t="n">
        <v>1</v>
      </c>
      <c r="E598" t="inlineStr">
        <is>
          <t>Input</t>
        </is>
      </c>
      <c r="F598" t="n">
        <v/>
      </c>
      <c r="G598" t="inlineStr">
        <is>
          <t>Add: purchase during the year</t>
        </is>
      </c>
      <c r="H598" t="inlineStr"/>
      <c r="I598" t="inlineStr">
        <is>
          <t>General</t>
        </is>
      </c>
      <c r="J598" t="b">
        <v>0</v>
      </c>
      <c r="K598" t="b">
        <v>0</v>
      </c>
      <c r="L598" t="n">
        <v>11</v>
      </c>
      <c r="M598" t="inlineStr">
        <is>
          <t>FF000000</t>
        </is>
      </c>
      <c r="N598" t="inlineStr">
        <is>
          <t>00000000</t>
        </is>
      </c>
      <c r="O598" t="n">
        <v/>
      </c>
      <c r="P598" t="n">
        <v/>
      </c>
      <c r="R598" t="b">
        <v>1</v>
      </c>
      <c r="S598" t="n">
        <v/>
      </c>
      <c r="T598" t="n">
        <v/>
      </c>
      <c r="U598" t="n">
        <v/>
      </c>
      <c r="V598" t="b">
        <v>0</v>
      </c>
      <c r="W598" t="inlineStr"/>
      <c r="X598" t="n">
        <v/>
      </c>
    </row>
    <row r="599">
      <c r="A599" t="inlineStr">
        <is>
          <t>Asset schedule</t>
        </is>
      </c>
      <c r="B599" t="inlineStr">
        <is>
          <t>D83</t>
        </is>
      </c>
      <c r="C599" t="n">
        <v>83</v>
      </c>
      <c r="D599" t="n">
        <v>4</v>
      </c>
      <c r="E599" t="inlineStr">
        <is>
          <t>Input</t>
        </is>
      </c>
      <c r="F599" t="n">
        <v/>
      </c>
      <c r="G599" t="n">
        <v>2.58</v>
      </c>
      <c r="H599" t="inlineStr"/>
      <c r="I599" t="inlineStr">
        <is>
          <t>General</t>
        </is>
      </c>
      <c r="J599" t="b">
        <v>0</v>
      </c>
      <c r="K599" t="b">
        <v>0</v>
      </c>
      <c r="L599" t="n">
        <v>11</v>
      </c>
      <c r="M599" t="inlineStr">
        <is>
          <t>FF000000</t>
        </is>
      </c>
      <c r="N599" t="inlineStr">
        <is>
          <t>00000000</t>
        </is>
      </c>
      <c r="O599" t="n">
        <v/>
      </c>
      <c r="P599" t="n">
        <v/>
      </c>
      <c r="R599" t="b">
        <v>1</v>
      </c>
      <c r="S599" t="n">
        <v/>
      </c>
      <c r="T599" t="n">
        <v/>
      </c>
      <c r="U599" t="n">
        <v/>
      </c>
      <c r="V599" t="b">
        <v>0</v>
      </c>
      <c r="W599" t="inlineStr"/>
      <c r="X599" t="n">
        <v/>
      </c>
    </row>
    <row r="600">
      <c r="A600" t="inlineStr">
        <is>
          <t>Asset schedule</t>
        </is>
      </c>
      <c r="B600" t="inlineStr">
        <is>
          <t>E83</t>
        </is>
      </c>
      <c r="C600" t="n">
        <v>83</v>
      </c>
      <c r="D600" t="n">
        <v>5</v>
      </c>
      <c r="E600" t="inlineStr">
        <is>
          <t>Calculation</t>
        </is>
      </c>
      <c r="F600" t="inlineStr">
        <is>
          <t>'=INDEX($L$4:$T$15,MATCH($A81,$L$4:$L$15,0),MATCH(E81,$L$4:$T$4,0))</t>
        </is>
      </c>
      <c r="G600" t="n">
        <v>2.777582278481013</v>
      </c>
      <c r="H600" t="inlineStr"/>
      <c r="I600" t="inlineStr">
        <is>
          <t>0.0</t>
        </is>
      </c>
      <c r="J600" t="b">
        <v>0</v>
      </c>
      <c r="K600" t="b">
        <v>0</v>
      </c>
      <c r="L600" t="n">
        <v>11</v>
      </c>
      <c r="M600" t="inlineStr">
        <is>
          <t>FF000000</t>
        </is>
      </c>
      <c r="N600" t="inlineStr">
        <is>
          <t>00000000</t>
        </is>
      </c>
      <c r="O600" t="n">
        <v/>
      </c>
      <c r="P600" t="n">
        <v/>
      </c>
      <c r="R600" t="b">
        <v>1</v>
      </c>
      <c r="S600" t="inlineStr">
        <is>
          <t>G000100</t>
        </is>
      </c>
      <c r="T600" t="inlineStr">
        <is>
          <t>Horizontal</t>
        </is>
      </c>
      <c r="U600" t="n">
        <v>5</v>
      </c>
      <c r="V600" t="b">
        <v>1</v>
      </c>
      <c r="W600" t="inlineStr">
        <is>
          <t>Asset schedule!E83:I83</t>
        </is>
      </c>
      <c r="X600">
        <f>INDEX(R4C12:R15C20,MATCH(R[-2]C1,R4C12:R15C12,0),MATCH(R[-2]C[0],R4C12:R4C20,0))</f>
        <v/>
      </c>
    </row>
    <row r="601">
      <c r="A601" t="inlineStr">
        <is>
          <t>Asset schedule</t>
        </is>
      </c>
      <c r="B601" t="inlineStr">
        <is>
          <t>F83</t>
        </is>
      </c>
      <c r="C601" t="n">
        <v>83</v>
      </c>
      <c r="D601" t="n">
        <v>6</v>
      </c>
      <c r="E601" t="inlineStr">
        <is>
          <t>Calculation</t>
        </is>
      </c>
      <c r="F601" t="inlineStr">
        <is>
          <t>'=INDEX($L$4:$T$15,MATCH($A81,$L$4:$L$15,0),MATCH(F81,$L$4:$T$4,0))</t>
        </is>
      </c>
      <c r="G601" t="n">
        <v>2.988472784810127</v>
      </c>
      <c r="H601" t="inlineStr"/>
      <c r="I601" t="inlineStr">
        <is>
          <t>0.0</t>
        </is>
      </c>
      <c r="J601" t="b">
        <v>0</v>
      </c>
      <c r="K601" t="b">
        <v>0</v>
      </c>
      <c r="L601" t="n">
        <v>11</v>
      </c>
      <c r="M601" t="inlineStr">
        <is>
          <t>FF000000</t>
        </is>
      </c>
      <c r="N601" t="inlineStr">
        <is>
          <t>00000000</t>
        </is>
      </c>
      <c r="O601" t="n">
        <v/>
      </c>
      <c r="P601" t="n">
        <v/>
      </c>
      <c r="R601" t="b">
        <v>1</v>
      </c>
      <c r="S601" t="inlineStr">
        <is>
          <t>G000100</t>
        </is>
      </c>
      <c r="T601" t="inlineStr">
        <is>
          <t>Horizontal</t>
        </is>
      </c>
      <c r="U601" t="n">
        <v>5</v>
      </c>
      <c r="V601" t="b">
        <v>1</v>
      </c>
      <c r="W601" t="inlineStr">
        <is>
          <t>Asset schedule!E83:I83</t>
        </is>
      </c>
      <c r="X601">
        <f>INDEX(R4C12:R15C20,MATCH(R[-2]C1,R4C12:R15C12,0),MATCH(R[-2]C[0],R4C12:R4C20,0))</f>
        <v/>
      </c>
    </row>
    <row r="602">
      <c r="A602" t="inlineStr">
        <is>
          <t>Asset schedule</t>
        </is>
      </c>
      <c r="B602" t="inlineStr">
        <is>
          <t>G83</t>
        </is>
      </c>
      <c r="C602" t="n">
        <v>83</v>
      </c>
      <c r="D602" t="n">
        <v>7</v>
      </c>
      <c r="E602" t="inlineStr">
        <is>
          <t>Calculation</t>
        </is>
      </c>
      <c r="F602" t="inlineStr">
        <is>
          <t>'=INDEX($L$4:$T$15,MATCH($A81,$L$4:$L$15,0),MATCH(G81,$L$4:$T$4,0))</t>
        </is>
      </c>
      <c r="G602" t="n">
        <v>3.21350838607595</v>
      </c>
      <c r="H602" t="inlineStr"/>
      <c r="I602" t="inlineStr">
        <is>
          <t>0.0</t>
        </is>
      </c>
      <c r="J602" t="b">
        <v>0</v>
      </c>
      <c r="K602" t="b">
        <v>0</v>
      </c>
      <c r="L602" t="n">
        <v>11</v>
      </c>
      <c r="M602" t="inlineStr">
        <is>
          <t>FF000000</t>
        </is>
      </c>
      <c r="N602" t="inlineStr">
        <is>
          <t>00000000</t>
        </is>
      </c>
      <c r="O602" t="n">
        <v/>
      </c>
      <c r="P602" t="n">
        <v/>
      </c>
      <c r="R602" t="b">
        <v>1</v>
      </c>
      <c r="S602" t="inlineStr">
        <is>
          <t>G000100</t>
        </is>
      </c>
      <c r="T602" t="inlineStr">
        <is>
          <t>Horizontal</t>
        </is>
      </c>
      <c r="U602" t="n">
        <v>5</v>
      </c>
      <c r="V602" t="b">
        <v>1</v>
      </c>
      <c r="W602" t="inlineStr">
        <is>
          <t>Asset schedule!E83:I83</t>
        </is>
      </c>
      <c r="X602">
        <f>INDEX(R4C12:R15C20,MATCH(R[-2]C1,R4C12:R15C12,0),MATCH(R[-2]C[0],R4C12:R4C20,0))</f>
        <v/>
      </c>
    </row>
    <row r="603">
      <c r="A603" t="inlineStr">
        <is>
          <t>Asset schedule</t>
        </is>
      </c>
      <c r="B603" t="inlineStr">
        <is>
          <t>H83</t>
        </is>
      </c>
      <c r="C603" t="n">
        <v>83</v>
      </c>
      <c r="D603" t="n">
        <v>8</v>
      </c>
      <c r="E603" t="inlineStr">
        <is>
          <t>Calculation</t>
        </is>
      </c>
      <c r="F603" t="inlineStr">
        <is>
          <t>'=INDEX($L$4:$T$15,MATCH($A81,$L$4:$L$15,0),MATCH(H81,$L$4:$T$4,0))</t>
        </is>
      </c>
      <c r="G603" t="n">
        <v>3.45357636550633</v>
      </c>
      <c r="H603" t="inlineStr"/>
      <c r="I603" t="inlineStr">
        <is>
          <t>0.0</t>
        </is>
      </c>
      <c r="J603" t="b">
        <v>0</v>
      </c>
      <c r="K603" t="b">
        <v>0</v>
      </c>
      <c r="L603" t="n">
        <v>11</v>
      </c>
      <c r="M603" t="inlineStr">
        <is>
          <t>FF000000</t>
        </is>
      </c>
      <c r="N603" t="inlineStr">
        <is>
          <t>00000000</t>
        </is>
      </c>
      <c r="O603" t="n">
        <v/>
      </c>
      <c r="P603" t="n">
        <v/>
      </c>
      <c r="R603" t="b">
        <v>1</v>
      </c>
      <c r="S603" t="inlineStr">
        <is>
          <t>G000100</t>
        </is>
      </c>
      <c r="T603" t="inlineStr">
        <is>
          <t>Horizontal</t>
        </is>
      </c>
      <c r="U603" t="n">
        <v>5</v>
      </c>
      <c r="V603" t="b">
        <v>1</v>
      </c>
      <c r="W603" t="inlineStr">
        <is>
          <t>Asset schedule!E83:I83</t>
        </is>
      </c>
      <c r="X603">
        <f>INDEX(R4C12:R15C20,MATCH(R[-2]C1,R4C12:R15C12,0),MATCH(R[-2]C[0],R4C12:R4C20,0))</f>
        <v/>
      </c>
    </row>
    <row r="604">
      <c r="A604" t="inlineStr">
        <is>
          <t>Asset schedule</t>
        </is>
      </c>
      <c r="B604" t="inlineStr">
        <is>
          <t>I83</t>
        </is>
      </c>
      <c r="C604" t="n">
        <v>83</v>
      </c>
      <c r="D604" t="n">
        <v>9</v>
      </c>
      <c r="E604" t="inlineStr">
        <is>
          <t>Calculation</t>
        </is>
      </c>
      <c r="F604" t="inlineStr">
        <is>
          <t>'=INDEX($L$4:$T$15,MATCH($A81,$L$4:$L$15,0),MATCH(I81,$L$4:$T$4,0))</t>
        </is>
      </c>
      <c r="G604" t="n">
        <v>3.709617371914559</v>
      </c>
      <c r="H604" t="inlineStr"/>
      <c r="I604" t="inlineStr">
        <is>
          <t>0.0</t>
        </is>
      </c>
      <c r="J604" t="b">
        <v>0</v>
      </c>
      <c r="K604" t="b">
        <v>0</v>
      </c>
      <c r="L604" t="n">
        <v>11</v>
      </c>
      <c r="M604" t="inlineStr">
        <is>
          <t>FF000000</t>
        </is>
      </c>
      <c r="N604" t="inlineStr">
        <is>
          <t>00000000</t>
        </is>
      </c>
      <c r="O604" t="n">
        <v/>
      </c>
      <c r="P604" t="n">
        <v/>
      </c>
      <c r="R604" t="b">
        <v>1</v>
      </c>
      <c r="S604" t="inlineStr">
        <is>
          <t>G000100</t>
        </is>
      </c>
      <c r="T604" t="inlineStr">
        <is>
          <t>Horizontal</t>
        </is>
      </c>
      <c r="U604" t="n">
        <v>5</v>
      </c>
      <c r="V604" t="b">
        <v>1</v>
      </c>
      <c r="W604" t="inlineStr">
        <is>
          <t>Asset schedule!E83:I83</t>
        </is>
      </c>
      <c r="X604">
        <f>INDEX(R4C12:R15C20,MATCH(R[-2]C1,R4C12:R15C12,0),MATCH(R[-2]C[0],R4C12:R4C20,0))</f>
        <v/>
      </c>
    </row>
    <row r="605">
      <c r="A605" t="inlineStr">
        <is>
          <t>Asset schedule</t>
        </is>
      </c>
      <c r="B605" t="inlineStr">
        <is>
          <t>A84</t>
        </is>
      </c>
      <c r="C605" t="n">
        <v>84</v>
      </c>
      <c r="D605" t="n">
        <v>1</v>
      </c>
      <c r="E605" t="inlineStr">
        <is>
          <t>Input</t>
        </is>
      </c>
      <c r="F605" t="n">
        <v/>
      </c>
      <c r="G605" t="inlineStr">
        <is>
          <t>Less: Sale during the year</t>
        </is>
      </c>
      <c r="H605" t="inlineStr"/>
      <c r="I605" t="inlineStr">
        <is>
          <t>General</t>
        </is>
      </c>
      <c r="J605" t="b">
        <v>0</v>
      </c>
      <c r="K605" t="b">
        <v>0</v>
      </c>
      <c r="L605" t="n">
        <v>11</v>
      </c>
      <c r="M605" t="inlineStr">
        <is>
          <t>FF000000</t>
        </is>
      </c>
      <c r="N605" t="inlineStr">
        <is>
          <t>00000000</t>
        </is>
      </c>
      <c r="O605" t="n">
        <v/>
      </c>
      <c r="P605" t="n">
        <v/>
      </c>
      <c r="R605" t="b">
        <v>1</v>
      </c>
      <c r="S605" t="n">
        <v/>
      </c>
      <c r="T605" t="n">
        <v/>
      </c>
      <c r="U605" t="n">
        <v/>
      </c>
      <c r="V605" t="b">
        <v>0</v>
      </c>
      <c r="W605" t="inlineStr"/>
      <c r="X605" t="n">
        <v/>
      </c>
    </row>
    <row r="606">
      <c r="A606" t="inlineStr">
        <is>
          <t>Asset schedule</t>
        </is>
      </c>
      <c r="B606" t="inlineStr">
        <is>
          <t>D84</t>
        </is>
      </c>
      <c r="C606" t="n">
        <v>84</v>
      </c>
      <c r="D606" t="n">
        <v>4</v>
      </c>
      <c r="E606" t="inlineStr">
        <is>
          <t>Input</t>
        </is>
      </c>
      <c r="F606" t="n">
        <v/>
      </c>
      <c r="G606" t="n">
        <v>0.39</v>
      </c>
      <c r="H606" t="inlineStr"/>
      <c r="I606" t="inlineStr">
        <is>
          <t>General</t>
        </is>
      </c>
      <c r="J606" t="b">
        <v>0</v>
      </c>
      <c r="K606" t="b">
        <v>0</v>
      </c>
      <c r="L606" t="n">
        <v>11</v>
      </c>
      <c r="M606" t="inlineStr">
        <is>
          <t>FF000000</t>
        </is>
      </c>
      <c r="N606" t="inlineStr">
        <is>
          <t>00000000</t>
        </is>
      </c>
      <c r="O606" t="n">
        <v/>
      </c>
      <c r="P606" t="n">
        <v/>
      </c>
      <c r="R606" t="b">
        <v>1</v>
      </c>
      <c r="S606" t="n">
        <v/>
      </c>
      <c r="T606" t="n">
        <v/>
      </c>
      <c r="U606" t="n">
        <v/>
      </c>
      <c r="V606" t="b">
        <v>0</v>
      </c>
      <c r="W606" t="inlineStr"/>
      <c r="X606" t="n">
        <v/>
      </c>
    </row>
    <row r="607">
      <c r="A607" t="inlineStr">
        <is>
          <t>Asset schedule</t>
        </is>
      </c>
      <c r="B607" t="inlineStr">
        <is>
          <t>E84</t>
        </is>
      </c>
      <c r="C607" t="n">
        <v>84</v>
      </c>
      <c r="D607" t="n">
        <v>5</v>
      </c>
      <c r="E607" t="inlineStr">
        <is>
          <t>Input</t>
        </is>
      </c>
      <c r="F607" t="n">
        <v/>
      </c>
      <c r="G607" t="n">
        <v>0</v>
      </c>
      <c r="H607" t="inlineStr"/>
      <c r="I607" t="inlineStr">
        <is>
          <t>General</t>
        </is>
      </c>
      <c r="J607" t="b">
        <v>0</v>
      </c>
      <c r="K607" t="b">
        <v>0</v>
      </c>
      <c r="L607" t="n">
        <v>11</v>
      </c>
      <c r="M607" t="inlineStr">
        <is>
          <t>FF000000</t>
        </is>
      </c>
      <c r="N607" t="inlineStr">
        <is>
          <t>00000000</t>
        </is>
      </c>
      <c r="O607" t="n">
        <v/>
      </c>
      <c r="P607" t="n">
        <v/>
      </c>
      <c r="R607" t="b">
        <v>1</v>
      </c>
      <c r="S607" t="n">
        <v/>
      </c>
      <c r="T607" t="n">
        <v/>
      </c>
      <c r="U607" t="n">
        <v/>
      </c>
      <c r="V607" t="b">
        <v>0</v>
      </c>
      <c r="W607" t="inlineStr"/>
      <c r="X607" t="n">
        <v/>
      </c>
    </row>
    <row r="608">
      <c r="A608" t="inlineStr">
        <is>
          <t>Asset schedule</t>
        </is>
      </c>
      <c r="B608" t="inlineStr">
        <is>
          <t>F84</t>
        </is>
      </c>
      <c r="C608" t="n">
        <v>84</v>
      </c>
      <c r="D608" t="n">
        <v>6</v>
      </c>
      <c r="E608" t="inlineStr">
        <is>
          <t>Input</t>
        </is>
      </c>
      <c r="F608" t="n">
        <v/>
      </c>
      <c r="G608" t="n">
        <v>0</v>
      </c>
      <c r="H608" t="inlineStr"/>
      <c r="I608" t="inlineStr">
        <is>
          <t>General</t>
        </is>
      </c>
      <c r="J608" t="b">
        <v>0</v>
      </c>
      <c r="K608" t="b">
        <v>0</v>
      </c>
      <c r="L608" t="n">
        <v>11</v>
      </c>
      <c r="M608" t="inlineStr">
        <is>
          <t>FF000000</t>
        </is>
      </c>
      <c r="N608" t="inlineStr">
        <is>
          <t>00000000</t>
        </is>
      </c>
      <c r="O608" t="n">
        <v/>
      </c>
      <c r="P608" t="n">
        <v/>
      </c>
      <c r="R608" t="b">
        <v>1</v>
      </c>
      <c r="S608" t="n">
        <v/>
      </c>
      <c r="T608" t="n">
        <v/>
      </c>
      <c r="U608" t="n">
        <v/>
      </c>
      <c r="V608" t="b">
        <v>0</v>
      </c>
      <c r="W608" t="inlineStr"/>
      <c r="X608" t="n">
        <v/>
      </c>
    </row>
    <row r="609">
      <c r="A609" t="inlineStr">
        <is>
          <t>Asset schedule</t>
        </is>
      </c>
      <c r="B609" t="inlineStr">
        <is>
          <t>G84</t>
        </is>
      </c>
      <c r="C609" t="n">
        <v>84</v>
      </c>
      <c r="D609" t="n">
        <v>7</v>
      </c>
      <c r="E609" t="inlineStr">
        <is>
          <t>Input</t>
        </is>
      </c>
      <c r="F609" t="n">
        <v/>
      </c>
      <c r="G609" t="n">
        <v>0</v>
      </c>
      <c r="H609" t="inlineStr"/>
      <c r="I609" t="inlineStr">
        <is>
          <t>General</t>
        </is>
      </c>
      <c r="J609" t="b">
        <v>0</v>
      </c>
      <c r="K609" t="b">
        <v>0</v>
      </c>
      <c r="L609" t="n">
        <v>11</v>
      </c>
      <c r="M609" t="inlineStr">
        <is>
          <t>FF000000</t>
        </is>
      </c>
      <c r="N609" t="inlineStr">
        <is>
          <t>00000000</t>
        </is>
      </c>
      <c r="O609" t="n">
        <v/>
      </c>
      <c r="P609" t="n">
        <v/>
      </c>
      <c r="R609" t="b">
        <v>1</v>
      </c>
      <c r="S609" t="n">
        <v/>
      </c>
      <c r="T609" t="n">
        <v/>
      </c>
      <c r="U609" t="n">
        <v/>
      </c>
      <c r="V609" t="b">
        <v>0</v>
      </c>
      <c r="W609" t="inlineStr"/>
      <c r="X609" t="n">
        <v/>
      </c>
    </row>
    <row r="610">
      <c r="A610" t="inlineStr">
        <is>
          <t>Asset schedule</t>
        </is>
      </c>
      <c r="B610" t="inlineStr">
        <is>
          <t>H84</t>
        </is>
      </c>
      <c r="C610" t="n">
        <v>84</v>
      </c>
      <c r="D610" t="n">
        <v>8</v>
      </c>
      <c r="E610" t="inlineStr">
        <is>
          <t>Input</t>
        </is>
      </c>
      <c r="F610" t="n">
        <v/>
      </c>
      <c r="G610" t="n">
        <v>0</v>
      </c>
      <c r="H610" t="inlineStr"/>
      <c r="I610" t="inlineStr">
        <is>
          <t>General</t>
        </is>
      </c>
      <c r="J610" t="b">
        <v>0</v>
      </c>
      <c r="K610" t="b">
        <v>0</v>
      </c>
      <c r="L610" t="n">
        <v>11</v>
      </c>
      <c r="M610" t="inlineStr">
        <is>
          <t>FF000000</t>
        </is>
      </c>
      <c r="N610" t="inlineStr">
        <is>
          <t>00000000</t>
        </is>
      </c>
      <c r="O610" t="n">
        <v/>
      </c>
      <c r="P610" t="n">
        <v/>
      </c>
      <c r="R610" t="b">
        <v>1</v>
      </c>
      <c r="S610" t="n">
        <v/>
      </c>
      <c r="T610" t="n">
        <v/>
      </c>
      <c r="U610" t="n">
        <v/>
      </c>
      <c r="V610" t="b">
        <v>0</v>
      </c>
      <c r="W610" t="inlineStr"/>
      <c r="X610" t="n">
        <v/>
      </c>
    </row>
    <row r="611">
      <c r="A611" t="inlineStr">
        <is>
          <t>Asset schedule</t>
        </is>
      </c>
      <c r="B611" t="inlineStr">
        <is>
          <t>I84</t>
        </is>
      </c>
      <c r="C611" t="n">
        <v>84</v>
      </c>
      <c r="D611" t="n">
        <v>9</v>
      </c>
      <c r="E611" t="inlineStr">
        <is>
          <t>Input</t>
        </is>
      </c>
      <c r="F611" t="n">
        <v/>
      </c>
      <c r="G611" t="n">
        <v>0</v>
      </c>
      <c r="H611" t="inlineStr"/>
      <c r="I611" t="inlineStr">
        <is>
          <t>General</t>
        </is>
      </c>
      <c r="J611" t="b">
        <v>0</v>
      </c>
      <c r="K611" t="b">
        <v>0</v>
      </c>
      <c r="L611" t="n">
        <v>11</v>
      </c>
      <c r="M611" t="inlineStr">
        <is>
          <t>FF000000</t>
        </is>
      </c>
      <c r="N611" t="inlineStr">
        <is>
          <t>00000000</t>
        </is>
      </c>
      <c r="O611" t="n">
        <v/>
      </c>
      <c r="P611" t="n">
        <v/>
      </c>
      <c r="R611" t="b">
        <v>1</v>
      </c>
      <c r="S611" t="n">
        <v/>
      </c>
      <c r="T611" t="n">
        <v/>
      </c>
      <c r="U611" t="n">
        <v/>
      </c>
      <c r="V611" t="b">
        <v>0</v>
      </c>
      <c r="W611" t="inlineStr"/>
      <c r="X611" t="n">
        <v/>
      </c>
    </row>
    <row r="612">
      <c r="A612" t="inlineStr">
        <is>
          <t>Asset schedule</t>
        </is>
      </c>
      <c r="B612" t="inlineStr">
        <is>
          <t>A85</t>
        </is>
      </c>
      <c r="C612" t="n">
        <v>85</v>
      </c>
      <c r="D612" t="n">
        <v>1</v>
      </c>
      <c r="E612" t="inlineStr">
        <is>
          <t>Input</t>
        </is>
      </c>
      <c r="F612" t="n">
        <v/>
      </c>
      <c r="G612" t="inlineStr">
        <is>
          <t>Less: Dep</t>
        </is>
      </c>
      <c r="H612" t="inlineStr"/>
      <c r="I612" t="inlineStr">
        <is>
          <t>General</t>
        </is>
      </c>
      <c r="J612" t="b">
        <v>0</v>
      </c>
      <c r="K612" t="b">
        <v>0</v>
      </c>
      <c r="L612" t="n">
        <v>11</v>
      </c>
      <c r="M612" t="inlineStr">
        <is>
          <t>FF000000</t>
        </is>
      </c>
      <c r="N612" t="inlineStr">
        <is>
          <t>00000000</t>
        </is>
      </c>
      <c r="O612" t="n">
        <v/>
      </c>
      <c r="P612" t="n">
        <v/>
      </c>
      <c r="R612" t="b">
        <v>1</v>
      </c>
      <c r="S612" t="n">
        <v/>
      </c>
      <c r="T612" t="n">
        <v/>
      </c>
      <c r="U612" t="n">
        <v/>
      </c>
      <c r="V612" t="b">
        <v>0</v>
      </c>
      <c r="W612" t="inlineStr"/>
      <c r="X612" t="n">
        <v/>
      </c>
    </row>
    <row r="613">
      <c r="A613" t="inlineStr">
        <is>
          <t>Asset schedule</t>
        </is>
      </c>
      <c r="B613" t="inlineStr">
        <is>
          <t>D85</t>
        </is>
      </c>
      <c r="C613" t="n">
        <v>85</v>
      </c>
      <c r="D613" t="n">
        <v>4</v>
      </c>
      <c r="E613" t="inlineStr">
        <is>
          <t>Input</t>
        </is>
      </c>
      <c r="F613" t="n">
        <v/>
      </c>
      <c r="G613" t="n">
        <v>4.52</v>
      </c>
      <c r="H613" t="inlineStr"/>
      <c r="I613" t="inlineStr">
        <is>
          <t>General</t>
        </is>
      </c>
      <c r="J613" t="b">
        <v>0</v>
      </c>
      <c r="K613" t="b">
        <v>0</v>
      </c>
      <c r="L613" t="n">
        <v>11</v>
      </c>
      <c r="M613" t="inlineStr">
        <is>
          <t>FF000000</t>
        </is>
      </c>
      <c r="N613" t="inlineStr">
        <is>
          <t>00000000</t>
        </is>
      </c>
      <c r="O613" t="n">
        <v/>
      </c>
      <c r="P613" t="n">
        <v/>
      </c>
      <c r="R613" t="b">
        <v>1</v>
      </c>
      <c r="S613" t="n">
        <v/>
      </c>
      <c r="T613" t="n">
        <v/>
      </c>
      <c r="U613" t="n">
        <v/>
      </c>
      <c r="V613" t="b">
        <v>0</v>
      </c>
      <c r="W613" t="inlineStr"/>
      <c r="X613" t="n">
        <v/>
      </c>
    </row>
    <row r="614">
      <c r="A614" t="inlineStr">
        <is>
          <t>Asset schedule</t>
        </is>
      </c>
      <c r="B614" t="inlineStr">
        <is>
          <t>E85</t>
        </is>
      </c>
      <c r="C614" t="n">
        <v>85</v>
      </c>
      <c r="D614" t="n">
        <v>5</v>
      </c>
      <c r="E614" t="inlineStr">
        <is>
          <t>Calculation</t>
        </is>
      </c>
      <c r="F614" t="inlineStr">
        <is>
          <t>'=E82*$B87</t>
        </is>
      </c>
      <c r="G614" t="n">
        <v>3.568876135820183</v>
      </c>
      <c r="H614" t="inlineStr"/>
      <c r="I614" t="inlineStr">
        <is>
          <t>0.0</t>
        </is>
      </c>
      <c r="J614" t="b">
        <v>0</v>
      </c>
      <c r="K614" t="b">
        <v>0</v>
      </c>
      <c r="L614" t="n">
        <v>11</v>
      </c>
      <c r="M614" t="inlineStr">
        <is>
          <t>FF000000</t>
        </is>
      </c>
      <c r="N614" t="inlineStr">
        <is>
          <t>00000000</t>
        </is>
      </c>
      <c r="O614" t="n">
        <v/>
      </c>
      <c r="P614" t="n">
        <v/>
      </c>
      <c r="R614" t="b">
        <v>1</v>
      </c>
      <c r="S614" t="inlineStr">
        <is>
          <t>G000111</t>
        </is>
      </c>
      <c r="T614" t="inlineStr">
        <is>
          <t>Horizontal</t>
        </is>
      </c>
      <c r="U614" t="n">
        <v>5</v>
      </c>
      <c r="V614" t="b">
        <v>1</v>
      </c>
      <c r="W614" t="inlineStr">
        <is>
          <t>Asset schedule!E85:I85</t>
        </is>
      </c>
      <c r="X614">
        <f>R[-3]C[0]*R[2]C2</f>
        <v/>
      </c>
    </row>
    <row r="615">
      <c r="A615" t="inlineStr">
        <is>
          <t>Asset schedule</t>
        </is>
      </c>
      <c r="B615" t="inlineStr">
        <is>
          <t>F85</t>
        </is>
      </c>
      <c r="C615" t="n">
        <v>85</v>
      </c>
      <c r="D615" t="n">
        <v>6</v>
      </c>
      <c r="E615" t="inlineStr">
        <is>
          <t>Calculation</t>
        </is>
      </c>
      <c r="F615" t="inlineStr">
        <is>
          <t>'=F82*$B87</t>
        </is>
      </c>
      <c r="G615" t="n">
        <v>3.397826483253322</v>
      </c>
      <c r="H615" t="inlineStr"/>
      <c r="I615" t="inlineStr">
        <is>
          <t>0.0</t>
        </is>
      </c>
      <c r="J615" t="b">
        <v>0</v>
      </c>
      <c r="K615" t="b">
        <v>0</v>
      </c>
      <c r="L615" t="n">
        <v>11</v>
      </c>
      <c r="M615" t="inlineStr">
        <is>
          <t>FF000000</t>
        </is>
      </c>
      <c r="N615" t="inlineStr">
        <is>
          <t>00000000</t>
        </is>
      </c>
      <c r="O615" t="n">
        <v/>
      </c>
      <c r="P615" t="n">
        <v/>
      </c>
      <c r="R615" t="b">
        <v>1</v>
      </c>
      <c r="S615" t="inlineStr">
        <is>
          <t>G000111</t>
        </is>
      </c>
      <c r="T615" t="inlineStr">
        <is>
          <t>Horizontal</t>
        </is>
      </c>
      <c r="U615" t="n">
        <v>5</v>
      </c>
      <c r="V615" t="b">
        <v>1</v>
      </c>
      <c r="W615" t="inlineStr">
        <is>
          <t>Asset schedule!E85:I85</t>
        </is>
      </c>
      <c r="X615">
        <f>R[-3]C[0]*R[2]C2</f>
        <v/>
      </c>
    </row>
    <row r="616">
      <c r="A616" t="inlineStr">
        <is>
          <t>Asset schedule</t>
        </is>
      </c>
      <c r="B616" t="inlineStr">
        <is>
          <t>G85</t>
        </is>
      </c>
      <c r="C616" t="n">
        <v>85</v>
      </c>
      <c r="D616" t="n">
        <v>7</v>
      </c>
      <c r="E616" t="inlineStr">
        <is>
          <t>Calculation</t>
        </is>
      </c>
      <c r="F616" t="inlineStr">
        <is>
          <t>'=G82*$B87</t>
        </is>
      </c>
      <c r="G616" t="n">
        <v>3.309338739735233</v>
      </c>
      <c r="H616" t="inlineStr"/>
      <c r="I616" t="inlineStr">
        <is>
          <t>0.0</t>
        </is>
      </c>
      <c r="J616" t="b">
        <v>0</v>
      </c>
      <c r="K616" t="b">
        <v>0</v>
      </c>
      <c r="L616" t="n">
        <v>11</v>
      </c>
      <c r="M616" t="inlineStr">
        <is>
          <t>FF000000</t>
        </is>
      </c>
      <c r="N616" t="inlineStr">
        <is>
          <t>00000000</t>
        </is>
      </c>
      <c r="O616" t="n">
        <v/>
      </c>
      <c r="P616" t="n">
        <v/>
      </c>
      <c r="R616" t="b">
        <v>1</v>
      </c>
      <c r="S616" t="inlineStr">
        <is>
          <t>G000111</t>
        </is>
      </c>
      <c r="T616" t="inlineStr">
        <is>
          <t>Horizontal</t>
        </is>
      </c>
      <c r="U616" t="n">
        <v>5</v>
      </c>
      <c r="V616" t="b">
        <v>1</v>
      </c>
      <c r="W616" t="inlineStr">
        <is>
          <t>Asset schedule!E85:I85</t>
        </is>
      </c>
      <c r="X616">
        <f>R[-3]C[0]*R[2]C2</f>
        <v/>
      </c>
    </row>
    <row r="617">
      <c r="A617" t="inlineStr">
        <is>
          <t>Asset schedule</t>
        </is>
      </c>
      <c r="B617" t="inlineStr">
        <is>
          <t>H85</t>
        </is>
      </c>
      <c r="C617" t="n">
        <v>85</v>
      </c>
      <c r="D617" t="n">
        <v>8</v>
      </c>
      <c r="E617" t="inlineStr">
        <is>
          <t>Calculation</t>
        </is>
      </c>
      <c r="F617" t="inlineStr">
        <is>
          <t>'=H82*$B87</t>
        </is>
      </c>
      <c r="G617" t="n">
        <v>3.288623617853839</v>
      </c>
      <c r="H617" t="inlineStr"/>
      <c r="I617" t="inlineStr">
        <is>
          <t>0.0</t>
        </is>
      </c>
      <c r="J617" t="b">
        <v>0</v>
      </c>
      <c r="K617" t="b">
        <v>0</v>
      </c>
      <c r="L617" t="n">
        <v>11</v>
      </c>
      <c r="M617" t="inlineStr">
        <is>
          <t>FF000000</t>
        </is>
      </c>
      <c r="N617" t="inlineStr">
        <is>
          <t>00000000</t>
        </is>
      </c>
      <c r="O617" t="n">
        <v/>
      </c>
      <c r="P617" t="n">
        <v/>
      </c>
      <c r="R617" t="b">
        <v>1</v>
      </c>
      <c r="S617" t="inlineStr">
        <is>
          <t>G000111</t>
        </is>
      </c>
      <c r="T617" t="inlineStr">
        <is>
          <t>Horizontal</t>
        </is>
      </c>
      <c r="U617" t="n">
        <v>5</v>
      </c>
      <c r="V617" t="b">
        <v>1</v>
      </c>
      <c r="W617" t="inlineStr">
        <is>
          <t>Asset schedule!E85:I85</t>
        </is>
      </c>
      <c r="X617">
        <f>R[-3]C[0]*R[2]C2</f>
        <v/>
      </c>
    </row>
    <row r="618">
      <c r="A618" t="inlineStr">
        <is>
          <t>Asset schedule</t>
        </is>
      </c>
      <c r="B618" t="inlineStr">
        <is>
          <t>I85</t>
        </is>
      </c>
      <c r="C618" t="n">
        <v>85</v>
      </c>
      <c r="D618" t="n">
        <v>9</v>
      </c>
      <c r="E618" t="inlineStr">
        <is>
          <t>Calculation</t>
        </is>
      </c>
      <c r="F618" t="inlineStr">
        <is>
          <t>'=I82*$B87</t>
        </is>
      </c>
      <c r="G618" t="n">
        <v>3.32428054847982</v>
      </c>
      <c r="H618" t="inlineStr"/>
      <c r="I618" t="inlineStr">
        <is>
          <t>0.0</t>
        </is>
      </c>
      <c r="J618" t="b">
        <v>0</v>
      </c>
      <c r="K618" t="b">
        <v>0</v>
      </c>
      <c r="L618" t="n">
        <v>11</v>
      </c>
      <c r="M618" t="inlineStr">
        <is>
          <t>FF000000</t>
        </is>
      </c>
      <c r="N618" t="inlineStr">
        <is>
          <t>00000000</t>
        </is>
      </c>
      <c r="O618" t="n">
        <v/>
      </c>
      <c r="P618" t="n">
        <v/>
      </c>
      <c r="R618" t="b">
        <v>1</v>
      </c>
      <c r="S618" t="inlineStr">
        <is>
          <t>G000111</t>
        </is>
      </c>
      <c r="T618" t="inlineStr">
        <is>
          <t>Horizontal</t>
        </is>
      </c>
      <c r="U618" t="n">
        <v>5</v>
      </c>
      <c r="V618" t="b">
        <v>1</v>
      </c>
      <c r="W618" t="inlineStr">
        <is>
          <t>Asset schedule!E85:I85</t>
        </is>
      </c>
      <c r="X618">
        <f>R[-3]C[0]*R[2]C2</f>
        <v/>
      </c>
    </row>
    <row r="619">
      <c r="A619" t="inlineStr">
        <is>
          <t>Asset schedule</t>
        </is>
      </c>
      <c r="B619" t="inlineStr">
        <is>
          <t>A86</t>
        </is>
      </c>
      <c r="C619" t="n">
        <v>86</v>
      </c>
      <c r="D619" t="n">
        <v>1</v>
      </c>
      <c r="E619" t="inlineStr">
        <is>
          <t>Input</t>
        </is>
      </c>
      <c r="F619" t="n">
        <v/>
      </c>
      <c r="G619" t="inlineStr">
        <is>
          <t>Closing balance</t>
        </is>
      </c>
      <c r="H619" t="inlineStr"/>
      <c r="I619" t="inlineStr">
        <is>
          <t>General</t>
        </is>
      </c>
      <c r="J619" t="b">
        <v>0</v>
      </c>
      <c r="K619" t="b">
        <v>0</v>
      </c>
      <c r="L619" t="n">
        <v>11</v>
      </c>
      <c r="M619" t="inlineStr">
        <is>
          <t>FF000000</t>
        </is>
      </c>
      <c r="N619" t="inlineStr">
        <is>
          <t>00000000</t>
        </is>
      </c>
      <c r="O619" t="n">
        <v/>
      </c>
      <c r="P619" t="n">
        <v/>
      </c>
      <c r="R619" t="b">
        <v>1</v>
      </c>
      <c r="S619" t="n">
        <v/>
      </c>
      <c r="T619" t="n">
        <v/>
      </c>
      <c r="U619" t="n">
        <v/>
      </c>
      <c r="V619" t="b">
        <v>0</v>
      </c>
      <c r="W619" t="inlineStr"/>
      <c r="X619" t="n">
        <v/>
      </c>
    </row>
    <row r="620">
      <c r="A620" t="inlineStr">
        <is>
          <t>Asset schedule</t>
        </is>
      </c>
      <c r="B620" t="inlineStr">
        <is>
          <t>D86</t>
        </is>
      </c>
      <c r="C620" t="n">
        <v>86</v>
      </c>
      <c r="D620" t="n">
        <v>4</v>
      </c>
      <c r="E620" t="inlineStr">
        <is>
          <t>Input</t>
        </is>
      </c>
      <c r="F620" t="n">
        <v/>
      </c>
      <c r="G620" t="n">
        <v>16.51</v>
      </c>
      <c r="H620" t="inlineStr"/>
      <c r="I620" t="inlineStr">
        <is>
          <t>General</t>
        </is>
      </c>
      <c r="J620" t="b">
        <v>0</v>
      </c>
      <c r="K620" t="b">
        <v>0</v>
      </c>
      <c r="L620" t="n">
        <v>11</v>
      </c>
      <c r="M620" t="inlineStr">
        <is>
          <t>FF000000</t>
        </is>
      </c>
      <c r="N620" t="inlineStr">
        <is>
          <t>00000000</t>
        </is>
      </c>
      <c r="O620" t="n">
        <v/>
      </c>
      <c r="P620" t="n">
        <v/>
      </c>
      <c r="R620" t="b">
        <v>1</v>
      </c>
      <c r="S620" t="n">
        <v/>
      </c>
      <c r="T620" t="n">
        <v/>
      </c>
      <c r="U620" t="n">
        <v/>
      </c>
      <c r="V620" t="b">
        <v>0</v>
      </c>
      <c r="W620" t="inlineStr"/>
      <c r="X620" t="n">
        <v/>
      </c>
    </row>
    <row r="621">
      <c r="A621" t="inlineStr">
        <is>
          <t>Asset schedule</t>
        </is>
      </c>
      <c r="B621" t="inlineStr">
        <is>
          <t>E86</t>
        </is>
      </c>
      <c r="C621" t="n">
        <v>86</v>
      </c>
      <c r="D621" t="n">
        <v>5</v>
      </c>
      <c r="E621" t="inlineStr">
        <is>
          <t>Calculation</t>
        </is>
      </c>
      <c r="F621" t="inlineStr">
        <is>
          <t>'=E82+E83-E84-E85</t>
        </is>
      </c>
      <c r="G621" t="n">
        <v>15.71870614266083</v>
      </c>
      <c r="H621" t="inlineStr"/>
      <c r="I621" t="inlineStr">
        <is>
          <t>0.00</t>
        </is>
      </c>
      <c r="J621" t="b">
        <v>0</v>
      </c>
      <c r="K621" t="b">
        <v>0</v>
      </c>
      <c r="L621" t="n">
        <v>11</v>
      </c>
      <c r="M621" t="inlineStr">
        <is>
          <t>FF000000</t>
        </is>
      </c>
      <c r="N621" t="inlineStr">
        <is>
          <t>00000000</t>
        </is>
      </c>
      <c r="O621" t="n">
        <v/>
      </c>
      <c r="P621" t="n">
        <v/>
      </c>
      <c r="R621" t="b">
        <v>1</v>
      </c>
      <c r="S621" t="inlineStr">
        <is>
          <t>G000135</t>
        </is>
      </c>
      <c r="T621" t="inlineStr">
        <is>
          <t>Horizontal</t>
        </is>
      </c>
      <c r="U621" t="n">
        <v>5</v>
      </c>
      <c r="V621" t="b">
        <v>1</v>
      </c>
      <c r="W621" t="inlineStr">
        <is>
          <t>Asset schedule!E86:I86</t>
        </is>
      </c>
      <c r="X621">
        <f>R[-4]C[0]+R[-3]C[0]-R[-2]C[0]-R[-1]C[0]</f>
        <v/>
      </c>
    </row>
    <row r="622">
      <c r="A622" t="inlineStr">
        <is>
          <t>Asset schedule</t>
        </is>
      </c>
      <c r="B622" t="inlineStr">
        <is>
          <t>F86</t>
        </is>
      </c>
      <c r="C622" t="n">
        <v>86</v>
      </c>
      <c r="D622" t="n">
        <v>6</v>
      </c>
      <c r="E622" t="inlineStr">
        <is>
          <t>Calculation</t>
        </is>
      </c>
      <c r="F622" t="inlineStr">
        <is>
          <t>'=F82+F83-F84-F85</t>
        </is>
      </c>
      <c r="G622" t="n">
        <v>15.30935244421764</v>
      </c>
      <c r="H622" t="inlineStr"/>
      <c r="I622" t="inlineStr">
        <is>
          <t>0.00</t>
        </is>
      </c>
      <c r="J622" t="b">
        <v>0</v>
      </c>
      <c r="K622" t="b">
        <v>0</v>
      </c>
      <c r="L622" t="n">
        <v>11</v>
      </c>
      <c r="M622" t="inlineStr">
        <is>
          <t>FF000000</t>
        </is>
      </c>
      <c r="N622" t="inlineStr">
        <is>
          <t>00000000</t>
        </is>
      </c>
      <c r="O622" t="n">
        <v/>
      </c>
      <c r="P622" t="n">
        <v/>
      </c>
      <c r="R622" t="b">
        <v>1</v>
      </c>
      <c r="S622" t="inlineStr">
        <is>
          <t>G000135</t>
        </is>
      </c>
      <c r="T622" t="inlineStr">
        <is>
          <t>Horizontal</t>
        </is>
      </c>
      <c r="U622" t="n">
        <v>5</v>
      </c>
      <c r="V622" t="b">
        <v>1</v>
      </c>
      <c r="W622" t="inlineStr">
        <is>
          <t>Asset schedule!E86:I86</t>
        </is>
      </c>
      <c r="X622">
        <f>R[-4]C[0]+R[-3]C[0]-R[-2]C[0]-R[-1]C[0]</f>
        <v/>
      </c>
    </row>
    <row r="623">
      <c r="A623" t="inlineStr">
        <is>
          <t>Asset schedule</t>
        </is>
      </c>
      <c r="B623" t="inlineStr">
        <is>
          <t>G86</t>
        </is>
      </c>
      <c r="C623" t="n">
        <v>86</v>
      </c>
      <c r="D623" t="n">
        <v>7</v>
      </c>
      <c r="E623" t="inlineStr">
        <is>
          <t>Calculation</t>
        </is>
      </c>
      <c r="F623" t="inlineStr">
        <is>
          <t>'=G82+G83-G84-G85</t>
        </is>
      </c>
      <c r="G623" t="n">
        <v>15.21352209055835</v>
      </c>
      <c r="H623" t="inlineStr"/>
      <c r="I623" t="inlineStr">
        <is>
          <t>0.00</t>
        </is>
      </c>
      <c r="J623" t="b">
        <v>0</v>
      </c>
      <c r="K623" t="b">
        <v>0</v>
      </c>
      <c r="L623" t="n">
        <v>11</v>
      </c>
      <c r="M623" t="inlineStr">
        <is>
          <t>FF000000</t>
        </is>
      </c>
      <c r="N623" t="inlineStr">
        <is>
          <t>00000000</t>
        </is>
      </c>
      <c r="O623" t="n">
        <v/>
      </c>
      <c r="P623" t="n">
        <v/>
      </c>
      <c r="R623" t="b">
        <v>1</v>
      </c>
      <c r="S623" t="inlineStr">
        <is>
          <t>G000135</t>
        </is>
      </c>
      <c r="T623" t="inlineStr">
        <is>
          <t>Horizontal</t>
        </is>
      </c>
      <c r="U623" t="n">
        <v>5</v>
      </c>
      <c r="V623" t="b">
        <v>1</v>
      </c>
      <c r="W623" t="inlineStr">
        <is>
          <t>Asset schedule!E86:I86</t>
        </is>
      </c>
      <c r="X623">
        <f>R[-4]C[0]+R[-3]C[0]-R[-2]C[0]-R[-1]C[0]</f>
        <v/>
      </c>
    </row>
    <row r="624">
      <c r="A624" t="inlineStr">
        <is>
          <t>Asset schedule</t>
        </is>
      </c>
      <c r="B624" t="inlineStr">
        <is>
          <t>H86</t>
        </is>
      </c>
      <c r="C624" t="n">
        <v>86</v>
      </c>
      <c r="D624" t="n">
        <v>8</v>
      </c>
      <c r="E624" t="inlineStr">
        <is>
          <t>Calculation</t>
        </is>
      </c>
      <c r="F624" t="inlineStr">
        <is>
          <t>'=H82+H83-H84-H85</t>
        </is>
      </c>
      <c r="G624" t="n">
        <v>15.37847483821085</v>
      </c>
      <c r="H624" t="inlineStr"/>
      <c r="I624" t="inlineStr">
        <is>
          <t>0.00</t>
        </is>
      </c>
      <c r="J624" t="b">
        <v>0</v>
      </c>
      <c r="K624" t="b">
        <v>0</v>
      </c>
      <c r="L624" t="n">
        <v>11</v>
      </c>
      <c r="M624" t="inlineStr">
        <is>
          <t>FF000000</t>
        </is>
      </c>
      <c r="N624" t="inlineStr">
        <is>
          <t>00000000</t>
        </is>
      </c>
      <c r="O624" t="n">
        <v/>
      </c>
      <c r="P624" t="n">
        <v/>
      </c>
      <c r="R624" t="b">
        <v>1</v>
      </c>
      <c r="S624" t="inlineStr">
        <is>
          <t>G000135</t>
        </is>
      </c>
      <c r="T624" t="inlineStr">
        <is>
          <t>Horizontal</t>
        </is>
      </c>
      <c r="U624" t="n">
        <v>5</v>
      </c>
      <c r="V624" t="b">
        <v>1</v>
      </c>
      <c r="W624" t="inlineStr">
        <is>
          <t>Asset schedule!E86:I86</t>
        </is>
      </c>
      <c r="X624">
        <f>R[-4]C[0]+R[-3]C[0]-R[-2]C[0]-R[-1]C[0]</f>
        <v/>
      </c>
    </row>
    <row r="625">
      <c r="A625" t="inlineStr">
        <is>
          <t>Asset schedule</t>
        </is>
      </c>
      <c r="B625" t="inlineStr">
        <is>
          <t>I86</t>
        </is>
      </c>
      <c r="C625" t="n">
        <v>86</v>
      </c>
      <c r="D625" t="n">
        <v>9</v>
      </c>
      <c r="E625" t="inlineStr">
        <is>
          <t>Calculation</t>
        </is>
      </c>
      <c r="F625" t="inlineStr">
        <is>
          <t>'=I82+I83-I84-I85</t>
        </is>
      </c>
      <c r="G625" t="n">
        <v>15.76381166164559</v>
      </c>
      <c r="H625" t="inlineStr"/>
      <c r="I625" t="inlineStr">
        <is>
          <t>0.00</t>
        </is>
      </c>
      <c r="J625" t="b">
        <v>0</v>
      </c>
      <c r="K625" t="b">
        <v>0</v>
      </c>
      <c r="L625" t="n">
        <v>11</v>
      </c>
      <c r="M625" t="inlineStr">
        <is>
          <t>FF000000</t>
        </is>
      </c>
      <c r="N625" t="inlineStr">
        <is>
          <t>00000000</t>
        </is>
      </c>
      <c r="O625" t="n">
        <v/>
      </c>
      <c r="P625" t="n">
        <v/>
      </c>
      <c r="R625" t="b">
        <v>1</v>
      </c>
      <c r="S625" t="inlineStr">
        <is>
          <t>G000135</t>
        </is>
      </c>
      <c r="T625" t="inlineStr">
        <is>
          <t>Horizontal</t>
        </is>
      </c>
      <c r="U625" t="n">
        <v>5</v>
      </c>
      <c r="V625" t="b">
        <v>1</v>
      </c>
      <c r="W625" t="inlineStr">
        <is>
          <t>Asset schedule!E86:I86</t>
        </is>
      </c>
      <c r="X625">
        <f>R[-4]C[0]+R[-3]C[0]-R[-2]C[0]-R[-1]C[0]</f>
        <v/>
      </c>
    </row>
    <row r="626">
      <c r="A626" t="inlineStr">
        <is>
          <t>Asset schedule</t>
        </is>
      </c>
      <c r="B626" t="inlineStr">
        <is>
          <t>A87</t>
        </is>
      </c>
      <c r="C626" t="n">
        <v>87</v>
      </c>
      <c r="D626" t="n">
        <v>1</v>
      </c>
      <c r="E626" t="inlineStr">
        <is>
          <t>Input</t>
        </is>
      </c>
      <c r="F626" t="n">
        <v/>
      </c>
      <c r="G626" t="inlineStr">
        <is>
          <t>Depreciation rate</t>
        </is>
      </c>
      <c r="H626" t="inlineStr"/>
      <c r="I626" t="inlineStr">
        <is>
          <t>General</t>
        </is>
      </c>
      <c r="J626" t="b">
        <v>0</v>
      </c>
      <c r="K626" t="b">
        <v>0</v>
      </c>
      <c r="L626" t="n">
        <v>11</v>
      </c>
      <c r="M626" t="inlineStr">
        <is>
          <t>FF000000</t>
        </is>
      </c>
      <c r="N626" t="inlineStr">
        <is>
          <t>00000000</t>
        </is>
      </c>
      <c r="O626" t="n">
        <v/>
      </c>
      <c r="P626" t="n">
        <v/>
      </c>
      <c r="R626" t="b">
        <v>1</v>
      </c>
      <c r="S626" t="n">
        <v/>
      </c>
      <c r="T626" t="n">
        <v/>
      </c>
      <c r="U626" t="n">
        <v/>
      </c>
      <c r="V626" t="b">
        <v>0</v>
      </c>
      <c r="W626" t="inlineStr"/>
      <c r="X626" t="n">
        <v/>
      </c>
    </row>
    <row r="627">
      <c r="A627" t="inlineStr">
        <is>
          <t>Asset schedule</t>
        </is>
      </c>
      <c r="B627" t="inlineStr">
        <is>
          <t>B87</t>
        </is>
      </c>
      <c r="C627" t="n">
        <v>87</v>
      </c>
      <c r="D627" t="n">
        <v>2</v>
      </c>
      <c r="E627" t="inlineStr">
        <is>
          <t>Calculation</t>
        </is>
      </c>
      <c r="F627" t="inlineStr">
        <is>
          <t>'=D85/(D82+D83-D84)</t>
        </is>
      </c>
      <c r="G627" t="n">
        <v>0.2161645145863224</v>
      </c>
      <c r="H627" t="inlineStr"/>
      <c r="I627" t="inlineStr">
        <is>
          <t>0%</t>
        </is>
      </c>
      <c r="J627" t="b">
        <v>0</v>
      </c>
      <c r="K627" t="b">
        <v>0</v>
      </c>
      <c r="L627" t="n">
        <v>11</v>
      </c>
      <c r="M627" t="inlineStr">
        <is>
          <t>FF000000</t>
        </is>
      </c>
      <c r="N627" t="inlineStr">
        <is>
          <t>00000000</t>
        </is>
      </c>
      <c r="O627" t="n">
        <v/>
      </c>
      <c r="P627" t="n">
        <v/>
      </c>
      <c r="R627" t="b">
        <v>1</v>
      </c>
      <c r="S627" t="inlineStr">
        <is>
          <t>G000136</t>
        </is>
      </c>
      <c r="T627" t="inlineStr">
        <is>
          <t>Block</t>
        </is>
      </c>
      <c r="U627" t="n">
        <v>11</v>
      </c>
      <c r="V627" t="b">
        <v>1</v>
      </c>
      <c r="W627" t="inlineStr">
        <is>
          <t>Asset schedule!B7:B87</t>
        </is>
      </c>
      <c r="X627">
        <f>R[-2]C[2]/(R[-5]C[2]+R[-4]C[2]-R[-3]C[2])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Balance Sheet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n">
        <v>2015</v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Balance Sheet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n">
        <v>2016</v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Balance Sheet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n">
        <v>2017</v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Balance Sheet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2018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Balance Sheet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2019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Balance Sheet</t>
        </is>
      </c>
      <c r="B7" t="inlineStr">
        <is>
          <t>G1</t>
        </is>
      </c>
      <c r="C7" t="n">
        <v>1</v>
      </c>
      <c r="D7" t="n">
        <v>7</v>
      </c>
      <c r="E7" t="inlineStr">
        <is>
          <t>Input</t>
        </is>
      </c>
      <c r="F7" t="n">
        <v/>
      </c>
      <c r="G7" t="inlineStr">
        <is>
          <t>2020 F</t>
        </is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Values must be of type &lt;class 'str'&gt;</t>
        </is>
      </c>
      <c r="N7" t="inlineStr">
        <is>
          <t>Values must be of type &lt;class 'str'&gt;</t>
        </is>
      </c>
      <c r="O7" t="inlineStr">
        <is>
          <t>center</t>
        </is>
      </c>
      <c r="P7" t="inlineStr">
        <is>
          <t>center</t>
        </is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Balance Sheet</t>
        </is>
      </c>
      <c r="B8" t="inlineStr">
        <is>
          <t>H1</t>
        </is>
      </c>
      <c r="C8" t="n">
        <v>1</v>
      </c>
      <c r="D8" t="n">
        <v>8</v>
      </c>
      <c r="E8" t="inlineStr">
        <is>
          <t>Input</t>
        </is>
      </c>
      <c r="F8" t="n">
        <v/>
      </c>
      <c r="G8" t="inlineStr">
        <is>
          <t>2021 F</t>
        </is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Values must be of type &lt;class 'str'&gt;</t>
        </is>
      </c>
      <c r="N8" t="inlineStr">
        <is>
          <t>Values must be of type &lt;class 'str'&gt;</t>
        </is>
      </c>
      <c r="O8" t="inlineStr">
        <is>
          <t>center</t>
        </is>
      </c>
      <c r="P8" t="inlineStr">
        <is>
          <t>center</t>
        </is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Balance Sheet</t>
        </is>
      </c>
      <c r="B9" t="inlineStr">
        <is>
          <t>I1</t>
        </is>
      </c>
      <c r="C9" t="n">
        <v>1</v>
      </c>
      <c r="D9" t="n">
        <v>9</v>
      </c>
      <c r="E9" t="inlineStr">
        <is>
          <t>Input</t>
        </is>
      </c>
      <c r="F9" t="n">
        <v/>
      </c>
      <c r="G9" t="inlineStr">
        <is>
          <t>2022 F</t>
        </is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Values must be of type &lt;class 'str'&gt;</t>
        </is>
      </c>
      <c r="N9" t="inlineStr">
        <is>
          <t>Values must be of type &lt;class 'str'&gt;</t>
        </is>
      </c>
      <c r="O9" t="inlineStr">
        <is>
          <t>center</t>
        </is>
      </c>
      <c r="P9" t="inlineStr">
        <is>
          <t>center</t>
        </is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Balance Sheet</t>
        </is>
      </c>
      <c r="B10" t="inlineStr">
        <is>
          <t>A2</t>
        </is>
      </c>
      <c r="C10" t="n">
        <v>2</v>
      </c>
      <c r="D10" t="n">
        <v>1</v>
      </c>
      <c r="E10" t="inlineStr">
        <is>
          <t>Input</t>
        </is>
      </c>
      <c r="F10" t="n">
        <v/>
      </c>
      <c r="G10" t="inlineStr">
        <is>
          <t>A. ASSETS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Balance Sheet</t>
        </is>
      </c>
      <c r="B11" t="inlineStr">
        <is>
          <t>A3</t>
        </is>
      </c>
      <c r="C11" t="n">
        <v>3</v>
      </c>
      <c r="D11" t="n">
        <v>1</v>
      </c>
      <c r="E11" t="inlineStr">
        <is>
          <t>Input</t>
        </is>
      </c>
      <c r="F11" t="n">
        <v/>
      </c>
      <c r="G11" t="inlineStr">
        <is>
          <t>1) Non-current assets</t>
        </is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inlineStr">
        <is>
          <t>left</t>
        </is>
      </c>
      <c r="P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Balance Sheet</t>
        </is>
      </c>
      <c r="B12" t="inlineStr">
        <is>
          <t>A4</t>
        </is>
      </c>
      <c r="C12" t="n">
        <v>4</v>
      </c>
      <c r="D12" t="n">
        <v>1</v>
      </c>
      <c r="E12" t="inlineStr">
        <is>
          <t>Input</t>
        </is>
      </c>
      <c r="F12" t="n">
        <v/>
      </c>
      <c r="G12" t="inlineStr">
        <is>
          <t>a) Property, Plant and Equipment</t>
        </is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inlineStr">
        <is>
          <t>left</t>
        </is>
      </c>
      <c r="P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Balance Sheet</t>
        </is>
      </c>
      <c r="B13" t="inlineStr">
        <is>
          <t>C4</t>
        </is>
      </c>
      <c r="C13" t="n">
        <v>4</v>
      </c>
      <c r="D13" t="n">
        <v>3</v>
      </c>
      <c r="E13" t="inlineStr">
        <is>
          <t>Input</t>
        </is>
      </c>
      <c r="F13" t="n">
        <v/>
      </c>
      <c r="G13" t="n">
        <v>7524.48</v>
      </c>
      <c r="H13" t="inlineStr"/>
      <c r="I13" t="inlineStr">
        <is>
          <t>_-* #,##0_-;\-* #,##0_-;_-* "-"??_-;_-@_-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Balance Sheet</t>
        </is>
      </c>
      <c r="B14" t="inlineStr">
        <is>
          <t>D4</t>
        </is>
      </c>
      <c r="C14" t="n">
        <v>4</v>
      </c>
      <c r="D14" t="n">
        <v>4</v>
      </c>
      <c r="E14" t="inlineStr">
        <is>
          <t>Input</t>
        </is>
      </c>
      <c r="F14" t="n">
        <v/>
      </c>
      <c r="G14" t="n">
        <v>7224.46</v>
      </c>
      <c r="H14" t="inlineStr"/>
      <c r="I14" t="inlineStr">
        <is>
          <t>_-* #,##0_-;\-* #,##0_-;_-* "-"??_-;_-@_-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Balance Sheet</t>
        </is>
      </c>
      <c r="B15" t="inlineStr">
        <is>
          <t>E4</t>
        </is>
      </c>
      <c r="C15" t="n">
        <v>4</v>
      </c>
      <c r="D15" t="n">
        <v>5</v>
      </c>
      <c r="E15" t="inlineStr">
        <is>
          <t>Calculation</t>
        </is>
      </c>
      <c r="F15" t="inlineStr">
        <is>
          <t>'='Asset schedule'!E6+'Asset schedule'!E14+'Asset schedule'!E22+'Asset schedule'!E30+'Asset schedule'!E38+'Asset schedule'!E46+'Asset schedule'!E54+'Asset schedule'!E62+'Asset schedule'!E70+'Asset schedule'!E78+'Asset schedule'!E86</t>
        </is>
      </c>
      <c r="G15" t="n">
        <v>7088.693052020696</v>
      </c>
      <c r="H15" t="inlineStr"/>
      <c r="I15" t="inlineStr">
        <is>
          <t>_-* #,##0_-;\-* #,##0_-;_-* "-"??_-;_-@_-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FFFFFF00</t>
        </is>
      </c>
      <c r="O15" t="n">
        <v/>
      </c>
      <c r="P15" t="n">
        <v/>
      </c>
      <c r="R15" t="b">
        <v>1</v>
      </c>
      <c r="S15" t="inlineStr">
        <is>
          <t>G000138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Balance Sheet!E4:I4</t>
        </is>
      </c>
      <c r="X15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6">
      <c r="A16" t="inlineStr">
        <is>
          <t>Balance Sheet</t>
        </is>
      </c>
      <c r="B16" t="inlineStr">
        <is>
          <t>F4</t>
        </is>
      </c>
      <c r="C16" t="n">
        <v>4</v>
      </c>
      <c r="D16" t="n">
        <v>6</v>
      </c>
      <c r="E16" t="inlineStr">
        <is>
          <t>Calculation</t>
        </is>
      </c>
      <c r="F16" t="inlineStr">
        <is>
          <t>'='Asset schedule'!F6+'Asset schedule'!F14+'Asset schedule'!F22+'Asset schedule'!F30+'Asset schedule'!F38+'Asset schedule'!F46+'Asset schedule'!F54+'Asset schedule'!F62+'Asset schedule'!F70+'Asset schedule'!F78+'Asset schedule'!F86</t>
        </is>
      </c>
      <c r="G16" t="n">
        <v>6960.331255933688</v>
      </c>
      <c r="H16" t="inlineStr"/>
      <c r="I16" t="inlineStr">
        <is>
          <t>_-* #,##0_-;\-* #,##0_-;_-* "-"??_-;_-@_-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FFFFFF00</t>
        </is>
      </c>
      <c r="O16" t="n">
        <v/>
      </c>
      <c r="P16" t="n">
        <v/>
      </c>
      <c r="R16" t="b">
        <v>1</v>
      </c>
      <c r="S16" t="inlineStr">
        <is>
          <t>G000138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Balance Sheet!E4:I4</t>
        </is>
      </c>
      <c r="X16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7">
      <c r="A17" t="inlineStr">
        <is>
          <t>Balance Sheet</t>
        </is>
      </c>
      <c r="B17" t="inlineStr">
        <is>
          <t>G4</t>
        </is>
      </c>
      <c r="C17" t="n">
        <v>4</v>
      </c>
      <c r="D17" t="n">
        <v>7</v>
      </c>
      <c r="E17" t="inlineStr">
        <is>
          <t>Calculation</t>
        </is>
      </c>
      <c r="F17" t="inlineStr">
        <is>
          <t>'='Asset schedule'!G6+'Asset schedule'!G14+'Asset schedule'!G22+'Asset schedule'!G30+'Asset schedule'!G38+'Asset schedule'!G46+'Asset schedule'!G54+'Asset schedule'!G62+'Asset schedule'!G70+'Asset schedule'!G78+'Asset schedule'!G86</t>
        </is>
      </c>
      <c r="G17" t="n">
        <v>6876.924751098072</v>
      </c>
      <c r="H17" t="inlineStr"/>
      <c r="I17" t="inlineStr">
        <is>
          <t>_-* #,##0_-;\-* #,##0_-;_-* "-"??_-;_-@_-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FFFFFF00</t>
        </is>
      </c>
      <c r="O17" t="n">
        <v/>
      </c>
      <c r="P17" t="n">
        <v/>
      </c>
      <c r="R17" t="b">
        <v>1</v>
      </c>
      <c r="S17" t="inlineStr">
        <is>
          <t>G000138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Balance Sheet!E4:I4</t>
        </is>
      </c>
      <c r="X17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8">
      <c r="A18" t="inlineStr">
        <is>
          <t>Balance Sheet</t>
        </is>
      </c>
      <c r="B18" t="inlineStr">
        <is>
          <t>H4</t>
        </is>
      </c>
      <c r="C18" t="n">
        <v>4</v>
      </c>
      <c r="D18" t="n">
        <v>8</v>
      </c>
      <c r="E18" t="inlineStr">
        <is>
          <t>Calculation</t>
        </is>
      </c>
      <c r="F18" t="inlineStr">
        <is>
          <t>'='Asset schedule'!H6+'Asset schedule'!H14+'Asset schedule'!H22+'Asset schedule'!H30+'Asset schedule'!H38+'Asset schedule'!H46+'Asset schedule'!H54+'Asset schedule'!H62+'Asset schedule'!H70+'Asset schedule'!H78+'Asset schedule'!H86</t>
        </is>
      </c>
      <c r="G18" t="n">
        <v>6836.457073271327</v>
      </c>
      <c r="H18" t="inlineStr"/>
      <c r="I18" t="inlineStr">
        <is>
          <t>_-* #,##0_-;\-* #,##0_-;_-* "-"??_-;_-@_-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FFFFFF00</t>
        </is>
      </c>
      <c r="O18" t="n">
        <v/>
      </c>
      <c r="P18" t="n">
        <v/>
      </c>
      <c r="R18" t="b">
        <v>1</v>
      </c>
      <c r="S18" t="inlineStr">
        <is>
          <t>G000138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Balance Sheet!E4:I4</t>
        </is>
      </c>
      <c r="X18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19">
      <c r="A19" t="inlineStr">
        <is>
          <t>Balance Sheet</t>
        </is>
      </c>
      <c r="B19" t="inlineStr">
        <is>
          <t>I4</t>
        </is>
      </c>
      <c r="C19" t="n">
        <v>4</v>
      </c>
      <c r="D19" t="n">
        <v>9</v>
      </c>
      <c r="E19" t="inlineStr">
        <is>
          <t>Calculation</t>
        </is>
      </c>
      <c r="F19" t="inlineStr">
        <is>
          <t>'='Asset schedule'!I6+'Asset schedule'!I14+'Asset schedule'!I22+'Asset schedule'!I30+'Asset schedule'!I38+'Asset schedule'!I46+'Asset schedule'!I54+'Asset schedule'!I62+'Asset schedule'!I70+'Asset schedule'!I78+'Asset schedule'!I86</t>
        </is>
      </c>
      <c r="G19" t="n">
        <v>6837.308117831549</v>
      </c>
      <c r="H19" t="inlineStr"/>
      <c r="I19" t="inlineStr">
        <is>
          <t>_-* #,##0_-;\-* #,##0_-;_-* "-"??_-;_-@_-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FFFFFF00</t>
        </is>
      </c>
      <c r="O19" t="n">
        <v/>
      </c>
      <c r="P19" t="n">
        <v/>
      </c>
      <c r="R19" t="b">
        <v>1</v>
      </c>
      <c r="S19" t="inlineStr">
        <is>
          <t>G000138</t>
        </is>
      </c>
      <c r="T19" t="inlineStr">
        <is>
          <t>Horizontal</t>
        </is>
      </c>
      <c r="U19" t="n">
        <v>5</v>
      </c>
      <c r="V19" t="b">
        <v>1</v>
      </c>
      <c r="W19" t="inlineStr">
        <is>
          <t>Balance Sheet!E4:I4</t>
        </is>
      </c>
      <c r="X19">
        <f>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f>
        <v/>
      </c>
    </row>
    <row r="20">
      <c r="A20" t="inlineStr">
        <is>
          <t>Balance Sheet</t>
        </is>
      </c>
      <c r="B20" t="inlineStr">
        <is>
          <t>A5</t>
        </is>
      </c>
      <c r="C20" t="n">
        <v>5</v>
      </c>
      <c r="D20" t="n">
        <v>1</v>
      </c>
      <c r="E20" t="inlineStr">
        <is>
          <t>Input</t>
        </is>
      </c>
      <c r="F20" t="n">
        <v/>
      </c>
      <c r="G20" t="inlineStr">
        <is>
          <t>b) Capital work-in-progress</t>
        </is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inlineStr">
        <is>
          <t>left</t>
        </is>
      </c>
      <c r="P20" t="n">
        <v/>
      </c>
      <c r="R20" t="b">
        <v>1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Balance Sheet</t>
        </is>
      </c>
      <c r="B21" t="inlineStr">
        <is>
          <t>C5</t>
        </is>
      </c>
      <c r="C21" t="n">
        <v>5</v>
      </c>
      <c r="D21" t="n">
        <v>3</v>
      </c>
      <c r="E21" t="inlineStr">
        <is>
          <t>Input</t>
        </is>
      </c>
      <c r="F21" t="n">
        <v/>
      </c>
      <c r="G21" t="n">
        <v>260.98</v>
      </c>
      <c r="H21" t="inlineStr"/>
      <c r="I21" t="inlineStr">
        <is>
          <t>_-* #,##0_-;\-* #,##0_-;_-* "-"??_-;_-@_-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Balance Sheet</t>
        </is>
      </c>
      <c r="B22" t="inlineStr">
        <is>
          <t>D5</t>
        </is>
      </c>
      <c r="C22" t="n">
        <v>5</v>
      </c>
      <c r="D22" t="n">
        <v>4</v>
      </c>
      <c r="E22" t="inlineStr">
        <is>
          <t>Input</t>
        </is>
      </c>
      <c r="F22" t="n">
        <v/>
      </c>
      <c r="G22" t="n">
        <v>269.25</v>
      </c>
      <c r="H22" t="inlineStr"/>
      <c r="I22" t="inlineStr">
        <is>
          <t>_-* #,##0_-;\-* #,##0_-;_-* "-"??_-;_-@_-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Balance Sheet</t>
        </is>
      </c>
      <c r="B23" t="inlineStr">
        <is>
          <t>E5</t>
        </is>
      </c>
      <c r="C23" t="n">
        <v>5</v>
      </c>
      <c r="D23" t="n">
        <v>5</v>
      </c>
      <c r="E23" t="inlineStr">
        <is>
          <t>Calculation</t>
        </is>
      </c>
      <c r="F23" t="inlineStr">
        <is>
          <t>'=D5</t>
        </is>
      </c>
      <c r="G23" t="n">
        <v>269.25</v>
      </c>
      <c r="H23" t="inlineStr"/>
      <c r="I23" t="inlineStr">
        <is>
          <t>_-* #,##0_-;\-* #,##0_-;_-* "-"??_-;_-@_-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G000139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Balance Sheet!E5:I5</t>
        </is>
      </c>
      <c r="X23">
        <f>R[0]C[-1]</f>
        <v/>
      </c>
    </row>
    <row r="24">
      <c r="A24" t="inlineStr">
        <is>
          <t>Balance Sheet</t>
        </is>
      </c>
      <c r="B24" t="inlineStr">
        <is>
          <t>F5</t>
        </is>
      </c>
      <c r="C24" t="n">
        <v>5</v>
      </c>
      <c r="D24" t="n">
        <v>6</v>
      </c>
      <c r="E24" t="inlineStr">
        <is>
          <t>Calculation</t>
        </is>
      </c>
      <c r="F24" t="inlineStr">
        <is>
          <t>'=E5</t>
        </is>
      </c>
      <c r="G24" t="n">
        <v>269.25</v>
      </c>
      <c r="H24" t="inlineStr"/>
      <c r="I24" t="inlineStr">
        <is>
          <t>_-* #,##0_-;\-* #,##0_-;_-* "-"??_-;_-@_-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G000139</t>
        </is>
      </c>
      <c r="T24" t="inlineStr">
        <is>
          <t>Horizontal</t>
        </is>
      </c>
      <c r="U24" t="n">
        <v>5</v>
      </c>
      <c r="V24" t="b">
        <v>1</v>
      </c>
      <c r="W24" t="inlineStr">
        <is>
          <t>Balance Sheet!E5:I5</t>
        </is>
      </c>
      <c r="X24">
        <f>R[0]C[-1]</f>
        <v/>
      </c>
    </row>
    <row r="25">
      <c r="A25" t="inlineStr">
        <is>
          <t>Balance Sheet</t>
        </is>
      </c>
      <c r="B25" t="inlineStr">
        <is>
          <t>G5</t>
        </is>
      </c>
      <c r="C25" t="n">
        <v>5</v>
      </c>
      <c r="D25" t="n">
        <v>7</v>
      </c>
      <c r="E25" t="inlineStr">
        <is>
          <t>Calculation</t>
        </is>
      </c>
      <c r="F25" t="inlineStr">
        <is>
          <t>'=F5</t>
        </is>
      </c>
      <c r="G25" t="n">
        <v>269.25</v>
      </c>
      <c r="H25" t="inlineStr"/>
      <c r="I25" t="inlineStr">
        <is>
          <t>_-* #,##0_-;\-* #,##0_-;_-* "-"??_-;_-@_-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inlineStr">
        <is>
          <t>G000139</t>
        </is>
      </c>
      <c r="T25" t="inlineStr">
        <is>
          <t>Horizontal</t>
        </is>
      </c>
      <c r="U25" t="n">
        <v>5</v>
      </c>
      <c r="V25" t="b">
        <v>1</v>
      </c>
      <c r="W25" t="inlineStr">
        <is>
          <t>Balance Sheet!E5:I5</t>
        </is>
      </c>
      <c r="X25">
        <f>R[0]C[-1]</f>
        <v/>
      </c>
    </row>
    <row r="26">
      <c r="A26" t="inlineStr">
        <is>
          <t>Balance Sheet</t>
        </is>
      </c>
      <c r="B26" t="inlineStr">
        <is>
          <t>H5</t>
        </is>
      </c>
      <c r="C26" t="n">
        <v>5</v>
      </c>
      <c r="D26" t="n">
        <v>8</v>
      </c>
      <c r="E26" t="inlineStr">
        <is>
          <t>Calculation</t>
        </is>
      </c>
      <c r="F26" t="inlineStr">
        <is>
          <t>'=G5</t>
        </is>
      </c>
      <c r="G26" t="n">
        <v>269.25</v>
      </c>
      <c r="H26" t="inlineStr"/>
      <c r="I26" t="inlineStr">
        <is>
          <t>_-* #,##0_-;\-* #,##0_-;_-* "-"??_-;_-@_-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G000139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Balance Sheet!E5:I5</t>
        </is>
      </c>
      <c r="X26">
        <f>R[0]C[-1]</f>
        <v/>
      </c>
    </row>
    <row r="27">
      <c r="A27" t="inlineStr">
        <is>
          <t>Balance Sheet</t>
        </is>
      </c>
      <c r="B27" t="inlineStr">
        <is>
          <t>I5</t>
        </is>
      </c>
      <c r="C27" t="n">
        <v>5</v>
      </c>
      <c r="D27" t="n">
        <v>9</v>
      </c>
      <c r="E27" t="inlineStr">
        <is>
          <t>Calculation</t>
        </is>
      </c>
      <c r="F27" t="inlineStr">
        <is>
          <t>'=H5</t>
        </is>
      </c>
      <c r="G27" t="n">
        <v>269.25</v>
      </c>
      <c r="H27" t="inlineStr"/>
      <c r="I27" t="inlineStr">
        <is>
          <t>_-* #,##0_-;\-* #,##0_-;_-* "-"??_-;_-@_-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G000139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Balance Sheet!E5:I5</t>
        </is>
      </c>
      <c r="X27">
        <f>R[0]C[-1]</f>
        <v/>
      </c>
    </row>
    <row r="28">
      <c r="A28" t="inlineStr">
        <is>
          <t>Balance Sheet</t>
        </is>
      </c>
      <c r="B28" t="inlineStr">
        <is>
          <t>A6</t>
        </is>
      </c>
      <c r="C28" t="n">
        <v>6</v>
      </c>
      <c r="D28" t="n">
        <v>1</v>
      </c>
      <c r="E28" t="inlineStr">
        <is>
          <t>Input</t>
        </is>
      </c>
      <c r="F28" t="n">
        <v/>
      </c>
      <c r="G28" t="inlineStr">
        <is>
          <t>c) Goodwill on consolidation</t>
        </is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inlineStr">
        <is>
          <t>left</t>
        </is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Balance Sheet</t>
        </is>
      </c>
      <c r="B29" t="inlineStr">
        <is>
          <t>C6</t>
        </is>
      </c>
      <c r="C29" t="n">
        <v>6</v>
      </c>
      <c r="D29" t="n">
        <v>3</v>
      </c>
      <c r="E29" t="inlineStr">
        <is>
          <t>Input</t>
        </is>
      </c>
      <c r="F29" t="n">
        <v/>
      </c>
      <c r="G29" t="n">
        <v>15.57</v>
      </c>
      <c r="H29" t="inlineStr"/>
      <c r="I29" t="inlineStr">
        <is>
          <t>_-* #,##0_-;\-* #,##0_-;_-* "-"??_-;_-@_-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Balance Sheet</t>
        </is>
      </c>
      <c r="B30" t="inlineStr">
        <is>
          <t>D6</t>
        </is>
      </c>
      <c r="C30" t="n">
        <v>6</v>
      </c>
      <c r="D30" t="n">
        <v>4</v>
      </c>
      <c r="E30" t="inlineStr">
        <is>
          <t>Input</t>
        </is>
      </c>
      <c r="F30" t="n">
        <v/>
      </c>
      <c r="G30" t="n">
        <v>15.57</v>
      </c>
      <c r="H30" t="inlineStr"/>
      <c r="I30" t="inlineStr">
        <is>
          <t>_-* #,##0_-;\-* #,##0_-;_-* "-"??_-;_-@_-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Balance Sheet</t>
        </is>
      </c>
      <c r="B31" t="inlineStr">
        <is>
          <t>E6</t>
        </is>
      </c>
      <c r="C31" t="n">
        <v>6</v>
      </c>
      <c r="D31" t="n">
        <v>5</v>
      </c>
      <c r="E31" t="inlineStr">
        <is>
          <t>Calculation</t>
        </is>
      </c>
      <c r="F31" t="inlineStr">
        <is>
          <t>'=D6</t>
        </is>
      </c>
      <c r="G31" t="n">
        <v>15.57</v>
      </c>
      <c r="H31" t="inlineStr"/>
      <c r="I31" t="inlineStr">
        <is>
          <t>_-* #,##0_-;\-* #,##0_-;_-* "-"??_-;_-@_-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inlineStr">
        <is>
          <t>G000140</t>
        </is>
      </c>
      <c r="T31" t="inlineStr">
        <is>
          <t>Horizontal</t>
        </is>
      </c>
      <c r="U31" t="n">
        <v>5</v>
      </c>
      <c r="V31" t="b">
        <v>1</v>
      </c>
      <c r="W31" t="inlineStr">
        <is>
          <t>Balance Sheet!E6:I6</t>
        </is>
      </c>
      <c r="X31">
        <f>R[0]C[-1]</f>
        <v/>
      </c>
    </row>
    <row r="32">
      <c r="A32" t="inlineStr">
        <is>
          <t>Balance Sheet</t>
        </is>
      </c>
      <c r="B32" t="inlineStr">
        <is>
          <t>F6</t>
        </is>
      </c>
      <c r="C32" t="n">
        <v>6</v>
      </c>
      <c r="D32" t="n">
        <v>6</v>
      </c>
      <c r="E32" t="inlineStr">
        <is>
          <t>Calculation</t>
        </is>
      </c>
      <c r="F32" t="inlineStr">
        <is>
          <t>'=E6</t>
        </is>
      </c>
      <c r="G32" t="n">
        <v>15.57</v>
      </c>
      <c r="H32" t="inlineStr"/>
      <c r="I32" t="inlineStr">
        <is>
          <t>_-* #,##0_-;\-* #,##0_-;_-* "-"??_-;_-@_-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inlineStr">
        <is>
          <t>G000140</t>
        </is>
      </c>
      <c r="T32" t="inlineStr">
        <is>
          <t>Horizontal</t>
        </is>
      </c>
      <c r="U32" t="n">
        <v>5</v>
      </c>
      <c r="V32" t="b">
        <v>1</v>
      </c>
      <c r="W32" t="inlineStr">
        <is>
          <t>Balance Sheet!E6:I6</t>
        </is>
      </c>
      <c r="X32">
        <f>R[0]C[-1]</f>
        <v/>
      </c>
    </row>
    <row r="33">
      <c r="A33" t="inlineStr">
        <is>
          <t>Balance Sheet</t>
        </is>
      </c>
      <c r="B33" t="inlineStr">
        <is>
          <t>G6</t>
        </is>
      </c>
      <c r="C33" t="n">
        <v>6</v>
      </c>
      <c r="D33" t="n">
        <v>7</v>
      </c>
      <c r="E33" t="inlineStr">
        <is>
          <t>Calculation</t>
        </is>
      </c>
      <c r="F33" t="inlineStr">
        <is>
          <t>'=F6</t>
        </is>
      </c>
      <c r="G33" t="n">
        <v>15.57</v>
      </c>
      <c r="H33" t="inlineStr"/>
      <c r="I33" t="inlineStr">
        <is>
          <t>_-* #,##0_-;\-* #,##0_-;_-* "-"??_-;_-@_-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G000140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Balance Sheet!E6:I6</t>
        </is>
      </c>
      <c r="X33">
        <f>R[0]C[-1]</f>
        <v/>
      </c>
    </row>
    <row r="34">
      <c r="A34" t="inlineStr">
        <is>
          <t>Balance Sheet</t>
        </is>
      </c>
      <c r="B34" t="inlineStr">
        <is>
          <t>H6</t>
        </is>
      </c>
      <c r="C34" t="n">
        <v>6</v>
      </c>
      <c r="D34" t="n">
        <v>8</v>
      </c>
      <c r="E34" t="inlineStr">
        <is>
          <t>Calculation</t>
        </is>
      </c>
      <c r="F34" t="inlineStr">
        <is>
          <t>'=G6</t>
        </is>
      </c>
      <c r="G34" t="n">
        <v>15.57</v>
      </c>
      <c r="H34" t="inlineStr"/>
      <c r="I34" t="inlineStr">
        <is>
          <t>_-* #,##0_-;\-* #,##0_-;_-* "-"??_-;_-@_-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G000140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Balance Sheet!E6:I6</t>
        </is>
      </c>
      <c r="X34">
        <f>R[0]C[-1]</f>
        <v/>
      </c>
    </row>
    <row r="35">
      <c r="A35" t="inlineStr">
        <is>
          <t>Balance Sheet</t>
        </is>
      </c>
      <c r="B35" t="inlineStr">
        <is>
          <t>I6</t>
        </is>
      </c>
      <c r="C35" t="n">
        <v>6</v>
      </c>
      <c r="D35" t="n">
        <v>9</v>
      </c>
      <c r="E35" t="inlineStr">
        <is>
          <t>Calculation</t>
        </is>
      </c>
      <c r="F35" t="inlineStr">
        <is>
          <t>'=H6</t>
        </is>
      </c>
      <c r="G35" t="n">
        <v>15.57</v>
      </c>
      <c r="H35" t="inlineStr"/>
      <c r="I35" t="inlineStr">
        <is>
          <t>_-* #,##0_-;\-* #,##0_-;_-* "-"??_-;_-@_-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G000140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Balance Sheet!E6:I6</t>
        </is>
      </c>
      <c r="X35">
        <f>R[0]C[-1]</f>
        <v/>
      </c>
    </row>
    <row r="36">
      <c r="A36" t="inlineStr">
        <is>
          <t>Balance Sheet</t>
        </is>
      </c>
      <c r="B36" t="inlineStr">
        <is>
          <t>A7</t>
        </is>
      </c>
      <c r="C36" t="n">
        <v>7</v>
      </c>
      <c r="D36" t="n">
        <v>1</v>
      </c>
      <c r="E36" t="inlineStr">
        <is>
          <t>Input</t>
        </is>
      </c>
      <c r="F36" t="n">
        <v/>
      </c>
      <c r="G36" t="inlineStr">
        <is>
          <t>d) Other Intangible assets</t>
        </is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inlineStr">
        <is>
          <t>left</t>
        </is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Balance Sheet</t>
        </is>
      </c>
      <c r="B37" t="inlineStr">
        <is>
          <t>C7</t>
        </is>
      </c>
      <c r="C37" t="n">
        <v>7</v>
      </c>
      <c r="D37" t="n">
        <v>3</v>
      </c>
      <c r="E37" t="inlineStr">
        <is>
          <t>Input</t>
        </is>
      </c>
      <c r="F37" t="n">
        <v/>
      </c>
      <c r="G37" t="n">
        <v>27.72</v>
      </c>
      <c r="H37" t="inlineStr"/>
      <c r="I37" t="inlineStr">
        <is>
          <t>_-* #,##0_-;\-* #,##0_-;_-* "-"??_-;_-@_-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Balance Sheet</t>
        </is>
      </c>
      <c r="B38" t="inlineStr">
        <is>
          <t>D7</t>
        </is>
      </c>
      <c r="C38" t="n">
        <v>7</v>
      </c>
      <c r="D38" t="n">
        <v>4</v>
      </c>
      <c r="E38" t="inlineStr">
        <is>
          <t>Input</t>
        </is>
      </c>
      <c r="F38" t="n">
        <v/>
      </c>
      <c r="G38" t="n">
        <v>40.03</v>
      </c>
      <c r="H38" t="inlineStr"/>
      <c r="I38" t="inlineStr">
        <is>
          <t>_-* #,##0_-;\-* #,##0_-;_-* "-"??_-;_-@_-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Balance Sheet</t>
        </is>
      </c>
      <c r="B39" t="inlineStr">
        <is>
          <t>E7</t>
        </is>
      </c>
      <c r="C39" t="n">
        <v>7</v>
      </c>
      <c r="D39" t="n">
        <v>5</v>
      </c>
      <c r="E39" t="inlineStr">
        <is>
          <t>Input</t>
        </is>
      </c>
      <c r="F39" t="n">
        <v/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FFFFFF00</t>
        </is>
      </c>
      <c r="O39" t="n">
        <v/>
      </c>
      <c r="P39" t="n">
        <v/>
      </c>
      <c r="R39" t="b">
        <v>0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Balance Sheet</t>
        </is>
      </c>
      <c r="B40" t="inlineStr">
        <is>
          <t>F7</t>
        </is>
      </c>
      <c r="C40" t="n">
        <v>7</v>
      </c>
      <c r="D40" t="n">
        <v>6</v>
      </c>
      <c r="E40" t="inlineStr">
        <is>
          <t>Input</t>
        </is>
      </c>
      <c r="F40" t="n">
        <v/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FFFFFF00</t>
        </is>
      </c>
      <c r="O40" t="n">
        <v/>
      </c>
      <c r="P40" t="n">
        <v/>
      </c>
      <c r="R40" t="b">
        <v>0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Balance Sheet</t>
        </is>
      </c>
      <c r="B41" t="inlineStr">
        <is>
          <t>G7</t>
        </is>
      </c>
      <c r="C41" t="n">
        <v>7</v>
      </c>
      <c r="D41" t="n">
        <v>7</v>
      </c>
      <c r="E41" t="inlineStr">
        <is>
          <t>Input</t>
        </is>
      </c>
      <c r="F41" t="n">
        <v/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FFFFFF00</t>
        </is>
      </c>
      <c r="O41" t="n">
        <v/>
      </c>
      <c r="P41" t="n">
        <v/>
      </c>
      <c r="R41" t="b">
        <v>0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Balance Sheet</t>
        </is>
      </c>
      <c r="B42" t="inlineStr">
        <is>
          <t>H7</t>
        </is>
      </c>
      <c r="C42" t="n">
        <v>7</v>
      </c>
      <c r="D42" t="n">
        <v>8</v>
      </c>
      <c r="E42" t="inlineStr">
        <is>
          <t>Input</t>
        </is>
      </c>
      <c r="F42" t="n">
        <v/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FFFFFF00</t>
        </is>
      </c>
      <c r="O42" t="n">
        <v/>
      </c>
      <c r="P42" t="n">
        <v/>
      </c>
      <c r="R42" t="b">
        <v>0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Balance Sheet</t>
        </is>
      </c>
      <c r="B43" t="inlineStr">
        <is>
          <t>I7</t>
        </is>
      </c>
      <c r="C43" t="n">
        <v>7</v>
      </c>
      <c r="D43" t="n">
        <v>9</v>
      </c>
      <c r="E43" t="inlineStr">
        <is>
          <t>Input</t>
        </is>
      </c>
      <c r="F43" t="n">
        <v/>
      </c>
      <c r="H43" t="inlineStr"/>
      <c r="I43" t="inlineStr">
        <is>
          <t>General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FFFFFF00</t>
        </is>
      </c>
      <c r="O43" t="n">
        <v/>
      </c>
      <c r="P43" t="n">
        <v/>
      </c>
      <c r="R43" t="b">
        <v>0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Balance Sheet</t>
        </is>
      </c>
      <c r="B44" t="inlineStr">
        <is>
          <t>A8</t>
        </is>
      </c>
      <c r="C44" t="n">
        <v>8</v>
      </c>
      <c r="D44" t="n">
        <v>1</v>
      </c>
      <c r="E44" t="inlineStr">
        <is>
          <t>Input</t>
        </is>
      </c>
      <c r="F44" t="n">
        <v/>
      </c>
      <c r="G44" t="inlineStr">
        <is>
          <t>e) Intangible assets under development</t>
        </is>
      </c>
      <c r="H44" t="inlineStr"/>
      <c r="I44" t="inlineStr">
        <is>
          <t>General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inlineStr">
        <is>
          <t>left</t>
        </is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Balance Sheet</t>
        </is>
      </c>
      <c r="B45" t="inlineStr">
        <is>
          <t>C8</t>
        </is>
      </c>
      <c r="C45" t="n">
        <v>8</v>
      </c>
      <c r="D45" t="n">
        <v>3</v>
      </c>
      <c r="E45" t="inlineStr">
        <is>
          <t>Input</t>
        </is>
      </c>
      <c r="F45" t="n">
        <v/>
      </c>
      <c r="G45" t="inlineStr">
        <is>
          <t>-</t>
        </is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Balance Sheet</t>
        </is>
      </c>
      <c r="B46" t="inlineStr">
        <is>
          <t>D8</t>
        </is>
      </c>
      <c r="C46" t="n">
        <v>8</v>
      </c>
      <c r="D46" t="n">
        <v>4</v>
      </c>
      <c r="E46" t="inlineStr">
        <is>
          <t>Input</t>
        </is>
      </c>
      <c r="F46" t="n">
        <v/>
      </c>
      <c r="G46" t="inlineStr">
        <is>
          <t>-</t>
        </is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Balance Sheet</t>
        </is>
      </c>
      <c r="B47" t="inlineStr">
        <is>
          <t>E8</t>
        </is>
      </c>
      <c r="C47" t="n">
        <v>8</v>
      </c>
      <c r="D47" t="n">
        <v>5</v>
      </c>
      <c r="E47" t="inlineStr">
        <is>
          <t>Input</t>
        </is>
      </c>
      <c r="F47" t="n">
        <v/>
      </c>
      <c r="G47" t="inlineStr">
        <is>
          <t>-</t>
        </is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Balance Sheet</t>
        </is>
      </c>
      <c r="B48" t="inlineStr">
        <is>
          <t>F8</t>
        </is>
      </c>
      <c r="C48" t="n">
        <v>8</v>
      </c>
      <c r="D48" t="n">
        <v>6</v>
      </c>
      <c r="E48" t="inlineStr">
        <is>
          <t>Input</t>
        </is>
      </c>
      <c r="F48" t="n">
        <v/>
      </c>
      <c r="G48" t="inlineStr">
        <is>
          <t>-</t>
        </is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Balance Sheet</t>
        </is>
      </c>
      <c r="B49" t="inlineStr">
        <is>
          <t>G8</t>
        </is>
      </c>
      <c r="C49" t="n">
        <v>8</v>
      </c>
      <c r="D49" t="n">
        <v>7</v>
      </c>
      <c r="E49" t="inlineStr">
        <is>
          <t>Input</t>
        </is>
      </c>
      <c r="F49" t="n">
        <v/>
      </c>
      <c r="G49" t="inlineStr">
        <is>
          <t>-</t>
        </is>
      </c>
      <c r="H49" t="inlineStr"/>
      <c r="I49" t="inlineStr">
        <is>
          <t>_-* #,##0_-;\-* #,##0_-;_-* "-"??_-;_-@_-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Balance Sheet</t>
        </is>
      </c>
      <c r="B50" t="inlineStr">
        <is>
          <t>H8</t>
        </is>
      </c>
      <c r="C50" t="n">
        <v>8</v>
      </c>
      <c r="D50" t="n">
        <v>8</v>
      </c>
      <c r="E50" t="inlineStr">
        <is>
          <t>Input</t>
        </is>
      </c>
      <c r="F50" t="n">
        <v/>
      </c>
      <c r="G50" t="inlineStr">
        <is>
          <t>-</t>
        </is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Balance Sheet</t>
        </is>
      </c>
      <c r="B51" t="inlineStr">
        <is>
          <t>I8</t>
        </is>
      </c>
      <c r="C51" t="n">
        <v>8</v>
      </c>
      <c r="D51" t="n">
        <v>9</v>
      </c>
      <c r="E51" t="inlineStr">
        <is>
          <t>Input</t>
        </is>
      </c>
      <c r="F51" t="n">
        <v/>
      </c>
      <c r="G51" t="inlineStr">
        <is>
          <t>-</t>
        </is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Balance Sheet</t>
        </is>
      </c>
      <c r="B52" t="inlineStr">
        <is>
          <t>A9</t>
        </is>
      </c>
      <c r="C52" t="n">
        <v>9</v>
      </c>
      <c r="D52" t="n">
        <v>1</v>
      </c>
      <c r="E52" t="inlineStr">
        <is>
          <t>Input</t>
        </is>
      </c>
      <c r="F52" t="n">
        <v/>
      </c>
      <c r="G52" t="inlineStr">
        <is>
          <t>f ) Investments in associates and joint ventures</t>
        </is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inlineStr">
        <is>
          <t>left</t>
        </is>
      </c>
      <c r="P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Balance Sheet</t>
        </is>
      </c>
      <c r="B53" t="inlineStr">
        <is>
          <t>C9</t>
        </is>
      </c>
      <c r="C53" t="n">
        <v>9</v>
      </c>
      <c r="D53" t="n">
        <v>3</v>
      </c>
      <c r="E53" t="inlineStr">
        <is>
          <t>Input</t>
        </is>
      </c>
      <c r="F53" t="n">
        <v/>
      </c>
      <c r="G53" t="n">
        <v>85.13</v>
      </c>
      <c r="H53" t="inlineStr"/>
      <c r="I53" t="inlineStr">
        <is>
          <t>_-* #,##0_-;\-* #,##0_-;_-* "-"??_-;_-@_-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Balance Sheet</t>
        </is>
      </c>
      <c r="B54" t="inlineStr">
        <is>
          <t>D9</t>
        </is>
      </c>
      <c r="C54" t="n">
        <v>9</v>
      </c>
      <c r="D54" t="n">
        <v>4</v>
      </c>
      <c r="E54" t="inlineStr">
        <is>
          <t>Input</t>
        </is>
      </c>
      <c r="F54" t="n">
        <v/>
      </c>
      <c r="G54" t="n">
        <v>91.16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Balance Sheet</t>
        </is>
      </c>
      <c r="B55" t="inlineStr">
        <is>
          <t>E9</t>
        </is>
      </c>
      <c r="C55" t="n">
        <v>9</v>
      </c>
      <c r="D55" t="n">
        <v>5</v>
      </c>
      <c r="E55" t="inlineStr">
        <is>
          <t>Input</t>
        </is>
      </c>
      <c r="F55" t="n">
        <v/>
      </c>
      <c r="G55" t="n">
        <v>91.16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Balance Sheet</t>
        </is>
      </c>
      <c r="B56" t="inlineStr">
        <is>
          <t>F9</t>
        </is>
      </c>
      <c r="C56" t="n">
        <v>9</v>
      </c>
      <c r="D56" t="n">
        <v>6</v>
      </c>
      <c r="E56" t="inlineStr">
        <is>
          <t>Input</t>
        </is>
      </c>
      <c r="F56" t="n">
        <v/>
      </c>
      <c r="G56" t="n">
        <v>91.16</v>
      </c>
      <c r="H56" t="inlineStr"/>
      <c r="I56" t="inlineStr">
        <is>
          <t>_-* #,##0_-;\-* #,##0_-;_-* "-"??_-;_-@_-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Balance Sheet</t>
        </is>
      </c>
      <c r="B57" t="inlineStr">
        <is>
          <t>G9</t>
        </is>
      </c>
      <c r="C57" t="n">
        <v>9</v>
      </c>
      <c r="D57" t="n">
        <v>7</v>
      </c>
      <c r="E57" t="inlineStr">
        <is>
          <t>Input</t>
        </is>
      </c>
      <c r="F57" t="n">
        <v/>
      </c>
      <c r="G57" t="n">
        <v>91.16</v>
      </c>
      <c r="H57" t="inlineStr"/>
      <c r="I57" t="inlineStr">
        <is>
          <t>_-* #,##0_-;\-* #,##0_-;_-* "-"??_-;_-@_-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Balance Sheet</t>
        </is>
      </c>
      <c r="B58" t="inlineStr">
        <is>
          <t>H9</t>
        </is>
      </c>
      <c r="C58" t="n">
        <v>9</v>
      </c>
      <c r="D58" t="n">
        <v>8</v>
      </c>
      <c r="E58" t="inlineStr">
        <is>
          <t>Input</t>
        </is>
      </c>
      <c r="F58" t="n">
        <v/>
      </c>
      <c r="G58" t="n">
        <v>91.16</v>
      </c>
      <c r="H58" t="inlineStr"/>
      <c r="I58" t="inlineStr">
        <is>
          <t>_-* #,##0_-;\-* #,##0_-;_-* "-"??_-;_-@_-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Balance Sheet</t>
        </is>
      </c>
      <c r="B59" t="inlineStr">
        <is>
          <t>I9</t>
        </is>
      </c>
      <c r="C59" t="n">
        <v>9</v>
      </c>
      <c r="D59" t="n">
        <v>9</v>
      </c>
      <c r="E59" t="inlineStr">
        <is>
          <t>Input</t>
        </is>
      </c>
      <c r="F59" t="n">
        <v/>
      </c>
      <c r="G59" t="n">
        <v>91.16</v>
      </c>
      <c r="H59" t="inlineStr"/>
      <c r="I59" t="inlineStr">
        <is>
          <t>_-* #,##0_-;\-* #,##0_-;_-* "-"??_-;_-@_-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Balance Sheet</t>
        </is>
      </c>
      <c r="B60" t="inlineStr">
        <is>
          <t>A10</t>
        </is>
      </c>
      <c r="C60" t="n">
        <v>10</v>
      </c>
      <c r="D60" t="n">
        <v>1</v>
      </c>
      <c r="E60" t="inlineStr">
        <is>
          <t>Input</t>
        </is>
      </c>
      <c r="F60" t="n">
        <v/>
      </c>
      <c r="G60" t="inlineStr">
        <is>
          <t>g) Financial Assets</t>
        </is>
      </c>
      <c r="H60" t="inlineStr"/>
      <c r="I60" t="inlineStr">
        <is>
          <t>General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inlineStr">
        <is>
          <t>left</t>
        </is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Balance Sheet</t>
        </is>
      </c>
      <c r="B61" t="inlineStr">
        <is>
          <t>C10</t>
        </is>
      </c>
      <c r="C61" t="n">
        <v>10</v>
      </c>
      <c r="D61" t="n">
        <v>3</v>
      </c>
      <c r="E61" t="inlineStr">
        <is>
          <t>Input</t>
        </is>
      </c>
      <c r="F61" t="n">
        <v/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0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Balance Sheet</t>
        </is>
      </c>
      <c r="B62" t="inlineStr">
        <is>
          <t>D10</t>
        </is>
      </c>
      <c r="C62" t="n">
        <v>10</v>
      </c>
      <c r="D62" t="n">
        <v>4</v>
      </c>
      <c r="E62" t="inlineStr">
        <is>
          <t>Input</t>
        </is>
      </c>
      <c r="F62" t="n">
        <v/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0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Balance Sheet</t>
        </is>
      </c>
      <c r="B63" t="inlineStr">
        <is>
          <t>E10</t>
        </is>
      </c>
      <c r="C63" t="n">
        <v>10</v>
      </c>
      <c r="D63" t="n">
        <v>5</v>
      </c>
      <c r="E63" t="inlineStr">
        <is>
          <t>Input</t>
        </is>
      </c>
      <c r="F63" t="n">
        <v/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0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Balance Sheet</t>
        </is>
      </c>
      <c r="B64" t="inlineStr">
        <is>
          <t>F10</t>
        </is>
      </c>
      <c r="C64" t="n">
        <v>10</v>
      </c>
      <c r="D64" t="n">
        <v>6</v>
      </c>
      <c r="E64" t="inlineStr">
        <is>
          <t>Input</t>
        </is>
      </c>
      <c r="F64" t="n">
        <v/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0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Balance Sheet</t>
        </is>
      </c>
      <c r="B65" t="inlineStr">
        <is>
          <t>G10</t>
        </is>
      </c>
      <c r="C65" t="n">
        <v>10</v>
      </c>
      <c r="D65" t="n">
        <v>7</v>
      </c>
      <c r="E65" t="inlineStr">
        <is>
          <t>Input</t>
        </is>
      </c>
      <c r="F65" t="n">
        <v/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0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Balance Sheet</t>
        </is>
      </c>
      <c r="B66" t="inlineStr">
        <is>
          <t>H10</t>
        </is>
      </c>
      <c r="C66" t="n">
        <v>10</v>
      </c>
      <c r="D66" t="n">
        <v>8</v>
      </c>
      <c r="E66" t="inlineStr">
        <is>
          <t>Input</t>
        </is>
      </c>
      <c r="F66" t="n">
        <v/>
      </c>
      <c r="H66" t="inlineStr"/>
      <c r="I66" t="inlineStr">
        <is>
          <t>_-* #,##0_-;\-* #,##0_-;_-* "-"??_-;_-@_-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0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Balance Sheet</t>
        </is>
      </c>
      <c r="B67" t="inlineStr">
        <is>
          <t>I10</t>
        </is>
      </c>
      <c r="C67" t="n">
        <v>10</v>
      </c>
      <c r="D67" t="n">
        <v>9</v>
      </c>
      <c r="E67" t="inlineStr">
        <is>
          <t>Input</t>
        </is>
      </c>
      <c r="F67" t="n">
        <v/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0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Balance Sheet</t>
        </is>
      </c>
      <c r="B68" t="inlineStr">
        <is>
          <t>A11</t>
        </is>
      </c>
      <c r="C68" t="n">
        <v>11</v>
      </c>
      <c r="D68" t="n">
        <v>1</v>
      </c>
      <c r="E68" t="inlineStr">
        <is>
          <t>Input</t>
        </is>
      </c>
      <c r="F68" t="n">
        <v/>
      </c>
      <c r="G68" t="inlineStr">
        <is>
          <t>(i) Investments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inlineStr">
        <is>
          <t>left</t>
        </is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Balance Sheet</t>
        </is>
      </c>
      <c r="B69" t="inlineStr">
        <is>
          <t>C11</t>
        </is>
      </c>
      <c r="C69" t="n">
        <v>11</v>
      </c>
      <c r="D69" t="n">
        <v>3</v>
      </c>
      <c r="E69" t="inlineStr">
        <is>
          <t>Input</t>
        </is>
      </c>
      <c r="F69" t="n">
        <v/>
      </c>
      <c r="G69" t="n">
        <v>32.05</v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Balance Sheet</t>
        </is>
      </c>
      <c r="B70" t="inlineStr">
        <is>
          <t>D11</t>
        </is>
      </c>
      <c r="C70" t="n">
        <v>11</v>
      </c>
      <c r="D70" t="n">
        <v>4</v>
      </c>
      <c r="E70" t="inlineStr">
        <is>
          <t>Input</t>
        </is>
      </c>
      <c r="F70" t="n">
        <v/>
      </c>
      <c r="G70" t="n">
        <v>3.7</v>
      </c>
      <c r="H70" t="inlineStr"/>
      <c r="I70" t="inlineStr">
        <is>
          <t>_-* #,##0_-;\-* #,##0_-;_-* "-"??_-;_-@_-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Balance Sheet</t>
        </is>
      </c>
      <c r="B71" t="inlineStr">
        <is>
          <t>E11</t>
        </is>
      </c>
      <c r="C71" t="n">
        <v>11</v>
      </c>
      <c r="D71" t="n">
        <v>5</v>
      </c>
      <c r="E71" t="inlineStr">
        <is>
          <t>Input</t>
        </is>
      </c>
      <c r="F71" t="n">
        <v/>
      </c>
      <c r="G71" t="n">
        <v>3.7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Balance Sheet</t>
        </is>
      </c>
      <c r="B72" t="inlineStr">
        <is>
          <t>F11</t>
        </is>
      </c>
      <c r="C72" t="n">
        <v>11</v>
      </c>
      <c r="D72" t="n">
        <v>6</v>
      </c>
      <c r="E72" t="inlineStr">
        <is>
          <t>Input</t>
        </is>
      </c>
      <c r="F72" t="n">
        <v/>
      </c>
      <c r="G72" t="n">
        <v>3.7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Balance Sheet</t>
        </is>
      </c>
      <c r="B73" t="inlineStr">
        <is>
          <t>G11</t>
        </is>
      </c>
      <c r="C73" t="n">
        <v>11</v>
      </c>
      <c r="D73" t="n">
        <v>7</v>
      </c>
      <c r="E73" t="inlineStr">
        <is>
          <t>Input</t>
        </is>
      </c>
      <c r="F73" t="n">
        <v/>
      </c>
      <c r="G73" t="n">
        <v>3.7</v>
      </c>
      <c r="H73" t="inlineStr"/>
      <c r="I73" t="inlineStr">
        <is>
          <t>_-* #,##0_-;\-* #,##0_-;_-* "-"??_-;_-@_-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Balance Sheet</t>
        </is>
      </c>
      <c r="B74" t="inlineStr">
        <is>
          <t>H11</t>
        </is>
      </c>
      <c r="C74" t="n">
        <v>11</v>
      </c>
      <c r="D74" t="n">
        <v>8</v>
      </c>
      <c r="E74" t="inlineStr">
        <is>
          <t>Input</t>
        </is>
      </c>
      <c r="F74" t="n">
        <v/>
      </c>
      <c r="G74" t="n">
        <v>3.7</v>
      </c>
      <c r="H74" t="inlineStr"/>
      <c r="I74" t="inlineStr">
        <is>
          <t>_-* #,##0_-;\-* #,##0_-;_-* "-"??_-;_-@_-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Balance Sheet</t>
        </is>
      </c>
      <c r="B75" t="inlineStr">
        <is>
          <t>I11</t>
        </is>
      </c>
      <c r="C75" t="n">
        <v>11</v>
      </c>
      <c r="D75" t="n">
        <v>9</v>
      </c>
      <c r="E75" t="inlineStr">
        <is>
          <t>Input</t>
        </is>
      </c>
      <c r="F75" t="n">
        <v/>
      </c>
      <c r="G75" t="n">
        <v>3.7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Balance Sheet</t>
        </is>
      </c>
      <c r="B76" t="inlineStr">
        <is>
          <t>A12</t>
        </is>
      </c>
      <c r="C76" t="n">
        <v>12</v>
      </c>
      <c r="D76" t="n">
        <v>1</v>
      </c>
      <c r="E76" t="inlineStr">
        <is>
          <t>Input</t>
        </is>
      </c>
      <c r="F76" t="n">
        <v/>
      </c>
      <c r="G76" t="inlineStr">
        <is>
          <t>(ii) Loans</t>
        </is>
      </c>
      <c r="H76" t="inlineStr"/>
      <c r="I76" t="inlineStr">
        <is>
          <t>General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inlineStr">
        <is>
          <t>left</t>
        </is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Balance Sheet</t>
        </is>
      </c>
      <c r="B77" t="inlineStr">
        <is>
          <t>C12</t>
        </is>
      </c>
      <c r="C77" t="n">
        <v>12</v>
      </c>
      <c r="D77" t="n">
        <v>3</v>
      </c>
      <c r="E77" t="inlineStr">
        <is>
          <t>Input</t>
        </is>
      </c>
      <c r="F77" t="n">
        <v/>
      </c>
      <c r="G77" t="n">
        <v>199.58</v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Balance Sheet</t>
        </is>
      </c>
      <c r="B78" t="inlineStr">
        <is>
          <t>D12</t>
        </is>
      </c>
      <c r="C78" t="n">
        <v>12</v>
      </c>
      <c r="D78" t="n">
        <v>4</v>
      </c>
      <c r="E78" t="inlineStr">
        <is>
          <t>Input</t>
        </is>
      </c>
      <c r="F78" t="n">
        <v/>
      </c>
      <c r="G78" t="n">
        <v>222.59</v>
      </c>
      <c r="H78" t="inlineStr"/>
      <c r="I78" t="inlineStr">
        <is>
          <t>_-* #,##0_-;\-* #,##0_-;_-* "-"??_-;_-@_-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Balance Sheet</t>
        </is>
      </c>
      <c r="B79" t="inlineStr">
        <is>
          <t>E12</t>
        </is>
      </c>
      <c r="C79" t="n">
        <v>12</v>
      </c>
      <c r="D79" t="n">
        <v>5</v>
      </c>
      <c r="E79" t="inlineStr">
        <is>
          <t>Input</t>
        </is>
      </c>
      <c r="F79" t="n">
        <v/>
      </c>
      <c r="G79" t="n">
        <v>222.59</v>
      </c>
      <c r="H79" t="inlineStr"/>
      <c r="I79" t="inlineStr">
        <is>
          <t>_-* #,##0_-;\-* #,##0_-;_-* "-"??_-;_-@_-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Balance Sheet</t>
        </is>
      </c>
      <c r="B80" t="inlineStr">
        <is>
          <t>F12</t>
        </is>
      </c>
      <c r="C80" t="n">
        <v>12</v>
      </c>
      <c r="D80" t="n">
        <v>6</v>
      </c>
      <c r="E80" t="inlineStr">
        <is>
          <t>Input</t>
        </is>
      </c>
      <c r="F80" t="n">
        <v/>
      </c>
      <c r="G80" t="n">
        <v>222.59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Balance Sheet</t>
        </is>
      </c>
      <c r="B81" t="inlineStr">
        <is>
          <t>G12</t>
        </is>
      </c>
      <c r="C81" t="n">
        <v>12</v>
      </c>
      <c r="D81" t="n">
        <v>7</v>
      </c>
      <c r="E81" t="inlineStr">
        <is>
          <t>Input</t>
        </is>
      </c>
      <c r="F81" t="n">
        <v/>
      </c>
      <c r="G81" t="n">
        <v>222.59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Balance Sheet</t>
        </is>
      </c>
      <c r="B82" t="inlineStr">
        <is>
          <t>H12</t>
        </is>
      </c>
      <c r="C82" t="n">
        <v>12</v>
      </c>
      <c r="D82" t="n">
        <v>8</v>
      </c>
      <c r="E82" t="inlineStr">
        <is>
          <t>Input</t>
        </is>
      </c>
      <c r="F82" t="n">
        <v/>
      </c>
      <c r="G82" t="n">
        <v>222.59</v>
      </c>
      <c r="H82" t="inlineStr"/>
      <c r="I82" t="inlineStr">
        <is>
          <t>_-* #,##0_-;\-* #,##0_-;_-* "-"??_-;_-@_-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Balance Sheet</t>
        </is>
      </c>
      <c r="B83" t="inlineStr">
        <is>
          <t>I12</t>
        </is>
      </c>
      <c r="C83" t="n">
        <v>12</v>
      </c>
      <c r="D83" t="n">
        <v>9</v>
      </c>
      <c r="E83" t="inlineStr">
        <is>
          <t>Input</t>
        </is>
      </c>
      <c r="F83" t="n">
        <v/>
      </c>
      <c r="G83" t="n">
        <v>222.59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Balance Sheet</t>
        </is>
      </c>
      <c r="B84" t="inlineStr">
        <is>
          <t>A13</t>
        </is>
      </c>
      <c r="C84" t="n">
        <v>13</v>
      </c>
      <c r="D84" t="n">
        <v>1</v>
      </c>
      <c r="E84" t="inlineStr">
        <is>
          <t>Input</t>
        </is>
      </c>
      <c r="F84" t="n">
        <v/>
      </c>
      <c r="G84" t="inlineStr">
        <is>
          <t>(iii) Other financial assets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inlineStr">
        <is>
          <t>left</t>
        </is>
      </c>
      <c r="P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Balance Sheet</t>
        </is>
      </c>
      <c r="B85" t="inlineStr">
        <is>
          <t>C13</t>
        </is>
      </c>
      <c r="C85" t="n">
        <v>13</v>
      </c>
      <c r="D85" t="n">
        <v>3</v>
      </c>
      <c r="E85" t="inlineStr">
        <is>
          <t>Input</t>
        </is>
      </c>
      <c r="F85" t="n">
        <v/>
      </c>
      <c r="G85" t="n">
        <v>0.06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Balance Sheet</t>
        </is>
      </c>
      <c r="B86" t="inlineStr">
        <is>
          <t>D13</t>
        </is>
      </c>
      <c r="C86" t="n">
        <v>13</v>
      </c>
      <c r="D86" t="n">
        <v>4</v>
      </c>
      <c r="E86" t="inlineStr">
        <is>
          <t>Input</t>
        </is>
      </c>
      <c r="F86" t="n">
        <v/>
      </c>
      <c r="G86" t="n">
        <v>0.06</v>
      </c>
      <c r="H86" t="inlineStr"/>
      <c r="I86" t="inlineStr">
        <is>
          <t>_-* #,##0_-;\-* #,##0_-;_-* "-"??_-;_-@_-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Balance Sheet</t>
        </is>
      </c>
      <c r="B87" t="inlineStr">
        <is>
          <t>E13</t>
        </is>
      </c>
      <c r="C87" t="n">
        <v>13</v>
      </c>
      <c r="D87" t="n">
        <v>5</v>
      </c>
      <c r="E87" t="inlineStr">
        <is>
          <t>Input</t>
        </is>
      </c>
      <c r="F87" t="n">
        <v/>
      </c>
      <c r="G87" t="n">
        <v>0.06</v>
      </c>
      <c r="H87" t="inlineStr"/>
      <c r="I87" t="inlineStr">
        <is>
          <t>_-* #,##0_-;\-* #,##0_-;_-* "-"??_-;_-@_-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Balance Sheet</t>
        </is>
      </c>
      <c r="B88" t="inlineStr">
        <is>
          <t>F13</t>
        </is>
      </c>
      <c r="C88" t="n">
        <v>13</v>
      </c>
      <c r="D88" t="n">
        <v>6</v>
      </c>
      <c r="E88" t="inlineStr">
        <is>
          <t>Input</t>
        </is>
      </c>
      <c r="F88" t="n">
        <v/>
      </c>
      <c r="G88" t="n">
        <v>0.06</v>
      </c>
      <c r="H88" t="inlineStr"/>
      <c r="I88" t="inlineStr">
        <is>
          <t>_-* #,##0_-;\-* #,##0_-;_-*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Balance Sheet</t>
        </is>
      </c>
      <c r="B89" t="inlineStr">
        <is>
          <t>G13</t>
        </is>
      </c>
      <c r="C89" t="n">
        <v>13</v>
      </c>
      <c r="D89" t="n">
        <v>7</v>
      </c>
      <c r="E89" t="inlineStr">
        <is>
          <t>Input</t>
        </is>
      </c>
      <c r="F89" t="n">
        <v/>
      </c>
      <c r="G89" t="n">
        <v>0.06</v>
      </c>
      <c r="H89" t="inlineStr"/>
      <c r="I89" t="inlineStr">
        <is>
          <t>_-* #,##0_-;\-* #,##0_-;_-* "-"??_-;_-@_-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Balance Sheet</t>
        </is>
      </c>
      <c r="B90" t="inlineStr">
        <is>
          <t>H13</t>
        </is>
      </c>
      <c r="C90" t="n">
        <v>13</v>
      </c>
      <c r="D90" t="n">
        <v>8</v>
      </c>
      <c r="E90" t="inlineStr">
        <is>
          <t>Input</t>
        </is>
      </c>
      <c r="F90" t="n">
        <v/>
      </c>
      <c r="G90" t="n">
        <v>0.06</v>
      </c>
      <c r="H90" t="inlineStr"/>
      <c r="I90" t="inlineStr">
        <is>
          <t>_-* #,##0_-;\-* #,##0_-;_-*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Balance Sheet</t>
        </is>
      </c>
      <c r="B91" t="inlineStr">
        <is>
          <t>I13</t>
        </is>
      </c>
      <c r="C91" t="n">
        <v>13</v>
      </c>
      <c r="D91" t="n">
        <v>9</v>
      </c>
      <c r="E91" t="inlineStr">
        <is>
          <t>Input</t>
        </is>
      </c>
      <c r="F91" t="n">
        <v/>
      </c>
      <c r="G91" t="n">
        <v>0.06</v>
      </c>
      <c r="H91" t="inlineStr"/>
      <c r="I91" t="inlineStr">
        <is>
          <t>_-* #,##0_-;\-* #,##0_-;_-* "-"??_-;_-@_-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Balance Sheet</t>
        </is>
      </c>
      <c r="B92" t="inlineStr">
        <is>
          <t>A14</t>
        </is>
      </c>
      <c r="C92" t="n">
        <v>14</v>
      </c>
      <c r="D92" t="n">
        <v>1</v>
      </c>
      <c r="E92" t="inlineStr">
        <is>
          <t>Input</t>
        </is>
      </c>
      <c r="F92" t="n">
        <v/>
      </c>
      <c r="G92" t="inlineStr">
        <is>
          <t>h) Non-current Tax Assets (Net)</t>
        </is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inlineStr">
        <is>
          <t>left</t>
        </is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Balance Sheet</t>
        </is>
      </c>
      <c r="B93" t="inlineStr">
        <is>
          <t>C14</t>
        </is>
      </c>
      <c r="C93" t="n">
        <v>14</v>
      </c>
      <c r="D93" t="n">
        <v>3</v>
      </c>
      <c r="E93" t="inlineStr">
        <is>
          <t>Input</t>
        </is>
      </c>
      <c r="F93" t="n">
        <v/>
      </c>
      <c r="G93" t="n">
        <v>304.72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Balance Sheet</t>
        </is>
      </c>
      <c r="B94" t="inlineStr">
        <is>
          <t>D14</t>
        </is>
      </c>
      <c r="C94" t="n">
        <v>14</v>
      </c>
      <c r="D94" t="n">
        <v>4</v>
      </c>
      <c r="E94" t="inlineStr">
        <is>
          <t>Input</t>
        </is>
      </c>
      <c r="F94" t="n">
        <v/>
      </c>
      <c r="G94" t="n">
        <v>296.95</v>
      </c>
      <c r="H94" t="inlineStr"/>
      <c r="I94" t="inlineStr">
        <is>
          <t>_-* #,##0_-;\-* #,##0_-;_-* "-"??_-;_-@_-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Balance Sheet</t>
        </is>
      </c>
      <c r="B95" t="inlineStr">
        <is>
          <t>E14</t>
        </is>
      </c>
      <c r="C95" t="n">
        <v>14</v>
      </c>
      <c r="D95" t="n">
        <v>5</v>
      </c>
      <c r="E95" t="inlineStr">
        <is>
          <t>Input</t>
        </is>
      </c>
      <c r="F95" t="n">
        <v/>
      </c>
      <c r="G95" t="n">
        <v>296.95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Balance Sheet</t>
        </is>
      </c>
      <c r="B96" t="inlineStr">
        <is>
          <t>F14</t>
        </is>
      </c>
      <c r="C96" t="n">
        <v>14</v>
      </c>
      <c r="D96" t="n">
        <v>6</v>
      </c>
      <c r="E96" t="inlineStr">
        <is>
          <t>Input</t>
        </is>
      </c>
      <c r="F96" t="n">
        <v/>
      </c>
      <c r="G96" t="n">
        <v>296.95</v>
      </c>
      <c r="H96" t="inlineStr"/>
      <c r="I96" t="inlineStr">
        <is>
          <t>_-* #,##0_-;\-* #,##0_-;_-* "-"??_-;_-@_-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Balance Sheet</t>
        </is>
      </c>
      <c r="B97" t="inlineStr">
        <is>
          <t>G14</t>
        </is>
      </c>
      <c r="C97" t="n">
        <v>14</v>
      </c>
      <c r="D97" t="n">
        <v>7</v>
      </c>
      <c r="E97" t="inlineStr">
        <is>
          <t>Input</t>
        </is>
      </c>
      <c r="F97" t="n">
        <v/>
      </c>
      <c r="G97" t="n">
        <v>296.95</v>
      </c>
      <c r="H97" t="inlineStr"/>
      <c r="I97" t="inlineStr">
        <is>
          <t>_-* #,##0_-;\-* #,##0_-;_-* "-"??_-;_-@_-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Balance Sheet</t>
        </is>
      </c>
      <c r="B98" t="inlineStr">
        <is>
          <t>H14</t>
        </is>
      </c>
      <c r="C98" t="n">
        <v>14</v>
      </c>
      <c r="D98" t="n">
        <v>8</v>
      </c>
      <c r="E98" t="inlineStr">
        <is>
          <t>Input</t>
        </is>
      </c>
      <c r="F98" t="n">
        <v/>
      </c>
      <c r="G98" t="n">
        <v>296.95</v>
      </c>
      <c r="H98" t="inlineStr"/>
      <c r="I98" t="inlineStr">
        <is>
          <t>_-* #,##0_-;\-* #,##0_-;_-* "-"??_-;_-@_-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Balance Sheet</t>
        </is>
      </c>
      <c r="B99" t="inlineStr">
        <is>
          <t>I14</t>
        </is>
      </c>
      <c r="C99" t="n">
        <v>14</v>
      </c>
      <c r="D99" t="n">
        <v>9</v>
      </c>
      <c r="E99" t="inlineStr">
        <is>
          <t>Input</t>
        </is>
      </c>
      <c r="F99" t="n">
        <v/>
      </c>
      <c r="G99" t="n">
        <v>296.95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Balance Sheet</t>
        </is>
      </c>
      <c r="B100" t="inlineStr">
        <is>
          <t>A15</t>
        </is>
      </c>
      <c r="C100" t="n">
        <v>15</v>
      </c>
      <c r="D100" t="n">
        <v>1</v>
      </c>
      <c r="E100" t="inlineStr">
        <is>
          <t>Input</t>
        </is>
      </c>
      <c r="F100" t="n">
        <v/>
      </c>
      <c r="G100" t="inlineStr">
        <is>
          <t>i) Other non-current assets</t>
        </is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inlineStr">
        <is>
          <t>left</t>
        </is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Balance Sheet</t>
        </is>
      </c>
      <c r="B101" t="inlineStr">
        <is>
          <t>C15</t>
        </is>
      </c>
      <c r="C101" t="n">
        <v>15</v>
      </c>
      <c r="D101" t="n">
        <v>3</v>
      </c>
      <c r="E101" t="inlineStr">
        <is>
          <t>Input</t>
        </is>
      </c>
      <c r="F101" t="n">
        <v/>
      </c>
      <c r="G101" t="n">
        <v>838.9299999999999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Balance Sheet</t>
        </is>
      </c>
      <c r="B102" t="inlineStr">
        <is>
          <t>D15</t>
        </is>
      </c>
      <c r="C102" t="n">
        <v>15</v>
      </c>
      <c r="D102" t="n">
        <v>4</v>
      </c>
      <c r="E102" t="inlineStr">
        <is>
          <t>Input</t>
        </is>
      </c>
      <c r="F102" t="n">
        <v/>
      </c>
      <c r="G102" t="n">
        <v>1027.05</v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 t="n">
        <v/>
      </c>
    </row>
    <row r="103">
      <c r="A103" t="inlineStr">
        <is>
          <t>Balance Sheet</t>
        </is>
      </c>
      <c r="B103" t="inlineStr">
        <is>
          <t>E15</t>
        </is>
      </c>
      <c r="C103" t="n">
        <v>15</v>
      </c>
      <c r="D103" t="n">
        <v>5</v>
      </c>
      <c r="E103" t="inlineStr">
        <is>
          <t>Input</t>
        </is>
      </c>
      <c r="F103" t="n">
        <v/>
      </c>
      <c r="G103" t="n">
        <v>1027.05</v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Balance Sheet</t>
        </is>
      </c>
      <c r="B104" t="inlineStr">
        <is>
          <t>F15</t>
        </is>
      </c>
      <c r="C104" t="n">
        <v>15</v>
      </c>
      <c r="D104" t="n">
        <v>6</v>
      </c>
      <c r="E104" t="inlineStr">
        <is>
          <t>Input</t>
        </is>
      </c>
      <c r="F104" t="n">
        <v/>
      </c>
      <c r="G104" t="n">
        <v>1027.05</v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P104" t="n">
        <v/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Balance Sheet</t>
        </is>
      </c>
      <c r="B105" t="inlineStr">
        <is>
          <t>G15</t>
        </is>
      </c>
      <c r="C105" t="n">
        <v>15</v>
      </c>
      <c r="D105" t="n">
        <v>7</v>
      </c>
      <c r="E105" t="inlineStr">
        <is>
          <t>Input</t>
        </is>
      </c>
      <c r="F105" t="n">
        <v/>
      </c>
      <c r="G105" t="n">
        <v>1027.05</v>
      </c>
      <c r="H105" t="inlineStr"/>
      <c r="I105" t="inlineStr">
        <is>
          <t>_-* #,##0_-;\-* #,##0_-;_-* "-"??_-;_-@_-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P105" t="n">
        <v/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Balance Sheet</t>
        </is>
      </c>
      <c r="B106" t="inlineStr">
        <is>
          <t>H15</t>
        </is>
      </c>
      <c r="C106" t="n">
        <v>15</v>
      </c>
      <c r="D106" t="n">
        <v>8</v>
      </c>
      <c r="E106" t="inlineStr">
        <is>
          <t>Input</t>
        </is>
      </c>
      <c r="F106" t="n">
        <v/>
      </c>
      <c r="G106" t="n">
        <v>1027.05</v>
      </c>
      <c r="H106" t="inlineStr"/>
      <c r="I106" t="inlineStr">
        <is>
          <t>_-* #,##0_-;\-* #,##0_-;_-* "-"??_-;_-@_-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P106" t="n">
        <v/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Balance Sheet</t>
        </is>
      </c>
      <c r="B107" t="inlineStr">
        <is>
          <t>I15</t>
        </is>
      </c>
      <c r="C107" t="n">
        <v>15</v>
      </c>
      <c r="D107" t="n">
        <v>9</v>
      </c>
      <c r="E107" t="inlineStr">
        <is>
          <t>Input</t>
        </is>
      </c>
      <c r="F107" t="n">
        <v/>
      </c>
      <c r="G107" t="n">
        <v>1027.05</v>
      </c>
      <c r="H107" t="inlineStr"/>
      <c r="I107" t="inlineStr">
        <is>
          <t>_-* #,##0_-;\-* #,##0_-;_-* "-"??_-;_-@_-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Balance Sheet</t>
        </is>
      </c>
      <c r="B108" t="inlineStr">
        <is>
          <t>A16</t>
        </is>
      </c>
      <c r="C108" t="n">
        <v>16</v>
      </c>
      <c r="D108" t="n">
        <v>1</v>
      </c>
      <c r="E108" t="inlineStr">
        <is>
          <t>Input</t>
        </is>
      </c>
      <c r="F108" t="n">
        <v/>
      </c>
      <c r="G108" t="inlineStr">
        <is>
          <t>Total Non-current assets</t>
        </is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Balance Sheet</t>
        </is>
      </c>
      <c r="B109" t="inlineStr">
        <is>
          <t>B16</t>
        </is>
      </c>
      <c r="C109" t="n">
        <v>16</v>
      </c>
      <c r="D109" t="n">
        <v>2</v>
      </c>
      <c r="E109" t="inlineStr">
        <is>
          <t>Input</t>
        </is>
      </c>
      <c r="F109" t="n">
        <v/>
      </c>
      <c r="H109" t="inlineStr"/>
      <c r="I109" t="inlineStr">
        <is>
          <t>General</t>
        </is>
      </c>
      <c r="J109" t="b">
        <v>1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0</v>
      </c>
      <c r="S109" t="n">
        <v/>
      </c>
      <c r="T109" t="n">
        <v/>
      </c>
      <c r="U109" t="n">
        <v/>
      </c>
      <c r="V109" t="b">
        <v>0</v>
      </c>
      <c r="W109" t="inlineStr"/>
      <c r="X109" t="n">
        <v/>
      </c>
    </row>
    <row r="110">
      <c r="A110" t="inlineStr">
        <is>
          <t>Balance Sheet</t>
        </is>
      </c>
      <c r="B110" t="inlineStr">
        <is>
          <t>C16</t>
        </is>
      </c>
      <c r="C110" t="n">
        <v>16</v>
      </c>
      <c r="D110" t="n">
        <v>3</v>
      </c>
      <c r="E110" t="inlineStr">
        <is>
          <t>Calculation</t>
        </is>
      </c>
      <c r="F110" t="inlineStr">
        <is>
          <t>'=SUM(C4:C15)</t>
        </is>
      </c>
      <c r="G110" t="n">
        <v>9289.219999999999</v>
      </c>
      <c r="H110" t="inlineStr"/>
      <c r="I110" t="inlineStr">
        <is>
          <t>_-* #,##0_-;\-* #,##0_-;_-* "-"??_-;_-@_-</t>
        </is>
      </c>
      <c r="J110" t="b">
        <v>1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G000145</t>
        </is>
      </c>
      <c r="T110" t="inlineStr">
        <is>
          <t>Horizontal</t>
        </is>
      </c>
      <c r="U110" t="n">
        <v>7</v>
      </c>
      <c r="V110" t="b">
        <v>1</v>
      </c>
      <c r="W110" t="inlineStr">
        <is>
          <t>Balance Sheet!C16:I16</t>
        </is>
      </c>
      <c r="X110">
        <f>SUM(R[-12]C[0]:R[-1]C[0])</f>
        <v/>
      </c>
    </row>
    <row r="111">
      <c r="A111" t="inlineStr">
        <is>
          <t>Balance Sheet</t>
        </is>
      </c>
      <c r="B111" t="inlineStr">
        <is>
          <t>D16</t>
        </is>
      </c>
      <c r="C111" t="n">
        <v>16</v>
      </c>
      <c r="D111" t="n">
        <v>4</v>
      </c>
      <c r="E111" t="inlineStr">
        <is>
          <t>Calculation</t>
        </is>
      </c>
      <c r="F111" t="inlineStr">
        <is>
          <t>'=SUM(D4:D15)</t>
        </is>
      </c>
      <c r="G111" t="n">
        <v>9190.82</v>
      </c>
      <c r="H111" t="inlineStr"/>
      <c r="I111" t="inlineStr">
        <is>
          <t>_-* #,##0_-;\-* #,##0_-;_-* "-"??_-;_-@_-</t>
        </is>
      </c>
      <c r="J111" t="b">
        <v>1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G000145</t>
        </is>
      </c>
      <c r="T111" t="inlineStr">
        <is>
          <t>Horizontal</t>
        </is>
      </c>
      <c r="U111" t="n">
        <v>7</v>
      </c>
      <c r="V111" t="b">
        <v>1</v>
      </c>
      <c r="W111" t="inlineStr">
        <is>
          <t>Balance Sheet!C16:I16</t>
        </is>
      </c>
      <c r="X111">
        <f>SUM(R[-12]C[0]:R[-1]C[0])</f>
        <v/>
      </c>
    </row>
    <row r="112">
      <c r="A112" t="inlineStr">
        <is>
          <t>Balance Sheet</t>
        </is>
      </c>
      <c r="B112" t="inlineStr">
        <is>
          <t>E16</t>
        </is>
      </c>
      <c r="C112" t="n">
        <v>16</v>
      </c>
      <c r="D112" t="n">
        <v>5</v>
      </c>
      <c r="E112" t="inlineStr">
        <is>
          <t>Calculation</t>
        </is>
      </c>
      <c r="F112" t="inlineStr">
        <is>
          <t>'=SUM(E4:E15)</t>
        </is>
      </c>
      <c r="G112" t="n">
        <v>9015.023052020695</v>
      </c>
      <c r="H112" t="inlineStr"/>
      <c r="I112" t="inlineStr">
        <is>
          <t>_-* #,##0_-;\-* #,##0_-;_-* "-"??_-;_-@_-</t>
        </is>
      </c>
      <c r="J112" t="b">
        <v>1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G000145</t>
        </is>
      </c>
      <c r="T112" t="inlineStr">
        <is>
          <t>Horizontal</t>
        </is>
      </c>
      <c r="U112" t="n">
        <v>7</v>
      </c>
      <c r="V112" t="b">
        <v>1</v>
      </c>
      <c r="W112" t="inlineStr">
        <is>
          <t>Balance Sheet!C16:I16</t>
        </is>
      </c>
      <c r="X112">
        <f>SUM(R[-12]C[0]:R[-1]C[0])</f>
        <v/>
      </c>
    </row>
    <row r="113">
      <c r="A113" t="inlineStr">
        <is>
          <t>Balance Sheet</t>
        </is>
      </c>
      <c r="B113" t="inlineStr">
        <is>
          <t>F16</t>
        </is>
      </c>
      <c r="C113" t="n">
        <v>16</v>
      </c>
      <c r="D113" t="n">
        <v>6</v>
      </c>
      <c r="E113" t="inlineStr">
        <is>
          <t>Calculation</t>
        </is>
      </c>
      <c r="F113" t="inlineStr">
        <is>
          <t>'=SUM(F4:F15)</t>
        </is>
      </c>
      <c r="G113" t="n">
        <v>8886.661255933688</v>
      </c>
      <c r="H113" t="inlineStr"/>
      <c r="I113" t="inlineStr">
        <is>
          <t>_-* #,##0_-;\-* #,##0_-;_-* "-"??_-;_-@_-</t>
        </is>
      </c>
      <c r="J113" t="b">
        <v>1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G000145</t>
        </is>
      </c>
      <c r="T113" t="inlineStr">
        <is>
          <t>Horizontal</t>
        </is>
      </c>
      <c r="U113" t="n">
        <v>7</v>
      </c>
      <c r="V113" t="b">
        <v>1</v>
      </c>
      <c r="W113" t="inlineStr">
        <is>
          <t>Balance Sheet!C16:I16</t>
        </is>
      </c>
      <c r="X113">
        <f>SUM(R[-12]C[0]:R[-1]C[0])</f>
        <v/>
      </c>
    </row>
    <row r="114">
      <c r="A114" t="inlineStr">
        <is>
          <t>Balance Sheet</t>
        </is>
      </c>
      <c r="B114" t="inlineStr">
        <is>
          <t>G16</t>
        </is>
      </c>
      <c r="C114" t="n">
        <v>16</v>
      </c>
      <c r="D114" t="n">
        <v>7</v>
      </c>
      <c r="E114" t="inlineStr">
        <is>
          <t>Calculation</t>
        </is>
      </c>
      <c r="F114" t="inlineStr">
        <is>
          <t>'=SUM(G4:G15)</t>
        </is>
      </c>
      <c r="G114" t="n">
        <v>8803.254751098071</v>
      </c>
      <c r="H114" t="inlineStr"/>
      <c r="I114" t="inlineStr">
        <is>
          <t>_-* #,##0_-;\-* #,##0_-;_-* "-"??_-;_-@_-</t>
        </is>
      </c>
      <c r="J114" t="b">
        <v>1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inlineStr">
        <is>
          <t>G000145</t>
        </is>
      </c>
      <c r="T114" t="inlineStr">
        <is>
          <t>Horizontal</t>
        </is>
      </c>
      <c r="U114" t="n">
        <v>7</v>
      </c>
      <c r="V114" t="b">
        <v>1</v>
      </c>
      <c r="W114" t="inlineStr">
        <is>
          <t>Balance Sheet!C16:I16</t>
        </is>
      </c>
      <c r="X114">
        <f>SUM(R[-12]C[0]:R[-1]C[0])</f>
        <v/>
      </c>
    </row>
    <row r="115">
      <c r="A115" t="inlineStr">
        <is>
          <t>Balance Sheet</t>
        </is>
      </c>
      <c r="B115" t="inlineStr">
        <is>
          <t>H16</t>
        </is>
      </c>
      <c r="C115" t="n">
        <v>16</v>
      </c>
      <c r="D115" t="n">
        <v>8</v>
      </c>
      <c r="E115" t="inlineStr">
        <is>
          <t>Calculation</t>
        </is>
      </c>
      <c r="F115" t="inlineStr">
        <is>
          <t>'=SUM(H4:H15)</t>
        </is>
      </c>
      <c r="G115" t="n">
        <v>8762.787073271327</v>
      </c>
      <c r="H115" t="inlineStr"/>
      <c r="I115" t="inlineStr">
        <is>
          <t>_-* #,##0_-;\-* #,##0_-;_-* "-"??_-;_-@_-</t>
        </is>
      </c>
      <c r="J115" t="b">
        <v>1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inlineStr">
        <is>
          <t>G000145</t>
        </is>
      </c>
      <c r="T115" t="inlineStr">
        <is>
          <t>Horizontal</t>
        </is>
      </c>
      <c r="U115" t="n">
        <v>7</v>
      </c>
      <c r="V115" t="b">
        <v>1</v>
      </c>
      <c r="W115" t="inlineStr">
        <is>
          <t>Balance Sheet!C16:I16</t>
        </is>
      </c>
      <c r="X115">
        <f>SUM(R[-12]C[0]:R[-1]C[0])</f>
        <v/>
      </c>
    </row>
    <row r="116">
      <c r="A116" t="inlineStr">
        <is>
          <t>Balance Sheet</t>
        </is>
      </c>
      <c r="B116" t="inlineStr">
        <is>
          <t>I16</t>
        </is>
      </c>
      <c r="C116" t="n">
        <v>16</v>
      </c>
      <c r="D116" t="n">
        <v>9</v>
      </c>
      <c r="E116" t="inlineStr">
        <is>
          <t>Calculation</t>
        </is>
      </c>
      <c r="F116" t="inlineStr">
        <is>
          <t>'=SUM(I4:I15)</t>
        </is>
      </c>
      <c r="G116" t="n">
        <v>8763.638117831548</v>
      </c>
      <c r="H116" t="inlineStr"/>
      <c r="I116" t="inlineStr">
        <is>
          <t>_-* #,##0_-;\-* #,##0_-;_-* "-"??_-;_-@_-</t>
        </is>
      </c>
      <c r="J116" t="b">
        <v>1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G000145</t>
        </is>
      </c>
      <c r="T116" t="inlineStr">
        <is>
          <t>Horizontal</t>
        </is>
      </c>
      <c r="U116" t="n">
        <v>7</v>
      </c>
      <c r="V116" t="b">
        <v>1</v>
      </c>
      <c r="W116" t="inlineStr">
        <is>
          <t>Balance Sheet!C16:I16</t>
        </is>
      </c>
      <c r="X116">
        <f>SUM(R[-12]C[0]:R[-1]C[0])</f>
        <v/>
      </c>
    </row>
    <row r="117">
      <c r="A117" t="inlineStr">
        <is>
          <t>Balance Sheet</t>
        </is>
      </c>
      <c r="B117" t="inlineStr">
        <is>
          <t>A17</t>
        </is>
      </c>
      <c r="C117" t="n">
        <v>17</v>
      </c>
      <c r="D117" t="n">
        <v>1</v>
      </c>
      <c r="E117" t="inlineStr">
        <is>
          <t>Input</t>
        </is>
      </c>
      <c r="F117" t="n">
        <v/>
      </c>
      <c r="G117" t="inlineStr">
        <is>
          <t>Current assets</t>
        </is>
      </c>
      <c r="H117" t="inlineStr"/>
      <c r="I117" t="inlineStr">
        <is>
          <t>General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inlineStr">
        <is>
          <t>left</t>
        </is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Balance Sheet</t>
        </is>
      </c>
      <c r="B118" t="inlineStr">
        <is>
          <t>C17</t>
        </is>
      </c>
      <c r="C118" t="n">
        <v>17</v>
      </c>
      <c r="D118" t="n">
        <v>3</v>
      </c>
      <c r="E118" t="inlineStr">
        <is>
          <t>Input</t>
        </is>
      </c>
      <c r="F118" t="n">
        <v/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Balance Sheet</t>
        </is>
      </c>
      <c r="B119" t="inlineStr">
        <is>
          <t>D17</t>
        </is>
      </c>
      <c r="C119" t="n">
        <v>17</v>
      </c>
      <c r="D119" t="n">
        <v>4</v>
      </c>
      <c r="E119" t="inlineStr">
        <is>
          <t>Input</t>
        </is>
      </c>
      <c r="F119" t="n">
        <v/>
      </c>
      <c r="H119" t="inlineStr"/>
      <c r="I119" t="inlineStr">
        <is>
          <t>_-* #,##0_-;\-* #,##0_-;_-* "-"??_-;_-@_-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Balance Sheet</t>
        </is>
      </c>
      <c r="B120" t="inlineStr">
        <is>
          <t>A18</t>
        </is>
      </c>
      <c r="C120" t="n">
        <v>18</v>
      </c>
      <c r="D120" t="n">
        <v>1</v>
      </c>
      <c r="E120" t="inlineStr">
        <is>
          <t>Input</t>
        </is>
      </c>
      <c r="F120" t="n">
        <v/>
      </c>
      <c r="G120" t="inlineStr">
        <is>
          <t>a) Inventories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inlineStr">
        <is>
          <t>left</t>
        </is>
      </c>
      <c r="P120" t="n">
        <v/>
      </c>
      <c r="R120" t="b">
        <v>1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Balance Sheet</t>
        </is>
      </c>
      <c r="B121" t="inlineStr">
        <is>
          <t>C18</t>
        </is>
      </c>
      <c r="C121" t="n">
        <v>18</v>
      </c>
      <c r="D121" t="n">
        <v>3</v>
      </c>
      <c r="E121" t="inlineStr">
        <is>
          <t>Input</t>
        </is>
      </c>
      <c r="F121" t="n">
        <v/>
      </c>
      <c r="G121" t="n">
        <v>1224.63</v>
      </c>
      <c r="H121" t="inlineStr"/>
      <c r="I121" t="inlineStr">
        <is>
          <t>_-* #,##0_-;\-* #,##0_-;_-* "-"??_-;_-@_-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Balance Sheet</t>
        </is>
      </c>
      <c r="B122" t="inlineStr">
        <is>
          <t>D18</t>
        </is>
      </c>
      <c r="C122" t="n">
        <v>18</v>
      </c>
      <c r="D122" t="n">
        <v>4</v>
      </c>
      <c r="E122" t="inlineStr">
        <is>
          <t>Input</t>
        </is>
      </c>
      <c r="F122" t="n">
        <v/>
      </c>
      <c r="G122" t="n">
        <v>1404.78</v>
      </c>
      <c r="H122" t="inlineStr"/>
      <c r="I122" t="inlineStr">
        <is>
          <t>_-* #,##0_-;\-* #,##0_-;_-* "-"??_-;_-@_-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Balance Sheet</t>
        </is>
      </c>
      <c r="B123" t="inlineStr">
        <is>
          <t>E18</t>
        </is>
      </c>
      <c r="C123" t="n">
        <v>18</v>
      </c>
      <c r="D123" t="n">
        <v>5</v>
      </c>
      <c r="E123" t="inlineStr">
        <is>
          <t>Calculation</t>
        </is>
      </c>
      <c r="F123" t="inlineStr">
        <is>
          <t>'=SUM('Financial Statements'!E4:E7)*'Balance Sheet'!E57</t>
        </is>
      </c>
      <c r="G123" t="n">
        <v>1614.692303209429</v>
      </c>
      <c r="H123" t="inlineStr"/>
      <c r="I123" t="inlineStr">
        <is>
          <t>_-* #,##0_-;\-* #,##0_-;_-* "-"??_-;_-@_-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FFFFFF00</t>
        </is>
      </c>
      <c r="O123" t="n">
        <v/>
      </c>
      <c r="P123" t="n">
        <v/>
      </c>
      <c r="R123" t="b">
        <v>1</v>
      </c>
      <c r="S123" t="inlineStr">
        <is>
          <t>G000146</t>
        </is>
      </c>
      <c r="T123" t="inlineStr">
        <is>
          <t>Horizontal</t>
        </is>
      </c>
      <c r="U123" t="n">
        <v>5</v>
      </c>
      <c r="V123" t="b">
        <v>1</v>
      </c>
      <c r="W123" t="inlineStr">
        <is>
          <t>Balance Sheet!E18:I18</t>
        </is>
      </c>
      <c r="X123">
        <f>SUM('Financial Statements'!R[-14]C[0]:R[-11]C[0])*R[39]C[0]</f>
        <v/>
      </c>
    </row>
    <row r="124">
      <c r="A124" t="inlineStr">
        <is>
          <t>Balance Sheet</t>
        </is>
      </c>
      <c r="B124" t="inlineStr">
        <is>
          <t>F18</t>
        </is>
      </c>
      <c r="C124" t="n">
        <v>18</v>
      </c>
      <c r="D124" t="n">
        <v>6</v>
      </c>
      <c r="E124" t="inlineStr">
        <is>
          <t>Calculation</t>
        </is>
      </c>
      <c r="F124" t="inlineStr">
        <is>
          <t>'=SUM('Financial Statements'!F4:F7)*'Balance Sheet'!F57</t>
        </is>
      </c>
      <c r="G124" t="n">
        <v>1750.038339358</v>
      </c>
      <c r="H124" t="inlineStr"/>
      <c r="I124" t="inlineStr">
        <is>
          <t>_-* #,##0_-;\-* #,##0_-;_-* "-"??_-;_-@_-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FFFFFF00</t>
        </is>
      </c>
      <c r="O124" t="n">
        <v/>
      </c>
      <c r="P124" t="n">
        <v/>
      </c>
      <c r="R124" t="b">
        <v>1</v>
      </c>
      <c r="S124" t="inlineStr">
        <is>
          <t>G000146</t>
        </is>
      </c>
      <c r="T124" t="inlineStr">
        <is>
          <t>Horizontal</t>
        </is>
      </c>
      <c r="U124" t="n">
        <v>5</v>
      </c>
      <c r="V124" t="b">
        <v>1</v>
      </c>
      <c r="W124" t="inlineStr">
        <is>
          <t>Balance Sheet!E18:I18</t>
        </is>
      </c>
      <c r="X124">
        <f>SUM('Financial Statements'!R[-14]C[0]:R[-11]C[0])*R[39]C[0]</f>
        <v/>
      </c>
    </row>
    <row r="125">
      <c r="A125" t="inlineStr">
        <is>
          <t>Balance Sheet</t>
        </is>
      </c>
      <c r="B125" t="inlineStr">
        <is>
          <t>G18</t>
        </is>
      </c>
      <c r="C125" t="n">
        <v>18</v>
      </c>
      <c r="D125" t="n">
        <v>7</v>
      </c>
      <c r="E125" t="inlineStr">
        <is>
          <t>Calculation</t>
        </is>
      </c>
      <c r="F125" t="inlineStr">
        <is>
          <t>'=SUM('Financial Statements'!G4:G7)*'Balance Sheet'!G57</t>
        </is>
      </c>
      <c r="G125" t="n">
        <v>1895.527379897816</v>
      </c>
      <c r="H125" t="inlineStr"/>
      <c r="I125" t="inlineStr">
        <is>
          <t>_-* #,##0_-;\-* #,##0_-;_-* "-"??_-;_-@_-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FFFFFF00</t>
        </is>
      </c>
      <c r="O125" t="n">
        <v/>
      </c>
      <c r="P125" t="n">
        <v/>
      </c>
      <c r="R125" t="b">
        <v>1</v>
      </c>
      <c r="S125" t="inlineStr">
        <is>
          <t>G000146</t>
        </is>
      </c>
      <c r="T125" t="inlineStr">
        <is>
          <t>Horizontal</t>
        </is>
      </c>
      <c r="U125" t="n">
        <v>5</v>
      </c>
      <c r="V125" t="b">
        <v>1</v>
      </c>
      <c r="W125" t="inlineStr">
        <is>
          <t>Balance Sheet!E18:I18</t>
        </is>
      </c>
      <c r="X125">
        <f>SUM('Financial Statements'!R[-14]C[0]:R[-11]C[0])*R[39]C[0]</f>
        <v/>
      </c>
    </row>
    <row r="126">
      <c r="A126" t="inlineStr">
        <is>
          <t>Balance Sheet</t>
        </is>
      </c>
      <c r="B126" t="inlineStr">
        <is>
          <t>H18</t>
        </is>
      </c>
      <c r="C126" t="n">
        <v>18</v>
      </c>
      <c r="D126" t="n">
        <v>8</v>
      </c>
      <c r="E126" t="inlineStr">
        <is>
          <t>Calculation</t>
        </is>
      </c>
      <c r="F126" t="inlineStr">
        <is>
          <t>'=SUM('Financial Statements'!H4:H7)*'Balance Sheet'!H57</t>
        </is>
      </c>
      <c r="G126" t="n">
        <v>2051.867616754349</v>
      </c>
      <c r="H126" t="inlineStr"/>
      <c r="I126" t="inlineStr">
        <is>
          <t>_-* #,##0_-;\-* #,##0_-;_-* "-"??_-;_-@_-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FFFFFF00</t>
        </is>
      </c>
      <c r="O126" t="n">
        <v/>
      </c>
      <c r="P126" t="n">
        <v/>
      </c>
      <c r="R126" t="b">
        <v>1</v>
      </c>
      <c r="S126" t="inlineStr">
        <is>
          <t>G000146</t>
        </is>
      </c>
      <c r="T126" t="inlineStr">
        <is>
          <t>Horizontal</t>
        </is>
      </c>
      <c r="U126" t="n">
        <v>5</v>
      </c>
      <c r="V126" t="b">
        <v>1</v>
      </c>
      <c r="W126" t="inlineStr">
        <is>
          <t>Balance Sheet!E18:I18</t>
        </is>
      </c>
      <c r="X126">
        <f>SUM('Financial Statements'!R[-14]C[0]:R[-11]C[0])*R[39]C[0]</f>
        <v/>
      </c>
    </row>
    <row r="127">
      <c r="A127" t="inlineStr">
        <is>
          <t>Balance Sheet</t>
        </is>
      </c>
      <c r="B127" t="inlineStr">
        <is>
          <t>I18</t>
        </is>
      </c>
      <c r="C127" t="n">
        <v>18</v>
      </c>
      <c r="D127" t="n">
        <v>9</v>
      </c>
      <c r="E127" t="inlineStr">
        <is>
          <t>Calculation</t>
        </is>
      </c>
      <c r="F127" t="inlineStr">
        <is>
          <t>'=SUM('Financial Statements'!I4:I7)*'Balance Sheet'!I57</t>
        </is>
      </c>
      <c r="G127" t="n">
        <v>2219.81431636348</v>
      </c>
      <c r="H127" t="inlineStr"/>
      <c r="I127" t="inlineStr">
        <is>
          <t>_-* #,##0_-;\-* #,##0_-;_-* "-"??_-;_-@_-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FFFFFF00</t>
        </is>
      </c>
      <c r="O127" t="n">
        <v/>
      </c>
      <c r="P127" t="n">
        <v/>
      </c>
      <c r="R127" t="b">
        <v>1</v>
      </c>
      <c r="S127" t="inlineStr">
        <is>
          <t>G000146</t>
        </is>
      </c>
      <c r="T127" t="inlineStr">
        <is>
          <t>Horizontal</t>
        </is>
      </c>
      <c r="U127" t="n">
        <v>5</v>
      </c>
      <c r="V127" t="b">
        <v>1</v>
      </c>
      <c r="W127" t="inlineStr">
        <is>
          <t>Balance Sheet!E18:I18</t>
        </is>
      </c>
      <c r="X127">
        <f>SUM('Financial Statements'!R[-14]C[0]:R[-11]C[0])*R[39]C[0]</f>
        <v/>
      </c>
    </row>
    <row r="128">
      <c r="A128" t="inlineStr">
        <is>
          <t>Balance Sheet</t>
        </is>
      </c>
      <c r="B128" t="inlineStr">
        <is>
          <t>A19</t>
        </is>
      </c>
      <c r="C128" t="n">
        <v>19</v>
      </c>
      <c r="D128" t="n">
        <v>1</v>
      </c>
      <c r="E128" t="inlineStr">
        <is>
          <t>Input</t>
        </is>
      </c>
      <c r="F128" t="n">
        <v/>
      </c>
      <c r="G128" t="inlineStr">
        <is>
          <t>b) Financial assets</t>
        </is>
      </c>
      <c r="H128" t="inlineStr"/>
      <c r="I128" t="inlineStr">
        <is>
          <t>General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inlineStr">
        <is>
          <t>left</t>
        </is>
      </c>
      <c r="P128" t="n">
        <v/>
      </c>
      <c r="R128" t="b">
        <v>1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Balance Sheet</t>
        </is>
      </c>
      <c r="B129" t="inlineStr">
        <is>
          <t>C19</t>
        </is>
      </c>
      <c r="C129" t="n">
        <v>19</v>
      </c>
      <c r="D129" t="n">
        <v>3</v>
      </c>
      <c r="E129" t="inlineStr">
        <is>
          <t>Input</t>
        </is>
      </c>
      <c r="F129" t="n">
        <v/>
      </c>
      <c r="H129" t="inlineStr"/>
      <c r="I129" t="inlineStr">
        <is>
          <t>_-* #,##0_-;\-* #,##0_-;_-* "-"??_-;_-@_-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0</v>
      </c>
      <c r="S129" t="n">
        <v/>
      </c>
      <c r="T129" t="n">
        <v/>
      </c>
      <c r="U129" t="n">
        <v/>
      </c>
      <c r="V129" t="b">
        <v>0</v>
      </c>
      <c r="W129" t="inlineStr"/>
      <c r="X129" t="n">
        <v/>
      </c>
    </row>
    <row r="130">
      <c r="A130" t="inlineStr">
        <is>
          <t>Balance Sheet</t>
        </is>
      </c>
      <c r="B130" t="inlineStr">
        <is>
          <t>D19</t>
        </is>
      </c>
      <c r="C130" t="n">
        <v>19</v>
      </c>
      <c r="D130" t="n">
        <v>4</v>
      </c>
      <c r="E130" t="inlineStr">
        <is>
          <t>Input</t>
        </is>
      </c>
      <c r="F130" t="n">
        <v/>
      </c>
      <c r="H130" t="inlineStr"/>
      <c r="I130" t="inlineStr">
        <is>
          <t>_-* #,##0_-;\-* #,##0_-;_-* "-"??_-;_-@_-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0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Balance Sheet</t>
        </is>
      </c>
      <c r="B131" t="inlineStr">
        <is>
          <t>A20</t>
        </is>
      </c>
      <c r="C131" t="n">
        <v>20</v>
      </c>
      <c r="D131" t="n">
        <v>1</v>
      </c>
      <c r="E131" t="inlineStr">
        <is>
          <t>Input</t>
        </is>
      </c>
      <c r="F131" t="n">
        <v/>
      </c>
      <c r="G131" t="inlineStr">
        <is>
          <t>(i) Investments</t>
        </is>
      </c>
      <c r="H131" t="inlineStr"/>
      <c r="I131" t="inlineStr">
        <is>
          <t>General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inlineStr">
        <is>
          <t>left</t>
        </is>
      </c>
      <c r="P131" t="n">
        <v/>
      </c>
      <c r="R131" t="b">
        <v>1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Balance Sheet</t>
        </is>
      </c>
      <c r="B132" t="inlineStr">
        <is>
          <t>C20</t>
        </is>
      </c>
      <c r="C132" t="n">
        <v>20</v>
      </c>
      <c r="D132" t="n">
        <v>3</v>
      </c>
      <c r="E132" t="inlineStr">
        <is>
          <t>Input</t>
        </is>
      </c>
      <c r="F132" t="n">
        <v/>
      </c>
      <c r="G132" t="inlineStr">
        <is>
          <t>-</t>
        </is>
      </c>
      <c r="H132" t="inlineStr"/>
      <c r="I132" t="inlineStr">
        <is>
          <t>_-* #,##0_-;\-* #,##0_-;_-* "-"??_-;_-@_-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Balance Sheet</t>
        </is>
      </c>
      <c r="B133" t="inlineStr">
        <is>
          <t>D20</t>
        </is>
      </c>
      <c r="C133" t="n">
        <v>20</v>
      </c>
      <c r="D133" t="n">
        <v>4</v>
      </c>
      <c r="E133" t="inlineStr">
        <is>
          <t>Input</t>
        </is>
      </c>
      <c r="F133" t="n">
        <v/>
      </c>
      <c r="G133" t="inlineStr">
        <is>
          <t>-</t>
        </is>
      </c>
      <c r="H133" t="inlineStr"/>
      <c r="I133" t="inlineStr">
        <is>
          <t>_-* #,##0_-;\-* #,##0_-;_-* "-"??_-;_-@_-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Balance Sheet</t>
        </is>
      </c>
      <c r="B134" t="inlineStr">
        <is>
          <t>E20</t>
        </is>
      </c>
      <c r="C134" t="n">
        <v>20</v>
      </c>
      <c r="D134" t="n">
        <v>5</v>
      </c>
      <c r="E134" t="inlineStr">
        <is>
          <t>Input</t>
        </is>
      </c>
      <c r="F134" t="n">
        <v/>
      </c>
      <c r="G134" t="inlineStr">
        <is>
          <t>-</t>
        </is>
      </c>
      <c r="H134" t="inlineStr"/>
      <c r="I134" t="inlineStr">
        <is>
          <t>_-* #,##0_-;\-* #,##0_-;_-* "-"??_-;_-@_-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n">
        <v/>
      </c>
      <c r="T134" t="n">
        <v/>
      </c>
      <c r="U134" t="n">
        <v/>
      </c>
      <c r="V134" t="b">
        <v>0</v>
      </c>
      <c r="W134" t="inlineStr"/>
      <c r="X134" t="n">
        <v/>
      </c>
    </row>
    <row r="135">
      <c r="A135" t="inlineStr">
        <is>
          <t>Balance Sheet</t>
        </is>
      </c>
      <c r="B135" t="inlineStr">
        <is>
          <t>F20</t>
        </is>
      </c>
      <c r="C135" t="n">
        <v>20</v>
      </c>
      <c r="D135" t="n">
        <v>6</v>
      </c>
      <c r="E135" t="inlineStr">
        <is>
          <t>Input</t>
        </is>
      </c>
      <c r="F135" t="n">
        <v/>
      </c>
      <c r="G135" t="inlineStr">
        <is>
          <t>-</t>
        </is>
      </c>
      <c r="H135" t="inlineStr"/>
      <c r="I135" t="inlineStr">
        <is>
          <t>_-* #,##0_-;\-* #,##0_-;_-* "-"??_-;_-@_-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n">
        <v/>
      </c>
      <c r="T135" t="n">
        <v/>
      </c>
      <c r="U135" t="n">
        <v/>
      </c>
      <c r="V135" t="b">
        <v>0</v>
      </c>
      <c r="W135" t="inlineStr"/>
      <c r="X135" t="n">
        <v/>
      </c>
    </row>
    <row r="136">
      <c r="A136" t="inlineStr">
        <is>
          <t>Balance Sheet</t>
        </is>
      </c>
      <c r="B136" t="inlineStr">
        <is>
          <t>G20</t>
        </is>
      </c>
      <c r="C136" t="n">
        <v>20</v>
      </c>
      <c r="D136" t="n">
        <v>7</v>
      </c>
      <c r="E136" t="inlineStr">
        <is>
          <t>Input</t>
        </is>
      </c>
      <c r="F136" t="n">
        <v/>
      </c>
      <c r="G136" t="inlineStr">
        <is>
          <t>-</t>
        </is>
      </c>
      <c r="H136" t="inlineStr"/>
      <c r="I136" t="inlineStr">
        <is>
          <t>_-* #,##0_-;\-* #,##0_-;_-* "-"??_-;_-@_-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n">
        <v/>
      </c>
      <c r="T136" t="n">
        <v/>
      </c>
      <c r="U136" t="n">
        <v/>
      </c>
      <c r="V136" t="b">
        <v>0</v>
      </c>
      <c r="W136" t="inlineStr"/>
      <c r="X136" t="n">
        <v/>
      </c>
    </row>
    <row r="137">
      <c r="A137" t="inlineStr">
        <is>
          <t>Balance Sheet</t>
        </is>
      </c>
      <c r="B137" t="inlineStr">
        <is>
          <t>H20</t>
        </is>
      </c>
      <c r="C137" t="n">
        <v>20</v>
      </c>
      <c r="D137" t="n">
        <v>8</v>
      </c>
      <c r="E137" t="inlineStr">
        <is>
          <t>Input</t>
        </is>
      </c>
      <c r="F137" t="n">
        <v/>
      </c>
      <c r="G137" t="inlineStr">
        <is>
          <t>-</t>
        </is>
      </c>
      <c r="H137" t="inlineStr"/>
      <c r="I137" t="inlineStr">
        <is>
          <t>_-* #,##0_-;\-* #,##0_-;_-* "-"??_-;_-@_-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n">
        <v/>
      </c>
      <c r="T137" t="n">
        <v/>
      </c>
      <c r="U137" t="n">
        <v/>
      </c>
      <c r="V137" t="b">
        <v>0</v>
      </c>
      <c r="W137" t="inlineStr"/>
      <c r="X137" t="n">
        <v/>
      </c>
    </row>
    <row r="138">
      <c r="A138" t="inlineStr">
        <is>
          <t>Balance Sheet</t>
        </is>
      </c>
      <c r="B138" t="inlineStr">
        <is>
          <t>I20</t>
        </is>
      </c>
      <c r="C138" t="n">
        <v>20</v>
      </c>
      <c r="D138" t="n">
        <v>9</v>
      </c>
      <c r="E138" t="inlineStr">
        <is>
          <t>Input</t>
        </is>
      </c>
      <c r="F138" t="n">
        <v/>
      </c>
      <c r="G138" t="inlineStr">
        <is>
          <t>-</t>
        </is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Balance Sheet</t>
        </is>
      </c>
      <c r="B139" t="inlineStr">
        <is>
          <t>A21</t>
        </is>
      </c>
      <c r="C139" t="n">
        <v>21</v>
      </c>
      <c r="D139" t="n">
        <v>1</v>
      </c>
      <c r="E139" t="inlineStr">
        <is>
          <t>Input</t>
        </is>
      </c>
      <c r="F139" t="n">
        <v/>
      </c>
      <c r="G139" t="inlineStr">
        <is>
          <t>(ii) Trade receivables</t>
        </is>
      </c>
      <c r="H139" t="inlineStr"/>
      <c r="I139" t="inlineStr">
        <is>
          <t>General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inlineStr">
        <is>
          <t>left</t>
        </is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Balance Sheet</t>
        </is>
      </c>
      <c r="B140" t="inlineStr">
        <is>
          <t>C21</t>
        </is>
      </c>
      <c r="C140" t="n">
        <v>21</v>
      </c>
      <c r="D140" t="n">
        <v>3</v>
      </c>
      <c r="E140" t="inlineStr">
        <is>
          <t>Input</t>
        </is>
      </c>
      <c r="F140" t="n">
        <v/>
      </c>
      <c r="G140" t="n">
        <v>533.1799999999999</v>
      </c>
      <c r="H140" t="inlineStr"/>
      <c r="I140" t="inlineStr">
        <is>
          <t>_-* #,##0_-;\-* #,##0_-;_-* "-"??_-;_-@_-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Balance Sheet</t>
        </is>
      </c>
      <c r="B141" t="inlineStr">
        <is>
          <t>D21</t>
        </is>
      </c>
      <c r="C141" t="n">
        <v>21</v>
      </c>
      <c r="D141" t="n">
        <v>4</v>
      </c>
      <c r="E141" t="inlineStr">
        <is>
          <t>Input</t>
        </is>
      </c>
      <c r="F141" t="n">
        <v/>
      </c>
      <c r="G141" t="n">
        <v>665.97</v>
      </c>
      <c r="H141" t="inlineStr"/>
      <c r="I141" t="inlineStr">
        <is>
          <t>_-* #,##0_-;\-* #,##0_-;_-* "-"??_-;_-@_-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Balance Sheet</t>
        </is>
      </c>
      <c r="B142" t="inlineStr">
        <is>
          <t>E21</t>
        </is>
      </c>
      <c r="C142" t="n">
        <v>21</v>
      </c>
      <c r="D142" t="n">
        <v>5</v>
      </c>
      <c r="E142" t="inlineStr">
        <is>
          <t>Calculation</t>
        </is>
      </c>
      <c r="F142" t="inlineStr">
        <is>
          <t>'='Financial Statements'!E2*'Balance Sheet'!E58</t>
        </is>
      </c>
      <c r="G142" t="n">
        <v>704.9318970579036</v>
      </c>
      <c r="H142" t="inlineStr"/>
      <c r="I142" t="inlineStr">
        <is>
          <t>_-* #,##0_-;\-* #,##0_-;_-* "-"??_-;_-@_-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FFFFFF00</t>
        </is>
      </c>
      <c r="O142" t="n">
        <v/>
      </c>
      <c r="P142" t="n">
        <v/>
      </c>
      <c r="R142" t="b">
        <v>1</v>
      </c>
      <c r="S142" t="inlineStr">
        <is>
          <t>G000147</t>
        </is>
      </c>
      <c r="T142" t="inlineStr">
        <is>
          <t>Horizontal</t>
        </is>
      </c>
      <c r="U142" t="n">
        <v>5</v>
      </c>
      <c r="V142" t="b">
        <v>1</v>
      </c>
      <c r="W142" t="inlineStr">
        <is>
          <t>Balance Sheet!E21:I21</t>
        </is>
      </c>
      <c r="X142">
        <f>'Financial Statements'!R[-19]C[0]*R[37]C[0]</f>
        <v/>
      </c>
    </row>
    <row r="143">
      <c r="A143" t="inlineStr">
        <is>
          <t>Balance Sheet</t>
        </is>
      </c>
      <c r="B143" t="inlineStr">
        <is>
          <t>F21</t>
        </is>
      </c>
      <c r="C143" t="n">
        <v>21</v>
      </c>
      <c r="D143" t="n">
        <v>6</v>
      </c>
      <c r="E143" t="inlineStr">
        <is>
          <t>Calculation</t>
        </is>
      </c>
      <c r="F143" t="inlineStr">
        <is>
          <t>'='Financial Statements'!F2*'Balance Sheet'!F58</t>
        </is>
      </c>
      <c r="G143" t="n">
        <v>758.4545040567446</v>
      </c>
      <c r="H143" t="inlineStr"/>
      <c r="I143" t="inlineStr">
        <is>
          <t>_-* #,##0_-;\-* #,##0_-;_-* "-"??_-;_-@_-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FFFFFF00</t>
        </is>
      </c>
      <c r="O143" t="n">
        <v/>
      </c>
      <c r="P143" t="n">
        <v/>
      </c>
      <c r="R143" t="b">
        <v>1</v>
      </c>
      <c r="S143" t="inlineStr">
        <is>
          <t>G000147</t>
        </is>
      </c>
      <c r="T143" t="inlineStr">
        <is>
          <t>Horizontal</t>
        </is>
      </c>
      <c r="U143" t="n">
        <v>5</v>
      </c>
      <c r="V143" t="b">
        <v>1</v>
      </c>
      <c r="W143" t="inlineStr">
        <is>
          <t>Balance Sheet!E21:I21</t>
        </is>
      </c>
      <c r="X143">
        <f>'Financial Statements'!R[-19]C[0]*R[37]C[0]</f>
        <v/>
      </c>
    </row>
    <row r="144">
      <c r="A144" t="inlineStr">
        <is>
          <t>Balance Sheet</t>
        </is>
      </c>
      <c r="B144" t="inlineStr">
        <is>
          <t>G21</t>
        </is>
      </c>
      <c r="C144" t="n">
        <v>21</v>
      </c>
      <c r="D144" t="n">
        <v>7</v>
      </c>
      <c r="E144" t="inlineStr">
        <is>
          <t>Calculation</t>
        </is>
      </c>
      <c r="F144" t="inlineStr">
        <is>
          <t>'='Financial Statements'!G2*'Balance Sheet'!G58</t>
        </is>
      </c>
      <c r="G144" t="n">
        <v>815.5670420128246</v>
      </c>
      <c r="H144" t="inlineStr"/>
      <c r="I144" t="inlineStr">
        <is>
          <t>_-* #,##0_-;\-* #,##0_-;_-* "-"??_-;_-@_-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FFFFFF00</t>
        </is>
      </c>
      <c r="O144" t="n">
        <v/>
      </c>
      <c r="P144" t="n">
        <v/>
      </c>
      <c r="R144" t="b">
        <v>1</v>
      </c>
      <c r="S144" t="inlineStr">
        <is>
          <t>G000147</t>
        </is>
      </c>
      <c r="T144" t="inlineStr">
        <is>
          <t>Horizontal</t>
        </is>
      </c>
      <c r="U144" t="n">
        <v>5</v>
      </c>
      <c r="V144" t="b">
        <v>1</v>
      </c>
      <c r="W144" t="inlineStr">
        <is>
          <t>Balance Sheet!E21:I21</t>
        </is>
      </c>
      <c r="X144">
        <f>'Financial Statements'!R[-19]C[0]*R[37]C[0]</f>
        <v/>
      </c>
    </row>
    <row r="145">
      <c r="A145" t="inlineStr">
        <is>
          <t>Balance Sheet</t>
        </is>
      </c>
      <c r="B145" t="inlineStr">
        <is>
          <t>H21</t>
        </is>
      </c>
      <c r="C145" t="n">
        <v>21</v>
      </c>
      <c r="D145" t="n">
        <v>8</v>
      </c>
      <c r="E145" t="inlineStr">
        <is>
          <t>Calculation</t>
        </is>
      </c>
      <c r="F145" t="inlineStr">
        <is>
          <t>'='Financial Statements'!H2*'Balance Sheet'!H58</t>
        </is>
      </c>
      <c r="G145" t="n">
        <v>876.4946975043709</v>
      </c>
      <c r="H145" t="inlineStr"/>
      <c r="I145" t="inlineStr">
        <is>
          <t>_-* #,##0_-;\-* #,##0_-;_-* "-"??_-;_-@_-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FFFFFF00</t>
        </is>
      </c>
      <c r="O145" t="n">
        <v/>
      </c>
      <c r="P145" t="n">
        <v/>
      </c>
      <c r="R145" t="b">
        <v>1</v>
      </c>
      <c r="S145" t="inlineStr">
        <is>
          <t>G000147</t>
        </is>
      </c>
      <c r="T145" t="inlineStr">
        <is>
          <t>Horizontal</t>
        </is>
      </c>
      <c r="U145" t="n">
        <v>5</v>
      </c>
      <c r="V145" t="b">
        <v>1</v>
      </c>
      <c r="W145" t="inlineStr">
        <is>
          <t>Balance Sheet!E21:I21</t>
        </is>
      </c>
      <c r="X145">
        <f>'Financial Statements'!R[-19]C[0]*R[37]C[0]</f>
        <v/>
      </c>
    </row>
    <row r="146">
      <c r="A146" t="inlineStr">
        <is>
          <t>Balance Sheet</t>
        </is>
      </c>
      <c r="B146" t="inlineStr">
        <is>
          <t>I21</t>
        </is>
      </c>
      <c r="C146" t="n">
        <v>21</v>
      </c>
      <c r="D146" t="n">
        <v>9</v>
      </c>
      <c r="E146" t="inlineStr">
        <is>
          <t>Calculation</t>
        </is>
      </c>
      <c r="F146" t="inlineStr">
        <is>
          <t>'='Financial Statements'!I2*'Balance Sheet'!I58</t>
        </is>
      </c>
      <c r="G146" t="n">
        <v>941.4762009400401</v>
      </c>
      <c r="H146" t="inlineStr"/>
      <c r="I146" t="inlineStr">
        <is>
          <t>_-* #,##0_-;\-* #,##0_-;_-* "-"??_-;_-@_-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FFFFFF00</t>
        </is>
      </c>
      <c r="O146" t="n">
        <v/>
      </c>
      <c r="P146" t="n">
        <v/>
      </c>
      <c r="R146" t="b">
        <v>1</v>
      </c>
      <c r="S146" t="inlineStr">
        <is>
          <t>G000147</t>
        </is>
      </c>
      <c r="T146" t="inlineStr">
        <is>
          <t>Horizontal</t>
        </is>
      </c>
      <c r="U146" t="n">
        <v>5</v>
      </c>
      <c r="V146" t="b">
        <v>1</v>
      </c>
      <c r="W146" t="inlineStr">
        <is>
          <t>Balance Sheet!E21:I21</t>
        </is>
      </c>
      <c r="X146">
        <f>'Financial Statements'!R[-19]C[0]*R[37]C[0]</f>
        <v/>
      </c>
    </row>
    <row r="147">
      <c r="A147" t="inlineStr">
        <is>
          <t>Balance Sheet</t>
        </is>
      </c>
      <c r="B147" t="inlineStr">
        <is>
          <t>A22</t>
        </is>
      </c>
      <c r="C147" t="n">
        <v>22</v>
      </c>
      <c r="D147" t="n">
        <v>1</v>
      </c>
      <c r="E147" t="inlineStr">
        <is>
          <t>Input</t>
        </is>
      </c>
      <c r="F147" t="n">
        <v/>
      </c>
      <c r="G147" t="inlineStr">
        <is>
          <t>(iii) Cash and Cash Equivalents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inlineStr">
        <is>
          <t>left</t>
        </is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Balance Sheet</t>
        </is>
      </c>
      <c r="B148" t="inlineStr">
        <is>
          <t>C22</t>
        </is>
      </c>
      <c r="C148" t="n">
        <v>22</v>
      </c>
      <c r="D148" t="n">
        <v>3</v>
      </c>
      <c r="E148" t="inlineStr">
        <is>
          <t>Input</t>
        </is>
      </c>
      <c r="F148" t="n">
        <v/>
      </c>
      <c r="G148" t="n">
        <v>1809.63</v>
      </c>
      <c r="H148" t="inlineStr"/>
      <c r="I148" t="inlineStr">
        <is>
          <t>_-* #,##0_-;\-* #,##0_-;_-* "-"??_-;_-@_-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n">
        <v/>
      </c>
      <c r="T148" t="n">
        <v/>
      </c>
      <c r="U148" t="n">
        <v/>
      </c>
      <c r="V148" t="b">
        <v>0</v>
      </c>
      <c r="W148" t="inlineStr"/>
      <c r="X148" t="n">
        <v/>
      </c>
    </row>
    <row r="149">
      <c r="A149" t="inlineStr">
        <is>
          <t>Balance Sheet</t>
        </is>
      </c>
      <c r="B149" t="inlineStr">
        <is>
          <t>D22</t>
        </is>
      </c>
      <c r="C149" t="n">
        <v>22</v>
      </c>
      <c r="D149" t="n">
        <v>4</v>
      </c>
      <c r="E149" t="inlineStr">
        <is>
          <t>Input</t>
        </is>
      </c>
      <c r="F149" t="n">
        <v/>
      </c>
      <c r="G149" t="n">
        <v>2559.66</v>
      </c>
      <c r="H149" t="inlineStr"/>
      <c r="I149" t="inlineStr">
        <is>
          <t>_-* #,##0_-;\-* #,##0_-;_-* "-"??_-;_-@_-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n">
        <v/>
      </c>
      <c r="T149" t="n">
        <v/>
      </c>
      <c r="U149" t="n">
        <v/>
      </c>
      <c r="V149" t="b">
        <v>0</v>
      </c>
      <c r="W149" t="inlineStr"/>
      <c r="X149" t="n">
        <v/>
      </c>
    </row>
    <row r="150">
      <c r="A150" t="inlineStr">
        <is>
          <t>Balance Sheet</t>
        </is>
      </c>
      <c r="B150" t="inlineStr">
        <is>
          <t>E22</t>
        </is>
      </c>
      <c r="C150" t="n">
        <v>22</v>
      </c>
      <c r="D150" t="n">
        <v>5</v>
      </c>
      <c r="E150" t="inlineStr">
        <is>
          <t>Calculation</t>
        </is>
      </c>
      <c r="F150" t="inlineStr">
        <is>
          <t>'='Financial Statements'!O34</t>
        </is>
      </c>
      <c r="G150" t="n">
        <v>3143.421708963787</v>
      </c>
      <c r="H150" t="inlineStr"/>
      <c r="I150" t="inlineStr">
        <is>
          <t>_-* #,##0_-;\-* #,##0_-;_-* "-"??_-;_-@_-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FFFFFF00</t>
        </is>
      </c>
      <c r="O150" t="n">
        <v/>
      </c>
      <c r="P150" t="n">
        <v/>
      </c>
      <c r="R150" t="b">
        <v>1</v>
      </c>
      <c r="S150" t="inlineStr">
        <is>
          <t>G000148</t>
        </is>
      </c>
      <c r="T150" t="inlineStr">
        <is>
          <t>Horizontal</t>
        </is>
      </c>
      <c r="U150" t="n">
        <v>5</v>
      </c>
      <c r="V150" t="b">
        <v>1</v>
      </c>
      <c r="W150" t="inlineStr">
        <is>
          <t>Balance Sheet!E22:I22</t>
        </is>
      </c>
      <c r="X150">
        <f>'Financial Statements'!R[12]C[10]</f>
        <v/>
      </c>
    </row>
    <row r="151">
      <c r="A151" t="inlineStr">
        <is>
          <t>Balance Sheet</t>
        </is>
      </c>
      <c r="B151" t="inlineStr">
        <is>
          <t>F22</t>
        </is>
      </c>
      <c r="C151" t="n">
        <v>22</v>
      </c>
      <c r="D151" t="n">
        <v>6</v>
      </c>
      <c r="E151" t="inlineStr">
        <is>
          <t>Calculation</t>
        </is>
      </c>
      <c r="F151" t="inlineStr">
        <is>
          <t>'='Financial Statements'!P34</t>
        </is>
      </c>
      <c r="G151" t="n">
        <v>3888.890718034904</v>
      </c>
      <c r="H151" t="inlineStr"/>
      <c r="I151" t="inlineStr">
        <is>
          <t>_-* #,##0_-;\-* #,##0_-;_-* "-"??_-;_-@_-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FFFFFF00</t>
        </is>
      </c>
      <c r="O151" t="n">
        <v/>
      </c>
      <c r="P151" t="n">
        <v/>
      </c>
      <c r="R151" t="b">
        <v>1</v>
      </c>
      <c r="S151" t="inlineStr">
        <is>
          <t>G000148</t>
        </is>
      </c>
      <c r="T151" t="inlineStr">
        <is>
          <t>Horizontal</t>
        </is>
      </c>
      <c r="U151" t="n">
        <v>5</v>
      </c>
      <c r="V151" t="b">
        <v>1</v>
      </c>
      <c r="W151" t="inlineStr">
        <is>
          <t>Balance Sheet!E22:I22</t>
        </is>
      </c>
      <c r="X151">
        <f>'Financial Statements'!R[12]C[10]</f>
        <v/>
      </c>
    </row>
    <row r="152">
      <c r="A152" t="inlineStr">
        <is>
          <t>Balance Sheet</t>
        </is>
      </c>
      <c r="B152" t="inlineStr">
        <is>
          <t>G22</t>
        </is>
      </c>
      <c r="C152" t="n">
        <v>22</v>
      </c>
      <c r="D152" t="n">
        <v>7</v>
      </c>
      <c r="E152" t="inlineStr">
        <is>
          <t>Calculation</t>
        </is>
      </c>
      <c r="F152" t="inlineStr">
        <is>
          <t>'='Financial Statements'!Q34</t>
        </is>
      </c>
      <c r="G152" t="n">
        <v>4626.195635123337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FFFFFF00</t>
        </is>
      </c>
      <c r="O152" t="n">
        <v/>
      </c>
      <c r="P152" t="n">
        <v/>
      </c>
      <c r="R152" t="b">
        <v>1</v>
      </c>
      <c r="S152" t="inlineStr">
        <is>
          <t>G000148</t>
        </is>
      </c>
      <c r="T152" t="inlineStr">
        <is>
          <t>Horizontal</t>
        </is>
      </c>
      <c r="U152" t="n">
        <v>5</v>
      </c>
      <c r="V152" t="b">
        <v>1</v>
      </c>
      <c r="W152" t="inlineStr">
        <is>
          <t>Balance Sheet!E22:I22</t>
        </is>
      </c>
      <c r="X152">
        <f>'Financial Statements'!R[12]C[10]</f>
        <v/>
      </c>
    </row>
    <row r="153">
      <c r="A153" t="inlineStr">
        <is>
          <t>Balance Sheet</t>
        </is>
      </c>
      <c r="B153" t="inlineStr">
        <is>
          <t>H22</t>
        </is>
      </c>
      <c r="C153" t="n">
        <v>22</v>
      </c>
      <c r="D153" t="n">
        <v>8</v>
      </c>
      <c r="E153" t="inlineStr">
        <is>
          <t>Calculation</t>
        </is>
      </c>
      <c r="F153" t="inlineStr">
        <is>
          <t>'='Financial Statements'!R34</t>
        </is>
      </c>
      <c r="G153" t="n">
        <v>5354.223003271239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FFFFFF00</t>
        </is>
      </c>
      <c r="O153" t="n">
        <v/>
      </c>
      <c r="P153" t="n">
        <v/>
      </c>
      <c r="R153" t="b">
        <v>1</v>
      </c>
      <c r="S153" t="inlineStr">
        <is>
          <t>G000148</t>
        </is>
      </c>
      <c r="T153" t="inlineStr">
        <is>
          <t>Horizontal</t>
        </is>
      </c>
      <c r="U153" t="n">
        <v>5</v>
      </c>
      <c r="V153" t="b">
        <v>1</v>
      </c>
      <c r="W153" t="inlineStr">
        <is>
          <t>Balance Sheet!E22:I22</t>
        </is>
      </c>
      <c r="X153">
        <f>'Financial Statements'!R[12]C[10]</f>
        <v/>
      </c>
    </row>
    <row r="154">
      <c r="A154" t="inlineStr">
        <is>
          <t>Balance Sheet</t>
        </is>
      </c>
      <c r="B154" t="inlineStr">
        <is>
          <t>I22</t>
        </is>
      </c>
      <c r="C154" t="n">
        <v>22</v>
      </c>
      <c r="D154" t="n">
        <v>9</v>
      </c>
      <c r="E154" t="inlineStr">
        <is>
          <t>Calculation</t>
        </is>
      </c>
      <c r="F154" t="inlineStr">
        <is>
          <t>'='Financial Statements'!S34</t>
        </is>
      </c>
      <c r="G154" t="n">
        <v>6071.295348656084</v>
      </c>
      <c r="H154" t="inlineStr"/>
      <c r="I154" t="inlineStr">
        <is>
          <t>_-* #,##0_-;\-* #,##0_-;_-* "-"??_-;_-@_-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FFFFFF00</t>
        </is>
      </c>
      <c r="O154" t="n">
        <v/>
      </c>
      <c r="P154" t="n">
        <v/>
      </c>
      <c r="R154" t="b">
        <v>1</v>
      </c>
      <c r="S154" t="inlineStr">
        <is>
          <t>G000148</t>
        </is>
      </c>
      <c r="T154" t="inlineStr">
        <is>
          <t>Horizontal</t>
        </is>
      </c>
      <c r="U154" t="n">
        <v>5</v>
      </c>
      <c r="V154" t="b">
        <v>1</v>
      </c>
      <c r="W154" t="inlineStr">
        <is>
          <t>Balance Sheet!E22:I22</t>
        </is>
      </c>
      <c r="X154">
        <f>'Financial Statements'!R[12]C[10]</f>
        <v/>
      </c>
    </row>
    <row r="155">
      <c r="A155" t="inlineStr">
        <is>
          <t>Balance Sheet</t>
        </is>
      </c>
      <c r="B155" t="inlineStr">
        <is>
          <t>A23</t>
        </is>
      </c>
      <c r="C155" t="n">
        <v>23</v>
      </c>
      <c r="D155" t="n">
        <v>1</v>
      </c>
      <c r="E155" t="inlineStr">
        <is>
          <t>Input</t>
        </is>
      </c>
      <c r="F155" t="n">
        <v/>
      </c>
      <c r="G155" t="inlineStr">
        <is>
          <t>(iv) Bank balances other than Cash Equivalents</t>
        </is>
      </c>
      <c r="H155" t="inlineStr"/>
      <c r="I155" t="inlineStr">
        <is>
          <t>General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inlineStr">
        <is>
          <t>left</t>
        </is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Balance Sheet</t>
        </is>
      </c>
      <c r="B156" t="inlineStr">
        <is>
          <t>C23</t>
        </is>
      </c>
      <c r="C156" t="n">
        <v>23</v>
      </c>
      <c r="D156" t="n">
        <v>3</v>
      </c>
      <c r="E156" t="inlineStr">
        <is>
          <t>Input</t>
        </is>
      </c>
      <c r="F156" t="n">
        <v/>
      </c>
      <c r="G156" t="n">
        <v>167.53</v>
      </c>
      <c r="H156" t="inlineStr"/>
      <c r="I156" t="inlineStr">
        <is>
          <t>_-* #,##0_-;\-* #,##0_-;_-* "-"??_-;_-@_-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Balance Sheet</t>
        </is>
      </c>
      <c r="B157" t="inlineStr">
        <is>
          <t>D23</t>
        </is>
      </c>
      <c r="C157" t="n">
        <v>23</v>
      </c>
      <c r="D157" t="n">
        <v>4</v>
      </c>
      <c r="E157" t="inlineStr">
        <is>
          <t>Input</t>
        </is>
      </c>
      <c r="F157" t="n">
        <v/>
      </c>
      <c r="G157" t="n">
        <v>168.89</v>
      </c>
      <c r="H157" t="inlineStr"/>
      <c r="I157" t="inlineStr">
        <is>
          <t>_-* #,##0_-;\-* #,##0_-;_-* "-"??_-;_-@_-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n">
        <v/>
      </c>
      <c r="T157" t="n">
        <v/>
      </c>
      <c r="U157" t="n">
        <v/>
      </c>
      <c r="V157" t="b">
        <v>0</v>
      </c>
      <c r="W157" t="inlineStr"/>
      <c r="X157" t="n">
        <v/>
      </c>
    </row>
    <row r="158">
      <c r="A158" t="inlineStr">
        <is>
          <t>Balance Sheet</t>
        </is>
      </c>
      <c r="B158" t="inlineStr">
        <is>
          <t>E23</t>
        </is>
      </c>
      <c r="C158" t="n">
        <v>23</v>
      </c>
      <c r="D158" t="n">
        <v>5</v>
      </c>
      <c r="E158" t="inlineStr">
        <is>
          <t>Input</t>
        </is>
      </c>
      <c r="F158" t="n">
        <v/>
      </c>
      <c r="G158" t="n">
        <v>168.89</v>
      </c>
      <c r="H158" t="inlineStr"/>
      <c r="I158" t="inlineStr">
        <is>
          <t>_-* #,##0_-;\-* #,##0_-;_-* "-"??_-;_-@_-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Balance Sheet</t>
        </is>
      </c>
      <c r="B159" t="inlineStr">
        <is>
          <t>F23</t>
        </is>
      </c>
      <c r="C159" t="n">
        <v>23</v>
      </c>
      <c r="D159" t="n">
        <v>6</v>
      </c>
      <c r="E159" t="inlineStr">
        <is>
          <t>Input</t>
        </is>
      </c>
      <c r="F159" t="n">
        <v/>
      </c>
      <c r="G159" t="n">
        <v>168.89</v>
      </c>
      <c r="H159" t="inlineStr"/>
      <c r="I159" t="inlineStr">
        <is>
          <t>_-* #,##0_-;\-* #,##0_-;_-* "-"??_-;_-@_-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Balance Sheet</t>
        </is>
      </c>
      <c r="B160" t="inlineStr">
        <is>
          <t>G23</t>
        </is>
      </c>
      <c r="C160" t="n">
        <v>23</v>
      </c>
      <c r="D160" t="n">
        <v>7</v>
      </c>
      <c r="E160" t="inlineStr">
        <is>
          <t>Input</t>
        </is>
      </c>
      <c r="F160" t="n">
        <v/>
      </c>
      <c r="G160" t="n">
        <v>168.89</v>
      </c>
      <c r="H160" t="inlineStr"/>
      <c r="I160" t="inlineStr">
        <is>
          <t>_-* #,##0_-;\-* #,##0_-;_-* "-"??_-;_-@_-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Balance Sheet</t>
        </is>
      </c>
      <c r="B161" t="inlineStr">
        <is>
          <t>H23</t>
        </is>
      </c>
      <c r="C161" t="n">
        <v>23</v>
      </c>
      <c r="D161" t="n">
        <v>8</v>
      </c>
      <c r="E161" t="inlineStr">
        <is>
          <t>Input</t>
        </is>
      </c>
      <c r="F161" t="n">
        <v/>
      </c>
      <c r="G161" t="n">
        <v>168.89</v>
      </c>
      <c r="H161" t="inlineStr"/>
      <c r="I161" t="inlineStr">
        <is>
          <t>_-* #,##0_-;\-* #,##0_-;_-* "-"??_-;_-@_-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Balance Sheet</t>
        </is>
      </c>
      <c r="B162" t="inlineStr">
        <is>
          <t>I23</t>
        </is>
      </c>
      <c r="C162" t="n">
        <v>23</v>
      </c>
      <c r="D162" t="n">
        <v>9</v>
      </c>
      <c r="E162" t="inlineStr">
        <is>
          <t>Input</t>
        </is>
      </c>
      <c r="F162" t="n">
        <v/>
      </c>
      <c r="G162" t="n">
        <v>168.89</v>
      </c>
      <c r="H162" t="inlineStr"/>
      <c r="I162" t="inlineStr">
        <is>
          <t>_-* #,##0_-;\-* #,##0_-;_-* "-"??_-;_-@_-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Balance Sheet</t>
        </is>
      </c>
      <c r="B163" t="inlineStr">
        <is>
          <t>A24</t>
        </is>
      </c>
      <c r="C163" t="n">
        <v>24</v>
      </c>
      <c r="D163" t="n">
        <v>1</v>
      </c>
      <c r="E163" t="inlineStr">
        <is>
          <t>Input</t>
        </is>
      </c>
      <c r="F163" t="n">
        <v/>
      </c>
      <c r="G163" t="inlineStr">
        <is>
          <t>(v) Loans</t>
        </is>
      </c>
      <c r="H163" t="inlineStr"/>
      <c r="I163" t="inlineStr">
        <is>
          <t>General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inlineStr">
        <is>
          <t>left</t>
        </is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  <row r="164">
      <c r="A164" t="inlineStr">
        <is>
          <t>Balance Sheet</t>
        </is>
      </c>
      <c r="B164" t="inlineStr">
        <is>
          <t>C24</t>
        </is>
      </c>
      <c r="C164" t="n">
        <v>24</v>
      </c>
      <c r="D164" t="n">
        <v>3</v>
      </c>
      <c r="E164" t="inlineStr">
        <is>
          <t>Input</t>
        </is>
      </c>
      <c r="F164" t="n">
        <v/>
      </c>
      <c r="G164" t="n">
        <v>29.42</v>
      </c>
      <c r="H164" t="inlineStr"/>
      <c r="I164" t="inlineStr">
        <is>
          <t>_-* #,##0_-;\-* #,##0_-;_-* "-"??_-;_-@_-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P164" t="n">
        <v/>
      </c>
      <c r="R164" t="b">
        <v>1</v>
      </c>
      <c r="S164" t="n">
        <v/>
      </c>
      <c r="T164" t="n">
        <v/>
      </c>
      <c r="U164" t="n">
        <v/>
      </c>
      <c r="V164" t="b">
        <v>0</v>
      </c>
      <c r="W164" t="inlineStr"/>
      <c r="X164" t="n">
        <v/>
      </c>
    </row>
    <row r="165">
      <c r="A165" t="inlineStr">
        <is>
          <t>Balance Sheet</t>
        </is>
      </c>
      <c r="B165" t="inlineStr">
        <is>
          <t>D24</t>
        </is>
      </c>
      <c r="C165" t="n">
        <v>24</v>
      </c>
      <c r="D165" t="n">
        <v>4</v>
      </c>
      <c r="E165" t="inlineStr">
        <is>
          <t>Input</t>
        </is>
      </c>
      <c r="F165" t="n">
        <v/>
      </c>
      <c r="G165" t="n">
        <v>41.4</v>
      </c>
      <c r="H165" t="inlineStr"/>
      <c r="I165" t="inlineStr">
        <is>
          <t>_-* #,##0_-;\-* #,##0_-;_-* "-"??_-;_-@_-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P165" t="n">
        <v/>
      </c>
      <c r="R165" t="b">
        <v>1</v>
      </c>
      <c r="S165" t="n">
        <v/>
      </c>
      <c r="T165" t="n">
        <v/>
      </c>
      <c r="U165" t="n">
        <v/>
      </c>
      <c r="V165" t="b">
        <v>0</v>
      </c>
      <c r="W165" t="inlineStr"/>
      <c r="X165" t="n">
        <v/>
      </c>
    </row>
    <row r="166">
      <c r="A166" t="inlineStr">
        <is>
          <t>Balance Sheet</t>
        </is>
      </c>
      <c r="B166" t="inlineStr">
        <is>
          <t>E24</t>
        </is>
      </c>
      <c r="C166" t="n">
        <v>24</v>
      </c>
      <c r="D166" t="n">
        <v>5</v>
      </c>
      <c r="E166" t="inlineStr">
        <is>
          <t>Input</t>
        </is>
      </c>
      <c r="F166" t="n">
        <v/>
      </c>
      <c r="G166" t="n">
        <v>41.4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P166" t="n">
        <v/>
      </c>
      <c r="R166" t="b">
        <v>1</v>
      </c>
      <c r="S166" t="n">
        <v/>
      </c>
      <c r="T166" t="n">
        <v/>
      </c>
      <c r="U166" t="n">
        <v/>
      </c>
      <c r="V166" t="b">
        <v>0</v>
      </c>
      <c r="W166" t="inlineStr"/>
      <c r="X166" t="n">
        <v/>
      </c>
    </row>
    <row r="167">
      <c r="A167" t="inlineStr">
        <is>
          <t>Balance Sheet</t>
        </is>
      </c>
      <c r="B167" t="inlineStr">
        <is>
          <t>F24</t>
        </is>
      </c>
      <c r="C167" t="n">
        <v>24</v>
      </c>
      <c r="D167" t="n">
        <v>6</v>
      </c>
      <c r="E167" t="inlineStr">
        <is>
          <t>Input</t>
        </is>
      </c>
      <c r="F167" t="n">
        <v/>
      </c>
      <c r="G167" t="n">
        <v>41.4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P167" t="n">
        <v/>
      </c>
      <c r="R167" t="b">
        <v>1</v>
      </c>
      <c r="S167" t="n">
        <v/>
      </c>
      <c r="T167" t="n">
        <v/>
      </c>
      <c r="U167" t="n">
        <v/>
      </c>
      <c r="V167" t="b">
        <v>0</v>
      </c>
      <c r="W167" t="inlineStr"/>
      <c r="X167" t="n">
        <v/>
      </c>
    </row>
    <row r="168">
      <c r="A168" t="inlineStr">
        <is>
          <t>Balance Sheet</t>
        </is>
      </c>
      <c r="B168" t="inlineStr">
        <is>
          <t>G24</t>
        </is>
      </c>
      <c r="C168" t="n">
        <v>24</v>
      </c>
      <c r="D168" t="n">
        <v>7</v>
      </c>
      <c r="E168" t="inlineStr">
        <is>
          <t>Input</t>
        </is>
      </c>
      <c r="F168" t="n">
        <v/>
      </c>
      <c r="G168" t="n">
        <v>41.4</v>
      </c>
      <c r="H168" t="inlineStr"/>
      <c r="I168" t="inlineStr">
        <is>
          <t>_-* #,##0_-;\-* #,##0_-;_-* "-"??_-;_-@_-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P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Balance Sheet</t>
        </is>
      </c>
      <c r="B169" t="inlineStr">
        <is>
          <t>H24</t>
        </is>
      </c>
      <c r="C169" t="n">
        <v>24</v>
      </c>
      <c r="D169" t="n">
        <v>8</v>
      </c>
      <c r="E169" t="inlineStr">
        <is>
          <t>Input</t>
        </is>
      </c>
      <c r="F169" t="n">
        <v/>
      </c>
      <c r="G169" t="n">
        <v>41.4</v>
      </c>
      <c r="H169" t="inlineStr"/>
      <c r="I169" t="inlineStr">
        <is>
          <t>_-* #,##0_-;\-* #,##0_-;_-* "-"??_-;_-@_-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P169" t="n">
        <v/>
      </c>
      <c r="R169" t="b">
        <v>1</v>
      </c>
      <c r="S169" t="n">
        <v/>
      </c>
      <c r="T169" t="n">
        <v/>
      </c>
      <c r="U169" t="n">
        <v/>
      </c>
      <c r="V169" t="b">
        <v>0</v>
      </c>
      <c r="W169" t="inlineStr"/>
      <c r="X169" t="n">
        <v/>
      </c>
    </row>
    <row r="170">
      <c r="A170" t="inlineStr">
        <is>
          <t>Balance Sheet</t>
        </is>
      </c>
      <c r="B170" t="inlineStr">
        <is>
          <t>I24</t>
        </is>
      </c>
      <c r="C170" t="n">
        <v>24</v>
      </c>
      <c r="D170" t="n">
        <v>9</v>
      </c>
      <c r="E170" t="inlineStr">
        <is>
          <t>Input</t>
        </is>
      </c>
      <c r="F170" t="n">
        <v/>
      </c>
      <c r="G170" t="n">
        <v>41.4</v>
      </c>
      <c r="H170" t="inlineStr"/>
      <c r="I170" t="inlineStr">
        <is>
          <t>_-* #,##0_-;\-* #,##0_-;_-* "-"??_-;_-@_-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P170" t="n">
        <v/>
      </c>
      <c r="R170" t="b">
        <v>1</v>
      </c>
      <c r="S170" t="n">
        <v/>
      </c>
      <c r="T170" t="n">
        <v/>
      </c>
      <c r="U170" t="n">
        <v/>
      </c>
      <c r="V170" t="b">
        <v>0</v>
      </c>
      <c r="W170" t="inlineStr"/>
      <c r="X170" t="n">
        <v/>
      </c>
    </row>
    <row r="171">
      <c r="A171" t="inlineStr">
        <is>
          <t>Balance Sheet</t>
        </is>
      </c>
      <c r="B171" t="inlineStr">
        <is>
          <t>A25</t>
        </is>
      </c>
      <c r="C171" t="n">
        <v>25</v>
      </c>
      <c r="D171" t="n">
        <v>1</v>
      </c>
      <c r="E171" t="inlineStr">
        <is>
          <t>Input</t>
        </is>
      </c>
      <c r="F171" t="n">
        <v/>
      </c>
      <c r="G171" t="inlineStr">
        <is>
          <t>(vi) Other financial assets</t>
        </is>
      </c>
      <c r="H171" t="inlineStr"/>
      <c r="I171" t="inlineStr">
        <is>
          <t>General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inlineStr">
        <is>
          <t>left</t>
        </is>
      </c>
      <c r="P171" t="n">
        <v/>
      </c>
      <c r="R171" t="b">
        <v>1</v>
      </c>
      <c r="S171" t="n">
        <v/>
      </c>
      <c r="T171" t="n">
        <v/>
      </c>
      <c r="U171" t="n">
        <v/>
      </c>
      <c r="V171" t="b">
        <v>0</v>
      </c>
      <c r="W171" t="inlineStr"/>
      <c r="X171" t="n">
        <v/>
      </c>
    </row>
    <row r="172">
      <c r="A172" t="inlineStr">
        <is>
          <t>Balance Sheet</t>
        </is>
      </c>
      <c r="B172" t="inlineStr">
        <is>
          <t>C25</t>
        </is>
      </c>
      <c r="C172" t="n">
        <v>25</v>
      </c>
      <c r="D172" t="n">
        <v>3</v>
      </c>
      <c r="E172" t="inlineStr">
        <is>
          <t>Input</t>
        </is>
      </c>
      <c r="F172" t="n">
        <v/>
      </c>
      <c r="G172" t="n">
        <v>5.05</v>
      </c>
      <c r="H172" t="inlineStr"/>
      <c r="I172" t="inlineStr">
        <is>
          <t>_-* #,##0_-;\-* #,##0_-;_-* "-"??_-;_-@_-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P172" t="n">
        <v/>
      </c>
      <c r="R172" t="b">
        <v>1</v>
      </c>
      <c r="S172" t="n">
        <v/>
      </c>
      <c r="T172" t="n">
        <v/>
      </c>
      <c r="U172" t="n">
        <v/>
      </c>
      <c r="V172" t="b">
        <v>0</v>
      </c>
      <c r="W172" t="inlineStr"/>
      <c r="X172" t="n">
        <v/>
      </c>
    </row>
    <row r="173">
      <c r="A173" t="inlineStr">
        <is>
          <t>Balance Sheet</t>
        </is>
      </c>
      <c r="B173" t="inlineStr">
        <is>
          <t>D25</t>
        </is>
      </c>
      <c r="C173" t="n">
        <v>25</v>
      </c>
      <c r="D173" t="n">
        <v>4</v>
      </c>
      <c r="E173" t="inlineStr">
        <is>
          <t>Input</t>
        </is>
      </c>
      <c r="F173" t="n">
        <v/>
      </c>
      <c r="G173" t="n">
        <v>8.880000000000001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P173" t="n">
        <v/>
      </c>
      <c r="R173" t="b">
        <v>1</v>
      </c>
      <c r="S173" t="n">
        <v/>
      </c>
      <c r="T173" t="n">
        <v/>
      </c>
      <c r="U173" t="n">
        <v/>
      </c>
      <c r="V173" t="b">
        <v>0</v>
      </c>
      <c r="W173" t="inlineStr"/>
      <c r="X173" t="n">
        <v/>
      </c>
    </row>
    <row r="174">
      <c r="A174" t="inlineStr">
        <is>
          <t>Balance Sheet</t>
        </is>
      </c>
      <c r="B174" t="inlineStr">
        <is>
          <t>E25</t>
        </is>
      </c>
      <c r="C174" t="n">
        <v>25</v>
      </c>
      <c r="D174" t="n">
        <v>5</v>
      </c>
      <c r="E174" t="inlineStr">
        <is>
          <t>Input</t>
        </is>
      </c>
      <c r="F174" t="n">
        <v/>
      </c>
      <c r="G174" t="n">
        <v>8.880000000000001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P174" t="n">
        <v/>
      </c>
      <c r="R174" t="b">
        <v>1</v>
      </c>
      <c r="S174" t="n">
        <v/>
      </c>
      <c r="T174" t="n">
        <v/>
      </c>
      <c r="U174" t="n">
        <v/>
      </c>
      <c r="V174" t="b">
        <v>0</v>
      </c>
      <c r="W174" t="inlineStr"/>
      <c r="X174" t="n">
        <v/>
      </c>
    </row>
    <row r="175">
      <c r="A175" t="inlineStr">
        <is>
          <t>Balance Sheet</t>
        </is>
      </c>
      <c r="B175" t="inlineStr">
        <is>
          <t>F25</t>
        </is>
      </c>
      <c r="C175" t="n">
        <v>25</v>
      </c>
      <c r="D175" t="n">
        <v>6</v>
      </c>
      <c r="E175" t="inlineStr">
        <is>
          <t>Input</t>
        </is>
      </c>
      <c r="F175" t="n">
        <v/>
      </c>
      <c r="G175" t="n">
        <v>8.880000000000001</v>
      </c>
      <c r="H175" t="inlineStr"/>
      <c r="I175" t="inlineStr">
        <is>
          <t>_-* #,##0_-;\-* #,##0_-;_-* "-"??_-;_-@_-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P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Balance Sheet</t>
        </is>
      </c>
      <c r="B176" t="inlineStr">
        <is>
          <t>G25</t>
        </is>
      </c>
      <c r="C176" t="n">
        <v>25</v>
      </c>
      <c r="D176" t="n">
        <v>7</v>
      </c>
      <c r="E176" t="inlineStr">
        <is>
          <t>Input</t>
        </is>
      </c>
      <c r="F176" t="n">
        <v/>
      </c>
      <c r="G176" t="n">
        <v>8.880000000000001</v>
      </c>
      <c r="H176" t="inlineStr"/>
      <c r="I176" t="inlineStr">
        <is>
          <t>_-* #,##0_-;\-* #,##0_-;_-* "-"??_-;_-@_-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P176" t="n">
        <v/>
      </c>
      <c r="R176" t="b">
        <v>1</v>
      </c>
      <c r="S176" t="n">
        <v/>
      </c>
      <c r="T176" t="n">
        <v/>
      </c>
      <c r="U176" t="n">
        <v/>
      </c>
      <c r="V176" t="b">
        <v>0</v>
      </c>
      <c r="W176" t="inlineStr"/>
      <c r="X176" t="n">
        <v/>
      </c>
    </row>
    <row r="177">
      <c r="A177" t="inlineStr">
        <is>
          <t>Balance Sheet</t>
        </is>
      </c>
      <c r="B177" t="inlineStr">
        <is>
          <t>H25</t>
        </is>
      </c>
      <c r="C177" t="n">
        <v>25</v>
      </c>
      <c r="D177" t="n">
        <v>8</v>
      </c>
      <c r="E177" t="inlineStr">
        <is>
          <t>Input</t>
        </is>
      </c>
      <c r="F177" t="n">
        <v/>
      </c>
      <c r="G177" t="n">
        <v>8.880000000000001</v>
      </c>
      <c r="H177" t="inlineStr"/>
      <c r="I177" t="inlineStr">
        <is>
          <t>_-* #,##0_-;\-* #,##0_-;_-* "-"??_-;_-@_-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P177" t="n">
        <v/>
      </c>
      <c r="R177" t="b">
        <v>1</v>
      </c>
      <c r="S177" t="n">
        <v/>
      </c>
      <c r="T177" t="n">
        <v/>
      </c>
      <c r="U177" t="n">
        <v/>
      </c>
      <c r="V177" t="b">
        <v>0</v>
      </c>
      <c r="W177" t="inlineStr"/>
      <c r="X177" t="n">
        <v/>
      </c>
    </row>
    <row r="178">
      <c r="A178" t="inlineStr">
        <is>
          <t>Balance Sheet</t>
        </is>
      </c>
      <c r="B178" t="inlineStr">
        <is>
          <t>I25</t>
        </is>
      </c>
      <c r="C178" t="n">
        <v>25</v>
      </c>
      <c r="D178" t="n">
        <v>9</v>
      </c>
      <c r="E178" t="inlineStr">
        <is>
          <t>Input</t>
        </is>
      </c>
      <c r="F178" t="n">
        <v/>
      </c>
      <c r="G178" t="n">
        <v>8.880000000000001</v>
      </c>
      <c r="H178" t="inlineStr"/>
      <c r="I178" t="inlineStr">
        <is>
          <t>_-* #,##0_-;\-* #,##0_-;_-* "-"??_-;_-@_-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P178" t="n">
        <v/>
      </c>
      <c r="R178" t="b">
        <v>1</v>
      </c>
      <c r="S178" t="n">
        <v/>
      </c>
      <c r="T178" t="n">
        <v/>
      </c>
      <c r="U178" t="n">
        <v/>
      </c>
      <c r="V178" t="b">
        <v>0</v>
      </c>
      <c r="W178" t="inlineStr"/>
      <c r="X178" t="n">
        <v/>
      </c>
    </row>
    <row r="179">
      <c r="A179" t="inlineStr">
        <is>
          <t>Balance Sheet</t>
        </is>
      </c>
      <c r="B179" t="inlineStr">
        <is>
          <t>A26</t>
        </is>
      </c>
      <c r="C179" t="n">
        <v>26</v>
      </c>
      <c r="D179" t="n">
        <v>1</v>
      </c>
      <c r="E179" t="inlineStr">
        <is>
          <t>Input</t>
        </is>
      </c>
      <c r="F179" t="n">
        <v/>
      </c>
      <c r="G179" t="inlineStr">
        <is>
          <t>c) Other current assets</t>
        </is>
      </c>
      <c r="H179" t="inlineStr"/>
      <c r="I179" t="inlineStr">
        <is>
          <t>General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inlineStr">
        <is>
          <t>left</t>
        </is>
      </c>
      <c r="P179" t="n">
        <v/>
      </c>
      <c r="R179" t="b">
        <v>1</v>
      </c>
      <c r="S179" t="n">
        <v/>
      </c>
      <c r="T179" t="n">
        <v/>
      </c>
      <c r="U179" t="n">
        <v/>
      </c>
      <c r="V179" t="b">
        <v>0</v>
      </c>
      <c r="W179" t="inlineStr"/>
      <c r="X179" t="n">
        <v/>
      </c>
    </row>
    <row r="180">
      <c r="A180" t="inlineStr">
        <is>
          <t>Balance Sheet</t>
        </is>
      </c>
      <c r="B180" t="inlineStr">
        <is>
          <t>C26</t>
        </is>
      </c>
      <c r="C180" t="n">
        <v>26</v>
      </c>
      <c r="D180" t="n">
        <v>3</v>
      </c>
      <c r="E180" t="inlineStr">
        <is>
          <t>Input</t>
        </is>
      </c>
      <c r="F180" t="n">
        <v/>
      </c>
      <c r="G180" t="n">
        <v>323.21</v>
      </c>
      <c r="H180" t="inlineStr"/>
      <c r="I180" t="inlineStr">
        <is>
          <t>_-* #,##0_-;\-* #,##0_-;_-* "-"??_-;_-@_-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P180" t="n">
        <v/>
      </c>
      <c r="R180" t="b">
        <v>1</v>
      </c>
      <c r="S180" t="n">
        <v/>
      </c>
      <c r="T180" t="n">
        <v/>
      </c>
      <c r="U180" t="n">
        <v/>
      </c>
      <c r="V180" t="b">
        <v>0</v>
      </c>
      <c r="W180" t="inlineStr"/>
      <c r="X180" t="n">
        <v/>
      </c>
    </row>
    <row r="181">
      <c r="A181" t="inlineStr">
        <is>
          <t>Balance Sheet</t>
        </is>
      </c>
      <c r="B181" t="inlineStr">
        <is>
          <t>D26</t>
        </is>
      </c>
      <c r="C181" t="n">
        <v>26</v>
      </c>
      <c r="D181" t="n">
        <v>4</v>
      </c>
      <c r="E181" t="inlineStr">
        <is>
          <t>Input</t>
        </is>
      </c>
      <c r="F181" t="n">
        <v/>
      </c>
      <c r="G181" t="n">
        <v>792.26</v>
      </c>
      <c r="H181" t="inlineStr"/>
      <c r="I181" t="inlineStr">
        <is>
          <t>_-* #,##0_-;\-* #,##0_-;_-* "-"??_-;_-@_-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P181" t="n">
        <v/>
      </c>
      <c r="R181" t="b">
        <v>1</v>
      </c>
      <c r="S181" t="n">
        <v/>
      </c>
      <c r="T181" t="n">
        <v/>
      </c>
      <c r="U181" t="n">
        <v/>
      </c>
      <c r="V181" t="b">
        <v>0</v>
      </c>
      <c r="W181" t="inlineStr"/>
      <c r="X181" t="n">
        <v/>
      </c>
    </row>
    <row r="182">
      <c r="A182" t="inlineStr">
        <is>
          <t>Balance Sheet</t>
        </is>
      </c>
      <c r="B182" t="inlineStr">
        <is>
          <t>E26</t>
        </is>
      </c>
      <c r="C182" t="n">
        <v>26</v>
      </c>
      <c r="D182" t="n">
        <v>5</v>
      </c>
      <c r="E182" t="inlineStr">
        <is>
          <t>Input</t>
        </is>
      </c>
      <c r="F182" t="n">
        <v/>
      </c>
      <c r="G182" t="n">
        <v>792.26</v>
      </c>
      <c r="H182" t="inlineStr"/>
      <c r="I182" t="inlineStr">
        <is>
          <t>_-* #,##0_-;\-* #,##0_-;_-* "-"??_-;_-@_-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P182" t="n">
        <v/>
      </c>
      <c r="R182" t="b">
        <v>1</v>
      </c>
      <c r="S182" t="n">
        <v/>
      </c>
      <c r="T182" t="n">
        <v/>
      </c>
      <c r="U182" t="n">
        <v/>
      </c>
      <c r="V182" t="b">
        <v>0</v>
      </c>
      <c r="W182" t="inlineStr"/>
      <c r="X182" t="n">
        <v/>
      </c>
    </row>
    <row r="183">
      <c r="A183" t="inlineStr">
        <is>
          <t>Balance Sheet</t>
        </is>
      </c>
      <c r="B183" t="inlineStr">
        <is>
          <t>F26</t>
        </is>
      </c>
      <c r="C183" t="n">
        <v>26</v>
      </c>
      <c r="D183" t="n">
        <v>6</v>
      </c>
      <c r="E183" t="inlineStr">
        <is>
          <t>Input</t>
        </is>
      </c>
      <c r="F183" t="n">
        <v/>
      </c>
      <c r="G183" t="n">
        <v>792.26</v>
      </c>
      <c r="H183" t="inlineStr"/>
      <c r="I183" t="inlineStr">
        <is>
          <t>_-* #,##0_-;\-* #,##0_-;_-* "-"??_-;_-@_-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P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Balance Sheet</t>
        </is>
      </c>
      <c r="B184" t="inlineStr">
        <is>
          <t>G26</t>
        </is>
      </c>
      <c r="C184" t="n">
        <v>26</v>
      </c>
      <c r="D184" t="n">
        <v>7</v>
      </c>
      <c r="E184" t="inlineStr">
        <is>
          <t>Input</t>
        </is>
      </c>
      <c r="F184" t="n">
        <v/>
      </c>
      <c r="G184" t="n">
        <v>792.26</v>
      </c>
      <c r="H184" t="inlineStr"/>
      <c r="I184" t="inlineStr">
        <is>
          <t>_-* #,##0_-;\-* #,##0_-;_-* "-"??_-;_-@_-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P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Balance Sheet</t>
        </is>
      </c>
      <c r="B185" t="inlineStr">
        <is>
          <t>H26</t>
        </is>
      </c>
      <c r="C185" t="n">
        <v>26</v>
      </c>
      <c r="D185" t="n">
        <v>8</v>
      </c>
      <c r="E185" t="inlineStr">
        <is>
          <t>Input</t>
        </is>
      </c>
      <c r="F185" t="n">
        <v/>
      </c>
      <c r="G185" t="n">
        <v>792.26</v>
      </c>
      <c r="H185" t="inlineStr"/>
      <c r="I185" t="inlineStr">
        <is>
          <t>_-* #,##0_-;\-* #,##0_-;_-* "-"??_-;_-@_-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P185" t="n">
        <v/>
      </c>
      <c r="R185" t="b">
        <v>1</v>
      </c>
      <c r="S185" t="n">
        <v/>
      </c>
      <c r="T185" t="n">
        <v/>
      </c>
      <c r="U185" t="n">
        <v/>
      </c>
      <c r="V185" t="b">
        <v>0</v>
      </c>
      <c r="W185" t="inlineStr"/>
      <c r="X185" t="n">
        <v/>
      </c>
    </row>
    <row r="186">
      <c r="A186" t="inlineStr">
        <is>
          <t>Balance Sheet</t>
        </is>
      </c>
      <c r="B186" t="inlineStr">
        <is>
          <t>I26</t>
        </is>
      </c>
      <c r="C186" t="n">
        <v>26</v>
      </c>
      <c r="D186" t="n">
        <v>9</v>
      </c>
      <c r="E186" t="inlineStr">
        <is>
          <t>Input</t>
        </is>
      </c>
      <c r="F186" t="n">
        <v/>
      </c>
      <c r="G186" t="n">
        <v>792.26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P186" t="n">
        <v/>
      </c>
      <c r="R186" t="b">
        <v>1</v>
      </c>
      <c r="S186" t="n">
        <v/>
      </c>
      <c r="T186" t="n">
        <v/>
      </c>
      <c r="U186" t="n">
        <v/>
      </c>
      <c r="V186" t="b">
        <v>0</v>
      </c>
      <c r="W186" t="inlineStr"/>
      <c r="X186" t="n">
        <v/>
      </c>
    </row>
    <row r="187">
      <c r="A187" t="inlineStr">
        <is>
          <t>Balance Sheet</t>
        </is>
      </c>
      <c r="B187" t="inlineStr">
        <is>
          <t>C27</t>
        </is>
      </c>
      <c r="C187" t="n">
        <v>27</v>
      </c>
      <c r="D187" t="n">
        <v>3</v>
      </c>
      <c r="E187" t="inlineStr">
        <is>
          <t>Calculation</t>
        </is>
      </c>
      <c r="F187" t="inlineStr">
        <is>
          <t>'=SUM(C18:C26)</t>
        </is>
      </c>
      <c r="G187" t="n">
        <v>4092.650000000001</v>
      </c>
      <c r="H187" t="inlineStr"/>
      <c r="I187" t="inlineStr">
        <is>
          <t>_-* #,##0_-;\-* #,##0_-;_-* "-"??_-;_-@_-</t>
        </is>
      </c>
      <c r="J187" t="b">
        <v>1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P187" t="n">
        <v/>
      </c>
      <c r="R187" t="b">
        <v>1</v>
      </c>
      <c r="S187" t="inlineStr">
        <is>
          <t>G000149</t>
        </is>
      </c>
      <c r="T187" t="inlineStr">
        <is>
          <t>Horizontal</t>
        </is>
      </c>
      <c r="U187" t="n">
        <v>7</v>
      </c>
      <c r="V187" t="b">
        <v>1</v>
      </c>
      <c r="W187" t="inlineStr">
        <is>
          <t>Balance Sheet!C27:I27</t>
        </is>
      </c>
      <c r="X187">
        <f>SUM(R[-9]C[0]:R[-1]C[0])</f>
        <v/>
      </c>
    </row>
    <row r="188">
      <c r="A188" t="inlineStr">
        <is>
          <t>Balance Sheet</t>
        </is>
      </c>
      <c r="B188" t="inlineStr">
        <is>
          <t>D27</t>
        </is>
      </c>
      <c r="C188" t="n">
        <v>27</v>
      </c>
      <c r="D188" t="n">
        <v>4</v>
      </c>
      <c r="E188" t="inlineStr">
        <is>
          <t>Calculation</t>
        </is>
      </c>
      <c r="F188" t="inlineStr">
        <is>
          <t>'=SUM(D18:D26)</t>
        </is>
      </c>
      <c r="G188" t="n">
        <v>5641.84</v>
      </c>
      <c r="H188" t="inlineStr"/>
      <c r="I188" t="inlineStr">
        <is>
          <t>_-* #,##0_-;\-* #,##0_-;_-* "-"??_-;_-@_-</t>
        </is>
      </c>
      <c r="J188" t="b">
        <v>1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P188" t="n">
        <v/>
      </c>
      <c r="R188" t="b">
        <v>1</v>
      </c>
      <c r="S188" t="inlineStr">
        <is>
          <t>G000149</t>
        </is>
      </c>
      <c r="T188" t="inlineStr">
        <is>
          <t>Horizontal</t>
        </is>
      </c>
      <c r="U188" t="n">
        <v>7</v>
      </c>
      <c r="V188" t="b">
        <v>1</v>
      </c>
      <c r="W188" t="inlineStr">
        <is>
          <t>Balance Sheet!C27:I27</t>
        </is>
      </c>
      <c r="X188">
        <f>SUM(R[-9]C[0]:R[-1]C[0])</f>
        <v/>
      </c>
    </row>
    <row r="189">
      <c r="A189" t="inlineStr">
        <is>
          <t>Balance Sheet</t>
        </is>
      </c>
      <c r="B189" t="inlineStr">
        <is>
          <t>E27</t>
        </is>
      </c>
      <c r="C189" t="n">
        <v>27</v>
      </c>
      <c r="D189" t="n">
        <v>5</v>
      </c>
      <c r="E189" t="inlineStr">
        <is>
          <t>Calculation</t>
        </is>
      </c>
      <c r="F189" t="inlineStr">
        <is>
          <t>'=SUM(E18:E26)</t>
        </is>
      </c>
      <c r="G189" t="n">
        <v>6474.47590923112</v>
      </c>
      <c r="H189" t="inlineStr"/>
      <c r="I189" t="inlineStr">
        <is>
          <t>_-* #,##0_-;\-* #,##0_-;_-* "-"??_-;_-@_-</t>
        </is>
      </c>
      <c r="J189" t="b">
        <v>1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P189" t="n">
        <v/>
      </c>
      <c r="R189" t="b">
        <v>1</v>
      </c>
      <c r="S189" t="inlineStr">
        <is>
          <t>G000149</t>
        </is>
      </c>
      <c r="T189" t="inlineStr">
        <is>
          <t>Horizontal</t>
        </is>
      </c>
      <c r="U189" t="n">
        <v>7</v>
      </c>
      <c r="V189" t="b">
        <v>1</v>
      </c>
      <c r="W189" t="inlineStr">
        <is>
          <t>Balance Sheet!C27:I27</t>
        </is>
      </c>
      <c r="X189">
        <f>SUM(R[-9]C[0]:R[-1]C[0])</f>
        <v/>
      </c>
    </row>
    <row r="190">
      <c r="A190" t="inlineStr">
        <is>
          <t>Balance Sheet</t>
        </is>
      </c>
      <c r="B190" t="inlineStr">
        <is>
          <t>F27</t>
        </is>
      </c>
      <c r="C190" t="n">
        <v>27</v>
      </c>
      <c r="D190" t="n">
        <v>6</v>
      </c>
      <c r="E190" t="inlineStr">
        <is>
          <t>Calculation</t>
        </is>
      </c>
      <c r="F190" t="inlineStr">
        <is>
          <t>'=SUM(F18:F26)</t>
        </is>
      </c>
      <c r="G190" t="n">
        <v>7408.81356144965</v>
      </c>
      <c r="H190" t="inlineStr"/>
      <c r="I190" t="inlineStr">
        <is>
          <t>_-* #,##0_-;\-* #,##0_-;_-* "-"??_-;_-@_-</t>
        </is>
      </c>
      <c r="J190" t="b">
        <v>1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P190" t="n">
        <v/>
      </c>
      <c r="R190" t="b">
        <v>1</v>
      </c>
      <c r="S190" t="inlineStr">
        <is>
          <t>G000149</t>
        </is>
      </c>
      <c r="T190" t="inlineStr">
        <is>
          <t>Horizontal</t>
        </is>
      </c>
      <c r="U190" t="n">
        <v>7</v>
      </c>
      <c r="V190" t="b">
        <v>1</v>
      </c>
      <c r="W190" t="inlineStr">
        <is>
          <t>Balance Sheet!C27:I27</t>
        </is>
      </c>
      <c r="X190">
        <f>SUM(R[-9]C[0]:R[-1]C[0])</f>
        <v/>
      </c>
    </row>
    <row r="191">
      <c r="A191" t="inlineStr">
        <is>
          <t>Balance Sheet</t>
        </is>
      </c>
      <c r="B191" t="inlineStr">
        <is>
          <t>G27</t>
        </is>
      </c>
      <c r="C191" t="n">
        <v>27</v>
      </c>
      <c r="D191" t="n">
        <v>7</v>
      </c>
      <c r="E191" t="inlineStr">
        <is>
          <t>Calculation</t>
        </is>
      </c>
      <c r="F191" t="inlineStr">
        <is>
          <t>'=SUM(G18:G26)</t>
        </is>
      </c>
      <c r="G191" t="n">
        <v>8348.720057033977</v>
      </c>
      <c r="H191" t="inlineStr"/>
      <c r="I191" t="inlineStr">
        <is>
          <t>_-* #,##0_-;\-* #,##0_-;_-* "-"??_-;_-@_-</t>
        </is>
      </c>
      <c r="J191" t="b">
        <v>1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P191" t="n">
        <v/>
      </c>
      <c r="R191" t="b">
        <v>1</v>
      </c>
      <c r="S191" t="inlineStr">
        <is>
          <t>G000149</t>
        </is>
      </c>
      <c r="T191" t="inlineStr">
        <is>
          <t>Horizontal</t>
        </is>
      </c>
      <c r="U191" t="n">
        <v>7</v>
      </c>
      <c r="V191" t="b">
        <v>1</v>
      </c>
      <c r="W191" t="inlineStr">
        <is>
          <t>Balance Sheet!C27:I27</t>
        </is>
      </c>
      <c r="X191">
        <f>SUM(R[-9]C[0]:R[-1]C[0])</f>
        <v/>
      </c>
    </row>
    <row r="192">
      <c r="A192" t="inlineStr">
        <is>
          <t>Balance Sheet</t>
        </is>
      </c>
      <c r="B192" t="inlineStr">
        <is>
          <t>H27</t>
        </is>
      </c>
      <c r="C192" t="n">
        <v>27</v>
      </c>
      <c r="D192" t="n">
        <v>8</v>
      </c>
      <c r="E192" t="inlineStr">
        <is>
          <t>Calculation</t>
        </is>
      </c>
      <c r="F192" t="inlineStr">
        <is>
          <t>'=SUM(H18:H26)</t>
        </is>
      </c>
      <c r="G192" t="n">
        <v>9294.015317529958</v>
      </c>
      <c r="H192" t="inlineStr"/>
      <c r="I192" t="inlineStr">
        <is>
          <t>_-* #,##0_-;\-* #,##0_-;_-* "-"??_-;_-@_-</t>
        </is>
      </c>
      <c r="J192" t="b">
        <v>1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P192" t="n">
        <v/>
      </c>
      <c r="R192" t="b">
        <v>1</v>
      </c>
      <c r="S192" t="inlineStr">
        <is>
          <t>G000149</t>
        </is>
      </c>
      <c r="T192" t="inlineStr">
        <is>
          <t>Horizontal</t>
        </is>
      </c>
      <c r="U192" t="n">
        <v>7</v>
      </c>
      <c r="V192" t="b">
        <v>1</v>
      </c>
      <c r="W192" t="inlineStr">
        <is>
          <t>Balance Sheet!C27:I27</t>
        </is>
      </c>
      <c r="X192">
        <f>SUM(R[-9]C[0]:R[-1]C[0])</f>
        <v/>
      </c>
    </row>
    <row r="193">
      <c r="A193" t="inlineStr">
        <is>
          <t>Balance Sheet</t>
        </is>
      </c>
      <c r="B193" t="inlineStr">
        <is>
          <t>I27</t>
        </is>
      </c>
      <c r="C193" t="n">
        <v>27</v>
      </c>
      <c r="D193" t="n">
        <v>9</v>
      </c>
      <c r="E193" t="inlineStr">
        <is>
          <t>Calculation</t>
        </is>
      </c>
      <c r="F193" t="inlineStr">
        <is>
          <t>'=SUM(I18:I26)</t>
        </is>
      </c>
      <c r="G193" t="n">
        <v>10244.0158659596</v>
      </c>
      <c r="H193" t="inlineStr"/>
      <c r="I193" t="inlineStr">
        <is>
          <t>_-* #,##0_-;\-* #,##0_-;_-* "-"??_-;_-@_-</t>
        </is>
      </c>
      <c r="J193" t="b">
        <v>1</v>
      </c>
      <c r="K193" t="b">
        <v>0</v>
      </c>
      <c r="L193" t="n">
        <v>11</v>
      </c>
      <c r="M193" t="inlineStr">
        <is>
          <t>FF000000</t>
        </is>
      </c>
      <c r="N193" t="inlineStr">
        <is>
          <t>00000000</t>
        </is>
      </c>
      <c r="O193" t="n">
        <v/>
      </c>
      <c r="P193" t="n">
        <v/>
      </c>
      <c r="R193" t="b">
        <v>1</v>
      </c>
      <c r="S193" t="inlineStr">
        <is>
          <t>G000149</t>
        </is>
      </c>
      <c r="T193" t="inlineStr">
        <is>
          <t>Horizontal</t>
        </is>
      </c>
      <c r="U193" t="n">
        <v>7</v>
      </c>
      <c r="V193" t="b">
        <v>1</v>
      </c>
      <c r="W193" t="inlineStr">
        <is>
          <t>Balance Sheet!C27:I27</t>
        </is>
      </c>
      <c r="X193">
        <f>SUM(R[-9]C[0]:R[-1]C[0])</f>
        <v/>
      </c>
    </row>
    <row r="194">
      <c r="A194" t="inlineStr">
        <is>
          <t>Balance Sheet</t>
        </is>
      </c>
      <c r="B194" t="inlineStr">
        <is>
          <t>A28</t>
        </is>
      </c>
      <c r="C194" t="n">
        <v>28</v>
      </c>
      <c r="D194" t="n">
        <v>1</v>
      </c>
      <c r="E194" t="inlineStr">
        <is>
          <t>Input</t>
        </is>
      </c>
      <c r="F194" t="n">
        <v/>
      </c>
      <c r="G194" t="inlineStr">
        <is>
          <t>d) Non-current assets classified as held for sale</t>
        </is>
      </c>
      <c r="H194" t="inlineStr"/>
      <c r="I194" t="inlineStr">
        <is>
          <t>General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inlineStr">
        <is>
          <t>left</t>
        </is>
      </c>
      <c r="P194" t="n">
        <v/>
      </c>
      <c r="R194" t="b">
        <v>1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Balance Sheet</t>
        </is>
      </c>
      <c r="B195" t="inlineStr">
        <is>
          <t>C28</t>
        </is>
      </c>
      <c r="C195" t="n">
        <v>28</v>
      </c>
      <c r="D195" t="n">
        <v>3</v>
      </c>
      <c r="E195" t="inlineStr">
        <is>
          <t>Input</t>
        </is>
      </c>
      <c r="F195" t="n">
        <v/>
      </c>
      <c r="G195" t="n">
        <v>12.07</v>
      </c>
      <c r="H195" t="inlineStr"/>
      <c r="I195" t="inlineStr">
        <is>
          <t>_-* #,##0_-;\-* #,##0_-;_-* "-"??_-;_-@_-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P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Balance Sheet</t>
        </is>
      </c>
      <c r="B196" t="inlineStr">
        <is>
          <t>D28</t>
        </is>
      </c>
      <c r="C196" t="n">
        <v>28</v>
      </c>
      <c r="D196" t="n">
        <v>4</v>
      </c>
      <c r="E196" t="inlineStr">
        <is>
          <t>Input</t>
        </is>
      </c>
      <c r="F196" t="n">
        <v/>
      </c>
      <c r="G196" t="n">
        <v>13.08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P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 t="n">
        <v/>
      </c>
    </row>
    <row r="197">
      <c r="A197" t="inlineStr">
        <is>
          <t>Balance Sheet</t>
        </is>
      </c>
      <c r="B197" t="inlineStr">
        <is>
          <t>E28</t>
        </is>
      </c>
      <c r="C197" t="n">
        <v>28</v>
      </c>
      <c r="D197" t="n">
        <v>5</v>
      </c>
      <c r="E197" t="inlineStr">
        <is>
          <t>Input</t>
        </is>
      </c>
      <c r="F197" t="n">
        <v/>
      </c>
      <c r="G197" t="n">
        <v>13.08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P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 t="n">
        <v/>
      </c>
    </row>
    <row r="198">
      <c r="A198" t="inlineStr">
        <is>
          <t>Balance Sheet</t>
        </is>
      </c>
      <c r="B198" t="inlineStr">
        <is>
          <t>F28</t>
        </is>
      </c>
      <c r="C198" t="n">
        <v>28</v>
      </c>
      <c r="D198" t="n">
        <v>6</v>
      </c>
      <c r="E198" t="inlineStr">
        <is>
          <t>Input</t>
        </is>
      </c>
      <c r="F198" t="n">
        <v/>
      </c>
      <c r="G198" t="n">
        <v>13.08</v>
      </c>
      <c r="H198" t="inlineStr"/>
      <c r="I198" t="inlineStr">
        <is>
          <t>_-* #,##0_-;\-* #,##0_-;_-* "-"??_-;_-@_-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P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Balance Sheet</t>
        </is>
      </c>
      <c r="B199" t="inlineStr">
        <is>
          <t>G28</t>
        </is>
      </c>
      <c r="C199" t="n">
        <v>28</v>
      </c>
      <c r="D199" t="n">
        <v>7</v>
      </c>
      <c r="E199" t="inlineStr">
        <is>
          <t>Input</t>
        </is>
      </c>
      <c r="F199" t="n">
        <v/>
      </c>
      <c r="G199" t="n">
        <v>13.08</v>
      </c>
      <c r="H199" t="inlineStr"/>
      <c r="I199" t="inlineStr">
        <is>
          <t>_-* #,##0_-;\-* #,##0_-;_-* "-"??_-;_-@_-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00000000</t>
        </is>
      </c>
      <c r="O199" t="n">
        <v/>
      </c>
      <c r="P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Balance Sheet</t>
        </is>
      </c>
      <c r="B200" t="inlineStr">
        <is>
          <t>H28</t>
        </is>
      </c>
      <c r="C200" t="n">
        <v>28</v>
      </c>
      <c r="D200" t="n">
        <v>8</v>
      </c>
      <c r="E200" t="inlineStr">
        <is>
          <t>Input</t>
        </is>
      </c>
      <c r="F200" t="n">
        <v/>
      </c>
      <c r="G200" t="n">
        <v>13.08</v>
      </c>
      <c r="H200" t="inlineStr"/>
      <c r="I200" t="inlineStr">
        <is>
          <t>_-* #,##0_-;\-* #,##0_-;_-* "-"??_-;_-@_-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00000000</t>
        </is>
      </c>
      <c r="O200" t="n">
        <v/>
      </c>
      <c r="P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Balance Sheet</t>
        </is>
      </c>
      <c r="B201" t="inlineStr">
        <is>
          <t>I28</t>
        </is>
      </c>
      <c r="C201" t="n">
        <v>28</v>
      </c>
      <c r="D201" t="n">
        <v>9</v>
      </c>
      <c r="E201" t="inlineStr">
        <is>
          <t>Input</t>
        </is>
      </c>
      <c r="F201" t="n">
        <v/>
      </c>
      <c r="G201" t="n">
        <v>13.08</v>
      </c>
      <c r="H201" t="inlineStr"/>
      <c r="I201" t="inlineStr">
        <is>
          <t>_-* #,##0_-;\-* #,##0_-;_-* "-"??_-;_-@_-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P201" t="n">
        <v/>
      </c>
      <c r="R201" t="b">
        <v>1</v>
      </c>
      <c r="S201" t="n">
        <v/>
      </c>
      <c r="T201" t="n">
        <v/>
      </c>
      <c r="U201" t="n">
        <v/>
      </c>
      <c r="V201" t="b">
        <v>0</v>
      </c>
      <c r="W201" t="inlineStr"/>
      <c r="X201" t="n">
        <v/>
      </c>
    </row>
    <row r="202">
      <c r="A202" t="inlineStr">
        <is>
          <t>Balance Sheet</t>
        </is>
      </c>
      <c r="B202" t="inlineStr">
        <is>
          <t>A29</t>
        </is>
      </c>
      <c r="C202" t="n">
        <v>29</v>
      </c>
      <c r="D202" t="n">
        <v>1</v>
      </c>
      <c r="E202" t="inlineStr">
        <is>
          <t>Input</t>
        </is>
      </c>
      <c r="F202" t="n">
        <v/>
      </c>
      <c r="G202" t="inlineStr">
        <is>
          <t>Total Current assets</t>
        </is>
      </c>
      <c r="H202" t="inlineStr"/>
      <c r="I202" t="inlineStr">
        <is>
          <t>General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P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 t="n">
        <v/>
      </c>
    </row>
    <row r="203">
      <c r="A203" t="inlineStr">
        <is>
          <t>Balance Sheet</t>
        </is>
      </c>
      <c r="B203" t="inlineStr">
        <is>
          <t>C29</t>
        </is>
      </c>
      <c r="C203" t="n">
        <v>29</v>
      </c>
      <c r="D203" t="n">
        <v>3</v>
      </c>
      <c r="E203" t="inlineStr">
        <is>
          <t>Calculation</t>
        </is>
      </c>
      <c r="F203" t="inlineStr">
        <is>
          <t>'=C27+C28</t>
        </is>
      </c>
      <c r="G203" t="n">
        <v>4104.72</v>
      </c>
      <c r="H203" t="inlineStr"/>
      <c r="I203" t="inlineStr">
        <is>
          <t>_-* #,##0_-;\-* #,##0_-;_-* "-"??_-;_-@_-</t>
        </is>
      </c>
      <c r="J203" t="b">
        <v>1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P203" t="n">
        <v/>
      </c>
      <c r="R203" t="b">
        <v>1</v>
      </c>
      <c r="S203" t="inlineStr">
        <is>
          <t>G000150</t>
        </is>
      </c>
      <c r="T203" t="inlineStr">
        <is>
          <t>Horizontal</t>
        </is>
      </c>
      <c r="U203" t="n">
        <v>7</v>
      </c>
      <c r="V203" t="b">
        <v>1</v>
      </c>
      <c r="W203" t="inlineStr">
        <is>
          <t>Balance Sheet!C29:I29</t>
        </is>
      </c>
      <c r="X203">
        <f>R[-2]C[0]+R[-1]C[0]</f>
        <v/>
      </c>
    </row>
    <row r="204">
      <c r="A204" t="inlineStr">
        <is>
          <t>Balance Sheet</t>
        </is>
      </c>
      <c r="B204" t="inlineStr">
        <is>
          <t>D29</t>
        </is>
      </c>
      <c r="C204" t="n">
        <v>29</v>
      </c>
      <c r="D204" t="n">
        <v>4</v>
      </c>
      <c r="E204" t="inlineStr">
        <is>
          <t>Calculation</t>
        </is>
      </c>
      <c r="F204" t="inlineStr">
        <is>
          <t>'=D27+D28</t>
        </is>
      </c>
      <c r="G204" t="n">
        <v>5654.92</v>
      </c>
      <c r="H204" t="inlineStr"/>
      <c r="I204" t="inlineStr">
        <is>
          <t>_-* #,##0_-;\-* #,##0_-;_-* "-"??_-;_-@_-</t>
        </is>
      </c>
      <c r="J204" t="b">
        <v>1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P204" t="n">
        <v/>
      </c>
      <c r="R204" t="b">
        <v>1</v>
      </c>
      <c r="S204" t="inlineStr">
        <is>
          <t>G000150</t>
        </is>
      </c>
      <c r="T204" t="inlineStr">
        <is>
          <t>Horizontal</t>
        </is>
      </c>
      <c r="U204" t="n">
        <v>7</v>
      </c>
      <c r="V204" t="b">
        <v>1</v>
      </c>
      <c r="W204" t="inlineStr">
        <is>
          <t>Balance Sheet!C29:I29</t>
        </is>
      </c>
      <c r="X204">
        <f>R[-2]C[0]+R[-1]C[0]</f>
        <v/>
      </c>
    </row>
    <row r="205">
      <c r="A205" t="inlineStr">
        <is>
          <t>Balance Sheet</t>
        </is>
      </c>
      <c r="B205" t="inlineStr">
        <is>
          <t>E29</t>
        </is>
      </c>
      <c r="C205" t="n">
        <v>29</v>
      </c>
      <c r="D205" t="n">
        <v>5</v>
      </c>
      <c r="E205" t="inlineStr">
        <is>
          <t>Calculation</t>
        </is>
      </c>
      <c r="F205" t="inlineStr">
        <is>
          <t>'=E27+E28</t>
        </is>
      </c>
      <c r="G205" t="n">
        <v>6487.55590923112</v>
      </c>
      <c r="H205" t="inlineStr"/>
      <c r="I205" t="inlineStr">
        <is>
          <t>_-* #,##0_-;\-* #,##0_-;_-* "-"??_-;_-@_-</t>
        </is>
      </c>
      <c r="J205" t="b">
        <v>1</v>
      </c>
      <c r="K205" t="b">
        <v>0</v>
      </c>
      <c r="L205" t="n">
        <v>11</v>
      </c>
      <c r="M205" t="inlineStr">
        <is>
          <t>FF000000</t>
        </is>
      </c>
      <c r="N205" t="inlineStr">
        <is>
          <t>00000000</t>
        </is>
      </c>
      <c r="O205" t="n">
        <v/>
      </c>
      <c r="P205" t="n">
        <v/>
      </c>
      <c r="R205" t="b">
        <v>1</v>
      </c>
      <c r="S205" t="inlineStr">
        <is>
          <t>G000150</t>
        </is>
      </c>
      <c r="T205" t="inlineStr">
        <is>
          <t>Horizontal</t>
        </is>
      </c>
      <c r="U205" t="n">
        <v>7</v>
      </c>
      <c r="V205" t="b">
        <v>1</v>
      </c>
      <c r="W205" t="inlineStr">
        <is>
          <t>Balance Sheet!C29:I29</t>
        </is>
      </c>
      <c r="X205">
        <f>R[-2]C[0]+R[-1]C[0]</f>
        <v/>
      </c>
    </row>
    <row r="206">
      <c r="A206" t="inlineStr">
        <is>
          <t>Balance Sheet</t>
        </is>
      </c>
      <c r="B206" t="inlineStr">
        <is>
          <t>F29</t>
        </is>
      </c>
      <c r="C206" t="n">
        <v>29</v>
      </c>
      <c r="D206" t="n">
        <v>6</v>
      </c>
      <c r="E206" t="inlineStr">
        <is>
          <t>Calculation</t>
        </is>
      </c>
      <c r="F206" t="inlineStr">
        <is>
          <t>'=F27+F28</t>
        </is>
      </c>
      <c r="G206" t="n">
        <v>7421.893561449649</v>
      </c>
      <c r="H206" t="inlineStr"/>
      <c r="I206" t="inlineStr">
        <is>
          <t>_-* #,##0_-;\-* #,##0_-;_-* "-"??_-;_-@_-</t>
        </is>
      </c>
      <c r="J206" t="b">
        <v>1</v>
      </c>
      <c r="K206" t="b">
        <v>0</v>
      </c>
      <c r="L206" t="n">
        <v>11</v>
      </c>
      <c r="M206" t="inlineStr">
        <is>
          <t>FF000000</t>
        </is>
      </c>
      <c r="N206" t="inlineStr">
        <is>
          <t>00000000</t>
        </is>
      </c>
      <c r="O206" t="n">
        <v/>
      </c>
      <c r="P206" t="n">
        <v/>
      </c>
      <c r="R206" t="b">
        <v>1</v>
      </c>
      <c r="S206" t="inlineStr">
        <is>
          <t>G000150</t>
        </is>
      </c>
      <c r="T206" t="inlineStr">
        <is>
          <t>Horizontal</t>
        </is>
      </c>
      <c r="U206" t="n">
        <v>7</v>
      </c>
      <c r="V206" t="b">
        <v>1</v>
      </c>
      <c r="W206" t="inlineStr">
        <is>
          <t>Balance Sheet!C29:I29</t>
        </is>
      </c>
      <c r="X206">
        <f>R[-2]C[0]+R[-1]C[0]</f>
        <v/>
      </c>
    </row>
    <row r="207">
      <c r="A207" t="inlineStr">
        <is>
          <t>Balance Sheet</t>
        </is>
      </c>
      <c r="B207" t="inlineStr">
        <is>
          <t>G29</t>
        </is>
      </c>
      <c r="C207" t="n">
        <v>29</v>
      </c>
      <c r="D207" t="n">
        <v>7</v>
      </c>
      <c r="E207" t="inlineStr">
        <is>
          <t>Calculation</t>
        </is>
      </c>
      <c r="F207" t="inlineStr">
        <is>
          <t>'=G27+G28</t>
        </is>
      </c>
      <c r="G207" t="n">
        <v>8361.800057033977</v>
      </c>
      <c r="H207" t="inlineStr"/>
      <c r="I207" t="inlineStr">
        <is>
          <t>_-* #,##0_-;\-* #,##0_-;_-* "-"??_-;_-@_-</t>
        </is>
      </c>
      <c r="J207" t="b">
        <v>1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P207" t="n">
        <v/>
      </c>
      <c r="R207" t="b">
        <v>1</v>
      </c>
      <c r="S207" t="inlineStr">
        <is>
          <t>G000150</t>
        </is>
      </c>
      <c r="T207" t="inlineStr">
        <is>
          <t>Horizontal</t>
        </is>
      </c>
      <c r="U207" t="n">
        <v>7</v>
      </c>
      <c r="V207" t="b">
        <v>1</v>
      </c>
      <c r="W207" t="inlineStr">
        <is>
          <t>Balance Sheet!C29:I29</t>
        </is>
      </c>
      <c r="X207">
        <f>R[-2]C[0]+R[-1]C[0]</f>
        <v/>
      </c>
    </row>
    <row r="208">
      <c r="A208" t="inlineStr">
        <is>
          <t>Balance Sheet</t>
        </is>
      </c>
      <c r="B208" t="inlineStr">
        <is>
          <t>H29</t>
        </is>
      </c>
      <c r="C208" t="n">
        <v>29</v>
      </c>
      <c r="D208" t="n">
        <v>8</v>
      </c>
      <c r="E208" t="inlineStr">
        <is>
          <t>Calculation</t>
        </is>
      </c>
      <c r="F208" t="inlineStr">
        <is>
          <t>'=H27+H28</t>
        </is>
      </c>
      <c r="G208" t="n">
        <v>9307.095317529958</v>
      </c>
      <c r="H208" t="inlineStr"/>
      <c r="I208" t="inlineStr">
        <is>
          <t>_-* #,##0_-;\-* #,##0_-;_-* "-"??_-;_-@_-</t>
        </is>
      </c>
      <c r="J208" t="b">
        <v>1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P208" t="n">
        <v/>
      </c>
      <c r="R208" t="b">
        <v>1</v>
      </c>
      <c r="S208" t="inlineStr">
        <is>
          <t>G000150</t>
        </is>
      </c>
      <c r="T208" t="inlineStr">
        <is>
          <t>Horizontal</t>
        </is>
      </c>
      <c r="U208" t="n">
        <v>7</v>
      </c>
      <c r="V208" t="b">
        <v>1</v>
      </c>
      <c r="W208" t="inlineStr">
        <is>
          <t>Balance Sheet!C29:I29</t>
        </is>
      </c>
      <c r="X208">
        <f>R[-2]C[0]+R[-1]C[0]</f>
        <v/>
      </c>
    </row>
    <row r="209">
      <c r="A209" t="inlineStr">
        <is>
          <t>Balance Sheet</t>
        </is>
      </c>
      <c r="B209" t="inlineStr">
        <is>
          <t>I29</t>
        </is>
      </c>
      <c r="C209" t="n">
        <v>29</v>
      </c>
      <c r="D209" t="n">
        <v>9</v>
      </c>
      <c r="E209" t="inlineStr">
        <is>
          <t>Calculation</t>
        </is>
      </c>
      <c r="F209" t="inlineStr">
        <is>
          <t>'=I27+I28</t>
        </is>
      </c>
      <c r="G209" t="n">
        <v>10257.0958659596</v>
      </c>
      <c r="H209" t="inlineStr"/>
      <c r="I209" t="inlineStr">
        <is>
          <t>_-* #,##0_-;\-* #,##0_-;_-* "-"??_-;_-@_-</t>
        </is>
      </c>
      <c r="J209" t="b">
        <v>1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P209" t="n">
        <v/>
      </c>
      <c r="R209" t="b">
        <v>1</v>
      </c>
      <c r="S209" t="inlineStr">
        <is>
          <t>G000150</t>
        </is>
      </c>
      <c r="T209" t="inlineStr">
        <is>
          <t>Horizontal</t>
        </is>
      </c>
      <c r="U209" t="n">
        <v>7</v>
      </c>
      <c r="V209" t="b">
        <v>1</v>
      </c>
      <c r="W209" t="inlineStr">
        <is>
          <t>Balance Sheet!C29:I29</t>
        </is>
      </c>
      <c r="X209">
        <f>R[-2]C[0]+R[-1]C[0]</f>
        <v/>
      </c>
    </row>
    <row r="210">
      <c r="A210" t="inlineStr">
        <is>
          <t>Balance Sheet</t>
        </is>
      </c>
      <c r="B210" t="inlineStr">
        <is>
          <t>A30</t>
        </is>
      </c>
      <c r="C210" t="n">
        <v>30</v>
      </c>
      <c r="D210" t="n">
        <v>1</v>
      </c>
      <c r="E210" t="inlineStr">
        <is>
          <t>Input</t>
        </is>
      </c>
      <c r="F210" t="n">
        <v/>
      </c>
      <c r="G210" t="inlineStr">
        <is>
          <t>TOTAL - ASSETS</t>
        </is>
      </c>
      <c r="H210" t="inlineStr"/>
      <c r="I210" t="inlineStr">
        <is>
          <t>General</t>
        </is>
      </c>
      <c r="J210" t="b">
        <v>1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P210" t="n">
        <v/>
      </c>
      <c r="R210" t="b">
        <v>1</v>
      </c>
      <c r="S210" t="n">
        <v/>
      </c>
      <c r="T210" t="n">
        <v/>
      </c>
      <c r="U210" t="n">
        <v/>
      </c>
      <c r="V210" t="b">
        <v>0</v>
      </c>
      <c r="W210" t="inlineStr"/>
      <c r="X210" t="n">
        <v/>
      </c>
    </row>
    <row r="211">
      <c r="A211" t="inlineStr">
        <is>
          <t>Balance Sheet</t>
        </is>
      </c>
      <c r="B211" t="inlineStr">
        <is>
          <t>B30</t>
        </is>
      </c>
      <c r="C211" t="n">
        <v>30</v>
      </c>
      <c r="D211" t="n">
        <v>2</v>
      </c>
      <c r="E211" t="inlineStr">
        <is>
          <t>Input</t>
        </is>
      </c>
      <c r="F211" t="n">
        <v/>
      </c>
      <c r="H211" t="inlineStr"/>
      <c r="I211" t="inlineStr">
        <is>
          <t>General</t>
        </is>
      </c>
      <c r="J211" t="b">
        <v>1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P211" t="n">
        <v/>
      </c>
      <c r="R211" t="b">
        <v>0</v>
      </c>
      <c r="S211" t="n">
        <v/>
      </c>
      <c r="T211" t="n">
        <v/>
      </c>
      <c r="U211" t="n">
        <v/>
      </c>
      <c r="V211" t="b">
        <v>0</v>
      </c>
      <c r="W211" t="inlineStr"/>
      <c r="X211" t="n">
        <v/>
      </c>
    </row>
    <row r="212">
      <c r="A212" t="inlineStr">
        <is>
          <t>Balance Sheet</t>
        </is>
      </c>
      <c r="B212" t="inlineStr">
        <is>
          <t>C30</t>
        </is>
      </c>
      <c r="C212" t="n">
        <v>30</v>
      </c>
      <c r="D212" t="n">
        <v>3</v>
      </c>
      <c r="E212" t="inlineStr">
        <is>
          <t>Output</t>
        </is>
      </c>
      <c r="F212" t="inlineStr">
        <is>
          <t>'=C29+C16</t>
        </is>
      </c>
      <c r="G212" t="n">
        <v>13393.94</v>
      </c>
      <c r="H212" t="inlineStr"/>
      <c r="I212" t="inlineStr">
        <is>
          <t>_-* #,##0_-;\-* #,##0_-;_-* "-"??_-;_-@_-</t>
        </is>
      </c>
      <c r="J212" t="b">
        <v>1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P212" t="n">
        <v/>
      </c>
      <c r="R212" t="b">
        <v>1</v>
      </c>
      <c r="S212" t="inlineStr">
        <is>
          <t>G000151</t>
        </is>
      </c>
      <c r="T212" t="inlineStr">
        <is>
          <t>Horizontal</t>
        </is>
      </c>
      <c r="U212" t="n">
        <v>7</v>
      </c>
      <c r="V212" t="b">
        <v>1</v>
      </c>
      <c r="W212" t="inlineStr">
        <is>
          <t>Balance Sheet!C30:I30</t>
        </is>
      </c>
      <c r="X212">
        <f>R[-1]C[0]+R[-14]C[0]</f>
        <v/>
      </c>
    </row>
    <row r="213">
      <c r="A213" t="inlineStr">
        <is>
          <t>Balance Sheet</t>
        </is>
      </c>
      <c r="B213" t="inlineStr">
        <is>
          <t>D30</t>
        </is>
      </c>
      <c r="C213" t="n">
        <v>30</v>
      </c>
      <c r="D213" t="n">
        <v>4</v>
      </c>
      <c r="E213" t="inlineStr">
        <is>
          <t>Output</t>
        </is>
      </c>
      <c r="F213" t="inlineStr">
        <is>
          <t>'=D29+D16</t>
        </is>
      </c>
      <c r="G213" t="n">
        <v>14845.74</v>
      </c>
      <c r="H213" t="inlineStr"/>
      <c r="I213" t="inlineStr">
        <is>
          <t>_-* #,##0_-;\-* #,##0_-;_-* "-"??_-;_-@_-</t>
        </is>
      </c>
      <c r="J213" t="b">
        <v>1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P213" t="n">
        <v/>
      </c>
      <c r="R213" t="b">
        <v>1</v>
      </c>
      <c r="S213" t="inlineStr">
        <is>
          <t>G000151</t>
        </is>
      </c>
      <c r="T213" t="inlineStr">
        <is>
          <t>Horizontal</t>
        </is>
      </c>
      <c r="U213" t="n">
        <v>7</v>
      </c>
      <c r="V213" t="b">
        <v>1</v>
      </c>
      <c r="W213" t="inlineStr">
        <is>
          <t>Balance Sheet!C30:I30</t>
        </is>
      </c>
      <c r="X213">
        <f>R[-1]C[0]+R[-14]C[0]</f>
        <v/>
      </c>
    </row>
    <row r="214">
      <c r="A214" t="inlineStr">
        <is>
          <t>Balance Sheet</t>
        </is>
      </c>
      <c r="B214" t="inlineStr">
        <is>
          <t>E30</t>
        </is>
      </c>
      <c r="C214" t="n">
        <v>30</v>
      </c>
      <c r="D214" t="n">
        <v>5</v>
      </c>
      <c r="E214" t="inlineStr">
        <is>
          <t>Calculation</t>
        </is>
      </c>
      <c r="F214" t="inlineStr">
        <is>
          <t>'=E29+E16</t>
        </is>
      </c>
      <c r="G214" t="n">
        <v>15502.57896125181</v>
      </c>
      <c r="H214" t="inlineStr"/>
      <c r="I214" t="inlineStr">
        <is>
          <t>_-* #,##0_-;\-* #,##0_-;_-* "-"??_-;_-@_-</t>
        </is>
      </c>
      <c r="J214" t="b">
        <v>1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P214" t="n">
        <v/>
      </c>
      <c r="R214" t="b">
        <v>1</v>
      </c>
      <c r="S214" t="inlineStr">
        <is>
          <t>G000151</t>
        </is>
      </c>
      <c r="T214" t="inlineStr">
        <is>
          <t>Horizontal</t>
        </is>
      </c>
      <c r="U214" t="n">
        <v>7</v>
      </c>
      <c r="V214" t="b">
        <v>1</v>
      </c>
      <c r="W214" t="inlineStr">
        <is>
          <t>Balance Sheet!C30:I30</t>
        </is>
      </c>
      <c r="X214">
        <f>R[-1]C[0]+R[-14]C[0]</f>
        <v/>
      </c>
    </row>
    <row r="215">
      <c r="A215" t="inlineStr">
        <is>
          <t>Balance Sheet</t>
        </is>
      </c>
      <c r="B215" t="inlineStr">
        <is>
          <t>F30</t>
        </is>
      </c>
      <c r="C215" t="n">
        <v>30</v>
      </c>
      <c r="D215" t="n">
        <v>6</v>
      </c>
      <c r="E215" t="inlineStr">
        <is>
          <t>Calculation</t>
        </is>
      </c>
      <c r="F215" t="inlineStr">
        <is>
          <t>'=F29+F16</t>
        </is>
      </c>
      <c r="G215" t="n">
        <v>16308.55481738334</v>
      </c>
      <c r="H215" t="inlineStr"/>
      <c r="I215" t="inlineStr">
        <is>
          <t>_-* #,##0_-;\-* #,##0_-;_-* "-"??_-;_-@_-</t>
        </is>
      </c>
      <c r="J215" t="b">
        <v>1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P215" t="n">
        <v/>
      </c>
      <c r="R215" t="b">
        <v>1</v>
      </c>
      <c r="S215" t="inlineStr">
        <is>
          <t>G000151</t>
        </is>
      </c>
      <c r="T215" t="inlineStr">
        <is>
          <t>Horizontal</t>
        </is>
      </c>
      <c r="U215" t="n">
        <v>7</v>
      </c>
      <c r="V215" t="b">
        <v>1</v>
      </c>
      <c r="W215" t="inlineStr">
        <is>
          <t>Balance Sheet!C30:I30</t>
        </is>
      </c>
      <c r="X215">
        <f>R[-1]C[0]+R[-14]C[0]</f>
        <v/>
      </c>
    </row>
    <row r="216">
      <c r="A216" t="inlineStr">
        <is>
          <t>Balance Sheet</t>
        </is>
      </c>
      <c r="B216" t="inlineStr">
        <is>
          <t>G30</t>
        </is>
      </c>
      <c r="C216" t="n">
        <v>30</v>
      </c>
      <c r="D216" t="n">
        <v>7</v>
      </c>
      <c r="E216" t="inlineStr">
        <is>
          <t>Calculation</t>
        </is>
      </c>
      <c r="F216" t="inlineStr">
        <is>
          <t>'=G29+G16</t>
        </is>
      </c>
      <c r="G216" t="n">
        <v>17165.05480813205</v>
      </c>
      <c r="H216" t="inlineStr"/>
      <c r="I216" t="inlineStr">
        <is>
          <t>_-* #,##0_-;\-* #,##0_-;_-* "-"??_-;_-@_-</t>
        </is>
      </c>
      <c r="J216" t="b">
        <v>1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P216" t="n">
        <v/>
      </c>
      <c r="R216" t="b">
        <v>1</v>
      </c>
      <c r="S216" t="inlineStr">
        <is>
          <t>G000151</t>
        </is>
      </c>
      <c r="T216" t="inlineStr">
        <is>
          <t>Horizontal</t>
        </is>
      </c>
      <c r="U216" t="n">
        <v>7</v>
      </c>
      <c r="V216" t="b">
        <v>1</v>
      </c>
      <c r="W216" t="inlineStr">
        <is>
          <t>Balance Sheet!C30:I30</t>
        </is>
      </c>
      <c r="X216">
        <f>R[-1]C[0]+R[-14]C[0]</f>
        <v/>
      </c>
    </row>
    <row r="217">
      <c r="A217" t="inlineStr">
        <is>
          <t>Balance Sheet</t>
        </is>
      </c>
      <c r="B217" t="inlineStr">
        <is>
          <t>H30</t>
        </is>
      </c>
      <c r="C217" t="n">
        <v>30</v>
      </c>
      <c r="D217" t="n">
        <v>8</v>
      </c>
      <c r="E217" t="inlineStr">
        <is>
          <t>Calculation</t>
        </is>
      </c>
      <c r="F217" t="inlineStr">
        <is>
          <t>'=H29+H16</t>
        </is>
      </c>
      <c r="G217" t="n">
        <v>18069.88239080129</v>
      </c>
      <c r="H217" t="inlineStr"/>
      <c r="I217" t="inlineStr">
        <is>
          <t>_-* #,##0_-;\-* #,##0_-;_-* "-"??_-;_-@_-</t>
        </is>
      </c>
      <c r="J217" t="b">
        <v>1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P217" t="n">
        <v/>
      </c>
      <c r="R217" t="b">
        <v>1</v>
      </c>
      <c r="S217" t="inlineStr">
        <is>
          <t>G000151</t>
        </is>
      </c>
      <c r="T217" t="inlineStr">
        <is>
          <t>Horizontal</t>
        </is>
      </c>
      <c r="U217" t="n">
        <v>7</v>
      </c>
      <c r="V217" t="b">
        <v>1</v>
      </c>
      <c r="W217" t="inlineStr">
        <is>
          <t>Balance Sheet!C30:I30</t>
        </is>
      </c>
      <c r="X217">
        <f>R[-1]C[0]+R[-14]C[0]</f>
        <v/>
      </c>
    </row>
    <row r="218">
      <c r="A218" t="inlineStr">
        <is>
          <t>Balance Sheet</t>
        </is>
      </c>
      <c r="B218" t="inlineStr">
        <is>
          <t>I30</t>
        </is>
      </c>
      <c r="C218" t="n">
        <v>30</v>
      </c>
      <c r="D218" t="n">
        <v>9</v>
      </c>
      <c r="E218" t="inlineStr">
        <is>
          <t>Calculation</t>
        </is>
      </c>
      <c r="F218" t="inlineStr">
        <is>
          <t>'=I29+I16</t>
        </is>
      </c>
      <c r="G218" t="n">
        <v>19020.73398379115</v>
      </c>
      <c r="H218" t="inlineStr"/>
      <c r="I218" t="inlineStr">
        <is>
          <t>_-* #,##0_-;\-* #,##0_-;_-* "-"??_-;_-@_-</t>
        </is>
      </c>
      <c r="J218" t="b">
        <v>1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P218" t="n">
        <v/>
      </c>
      <c r="R218" t="b">
        <v>1</v>
      </c>
      <c r="S218" t="inlineStr">
        <is>
          <t>G000151</t>
        </is>
      </c>
      <c r="T218" t="inlineStr">
        <is>
          <t>Horizontal</t>
        </is>
      </c>
      <c r="U218" t="n">
        <v>7</v>
      </c>
      <c r="V218" t="b">
        <v>1</v>
      </c>
      <c r="W218" t="inlineStr">
        <is>
          <t>Balance Sheet!C30:I30</t>
        </is>
      </c>
      <c r="X218">
        <f>R[-1]C[0]+R[-14]C[0]</f>
        <v/>
      </c>
    </row>
    <row r="219">
      <c r="A219" t="inlineStr">
        <is>
          <t>Balance Sheet</t>
        </is>
      </c>
      <c r="B219" t="inlineStr">
        <is>
          <t>A31</t>
        </is>
      </c>
      <c r="C219" t="n">
        <v>31</v>
      </c>
      <c r="D219" t="n">
        <v>1</v>
      </c>
      <c r="E219" t="inlineStr">
        <is>
          <t>Input</t>
        </is>
      </c>
      <c r="F219" t="n">
        <v/>
      </c>
      <c r="G219" t="inlineStr">
        <is>
          <t>EQUITY AND LIABILITIES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inlineStr">
        <is>
          <t>left</t>
        </is>
      </c>
      <c r="P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Balance Sheet</t>
        </is>
      </c>
      <c r="B220" t="inlineStr">
        <is>
          <t>C31</t>
        </is>
      </c>
      <c r="C220" t="n">
        <v>31</v>
      </c>
      <c r="D220" t="n">
        <v>3</v>
      </c>
      <c r="E220" t="inlineStr">
        <is>
          <t>Input</t>
        </is>
      </c>
      <c r="F220" t="n">
        <v/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P220" t="n">
        <v/>
      </c>
      <c r="R220" t="b">
        <v>0</v>
      </c>
      <c r="S220" t="n">
        <v/>
      </c>
      <c r="T220" t="n">
        <v/>
      </c>
      <c r="U220" t="n">
        <v/>
      </c>
      <c r="V220" t="b">
        <v>0</v>
      </c>
      <c r="W220" t="inlineStr"/>
      <c r="X220" t="n">
        <v/>
      </c>
    </row>
    <row r="221">
      <c r="A221" t="inlineStr">
        <is>
          <t>Balance Sheet</t>
        </is>
      </c>
      <c r="B221" t="inlineStr">
        <is>
          <t>D31</t>
        </is>
      </c>
      <c r="C221" t="n">
        <v>31</v>
      </c>
      <c r="D221" t="n">
        <v>4</v>
      </c>
      <c r="E221" t="inlineStr">
        <is>
          <t>Input</t>
        </is>
      </c>
      <c r="F221" t="n">
        <v/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P221" t="n">
        <v/>
      </c>
      <c r="R221" t="b">
        <v>0</v>
      </c>
      <c r="S221" t="n">
        <v/>
      </c>
      <c r="T221" t="n">
        <v/>
      </c>
      <c r="U221" t="n">
        <v/>
      </c>
      <c r="V221" t="b">
        <v>0</v>
      </c>
      <c r="W221" t="inlineStr"/>
      <c r="X221" t="n">
        <v/>
      </c>
    </row>
    <row r="222">
      <c r="A222" t="inlineStr">
        <is>
          <t>Balance Sheet</t>
        </is>
      </c>
      <c r="B222" t="inlineStr">
        <is>
          <t>A32</t>
        </is>
      </c>
      <c r="C222" t="n">
        <v>32</v>
      </c>
      <c r="D222" t="n">
        <v>1</v>
      </c>
      <c r="E222" t="inlineStr">
        <is>
          <t>Input</t>
        </is>
      </c>
      <c r="F222" t="n">
        <v/>
      </c>
      <c r="G222" t="inlineStr">
        <is>
          <t>Equity</t>
        </is>
      </c>
      <c r="H222" t="inlineStr"/>
      <c r="I222" t="inlineStr">
        <is>
          <t>General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inlineStr">
        <is>
          <t>left</t>
        </is>
      </c>
      <c r="P222" t="n">
        <v/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Balance Sheet</t>
        </is>
      </c>
      <c r="B223" t="inlineStr">
        <is>
          <t>C32</t>
        </is>
      </c>
      <c r="C223" t="n">
        <v>32</v>
      </c>
      <c r="D223" t="n">
        <v>3</v>
      </c>
      <c r="E223" t="inlineStr">
        <is>
          <t>Input</t>
        </is>
      </c>
      <c r="F223" t="n">
        <v/>
      </c>
      <c r="H223" t="inlineStr"/>
      <c r="I223" t="inlineStr">
        <is>
          <t>_-* #,##0_-;\-* #,##0_-;_-* "-"??_-;_-@_-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P223" t="n">
        <v/>
      </c>
      <c r="R223" t="b">
        <v>0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Balance Sheet</t>
        </is>
      </c>
      <c r="B224" t="inlineStr">
        <is>
          <t>D32</t>
        </is>
      </c>
      <c r="C224" t="n">
        <v>32</v>
      </c>
      <c r="D224" t="n">
        <v>4</v>
      </c>
      <c r="E224" t="inlineStr">
        <is>
          <t>Input</t>
        </is>
      </c>
      <c r="F224" t="n">
        <v/>
      </c>
      <c r="H224" t="inlineStr"/>
      <c r="I224" t="inlineStr">
        <is>
          <t>_-* #,##0_-;\-* #,##0_-;_-* "-"??_-;_-@_-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P224" t="n">
        <v/>
      </c>
      <c r="R224" t="b">
        <v>0</v>
      </c>
      <c r="S224" t="n">
        <v/>
      </c>
      <c r="T224" t="n">
        <v/>
      </c>
      <c r="U224" t="n">
        <v/>
      </c>
      <c r="V224" t="b">
        <v>0</v>
      </c>
      <c r="W224" t="inlineStr"/>
      <c r="X224" t="n">
        <v/>
      </c>
    </row>
    <row r="225">
      <c r="A225" t="inlineStr">
        <is>
          <t>Balance Sheet</t>
        </is>
      </c>
      <c r="B225" t="inlineStr">
        <is>
          <t>A33</t>
        </is>
      </c>
      <c r="C225" t="n">
        <v>33</v>
      </c>
      <c r="D225" t="n">
        <v>1</v>
      </c>
      <c r="E225" t="inlineStr">
        <is>
          <t>Input</t>
        </is>
      </c>
      <c r="F225" t="n">
        <v/>
      </c>
      <c r="G225" t="inlineStr">
        <is>
          <t>Equity Share Capital</t>
        </is>
      </c>
      <c r="H225" t="inlineStr"/>
      <c r="I225" t="inlineStr">
        <is>
          <t>General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inlineStr">
        <is>
          <t>left</t>
        </is>
      </c>
      <c r="P225" t="n">
        <v/>
      </c>
      <c r="R225" t="b">
        <v>1</v>
      </c>
      <c r="S225" t="n">
        <v/>
      </c>
      <c r="T225" t="n">
        <v/>
      </c>
      <c r="U225" t="n">
        <v/>
      </c>
      <c r="V225" t="b">
        <v>0</v>
      </c>
      <c r="W225" t="inlineStr"/>
      <c r="X225" t="n">
        <v/>
      </c>
    </row>
    <row r="226">
      <c r="A226" t="inlineStr">
        <is>
          <t>Balance Sheet</t>
        </is>
      </c>
      <c r="B226" t="inlineStr">
        <is>
          <t>C33</t>
        </is>
      </c>
      <c r="C226" t="n">
        <v>33</v>
      </c>
      <c r="D226" t="n">
        <v>3</v>
      </c>
      <c r="E226" t="inlineStr">
        <is>
          <t>Input</t>
        </is>
      </c>
      <c r="F226" t="n">
        <v/>
      </c>
      <c r="G226" t="n">
        <v>187.99</v>
      </c>
      <c r="H226" t="inlineStr"/>
      <c r="I226" t="inlineStr">
        <is>
          <t>_-* #,##0_-;\-* #,##0_-;_-* "-"??_-;_-@_-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P226" t="n">
        <v/>
      </c>
      <c r="R226" t="b">
        <v>1</v>
      </c>
      <c r="S226" t="n">
        <v/>
      </c>
      <c r="T226" t="n">
        <v/>
      </c>
      <c r="U226" t="n">
        <v/>
      </c>
      <c r="V226" t="b">
        <v>0</v>
      </c>
      <c r="W226" t="inlineStr"/>
      <c r="X226" t="n">
        <v/>
      </c>
    </row>
    <row r="227">
      <c r="A227" t="inlineStr">
        <is>
          <t>Balance Sheet</t>
        </is>
      </c>
      <c r="B227" t="inlineStr">
        <is>
          <t>D33</t>
        </is>
      </c>
      <c r="C227" t="n">
        <v>33</v>
      </c>
      <c r="D227" t="n">
        <v>4</v>
      </c>
      <c r="E227" t="inlineStr">
        <is>
          <t>Input</t>
        </is>
      </c>
      <c r="F227" t="n">
        <v/>
      </c>
      <c r="G227" t="n">
        <v>187.99</v>
      </c>
      <c r="H227" t="inlineStr"/>
      <c r="I227" t="inlineStr">
        <is>
          <t>_-* #,##0_-;\-* #,##0_-;_-* "-"??_-;_-@_-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P227" t="n">
        <v/>
      </c>
      <c r="R227" t="b">
        <v>1</v>
      </c>
      <c r="S227" t="n">
        <v/>
      </c>
      <c r="T227" t="n">
        <v/>
      </c>
      <c r="U227" t="n">
        <v/>
      </c>
      <c r="V227" t="b">
        <v>0</v>
      </c>
      <c r="W227" t="inlineStr"/>
      <c r="X227" t="n">
        <v/>
      </c>
    </row>
    <row r="228">
      <c r="A228" t="inlineStr">
        <is>
          <t>Balance Sheet</t>
        </is>
      </c>
      <c r="B228" t="inlineStr">
        <is>
          <t>E33</t>
        </is>
      </c>
      <c r="C228" t="n">
        <v>33</v>
      </c>
      <c r="D228" t="n">
        <v>5</v>
      </c>
      <c r="E228" t="inlineStr">
        <is>
          <t>Calculation</t>
        </is>
      </c>
      <c r="F228" t="inlineStr">
        <is>
          <t>'=D33</t>
        </is>
      </c>
      <c r="G228" t="n">
        <v>187.99</v>
      </c>
      <c r="H228" t="inlineStr"/>
      <c r="I228" t="inlineStr">
        <is>
          <t>_-* #,##0_-;\-* #,##0_-;_-* "-"??_-;_-@_-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FFFFFF00</t>
        </is>
      </c>
      <c r="O228" t="n">
        <v/>
      </c>
      <c r="P228" t="n">
        <v/>
      </c>
      <c r="R228" t="b">
        <v>1</v>
      </c>
      <c r="S228" t="inlineStr">
        <is>
          <t>G000141</t>
        </is>
      </c>
      <c r="T228" t="inlineStr">
        <is>
          <t>Horizontal</t>
        </is>
      </c>
      <c r="U228" t="n">
        <v>5</v>
      </c>
      <c r="V228" t="b">
        <v>1</v>
      </c>
      <c r="W228" t="inlineStr">
        <is>
          <t>Balance Sheet!E33:I33</t>
        </is>
      </c>
      <c r="X228">
        <f>R[0]C[-1]</f>
        <v/>
      </c>
    </row>
    <row r="229">
      <c r="A229" t="inlineStr">
        <is>
          <t>Balance Sheet</t>
        </is>
      </c>
      <c r="B229" t="inlineStr">
        <is>
          <t>F33</t>
        </is>
      </c>
      <c r="C229" t="n">
        <v>33</v>
      </c>
      <c r="D229" t="n">
        <v>6</v>
      </c>
      <c r="E229" t="inlineStr">
        <is>
          <t>Calculation</t>
        </is>
      </c>
      <c r="F229" t="inlineStr">
        <is>
          <t>'=E33</t>
        </is>
      </c>
      <c r="G229" t="n">
        <v>187.99</v>
      </c>
      <c r="H229" t="inlineStr"/>
      <c r="I229" t="inlineStr">
        <is>
          <t>_-* #,##0_-;\-* #,##0_-;_-* "-"??_-;_-@_-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FFFFFF00</t>
        </is>
      </c>
      <c r="O229" t="n">
        <v/>
      </c>
      <c r="P229" t="n">
        <v/>
      </c>
      <c r="R229" t="b">
        <v>1</v>
      </c>
      <c r="S229" t="inlineStr">
        <is>
          <t>G000141</t>
        </is>
      </c>
      <c r="T229" t="inlineStr">
        <is>
          <t>Horizontal</t>
        </is>
      </c>
      <c r="U229" t="n">
        <v>5</v>
      </c>
      <c r="V229" t="b">
        <v>1</v>
      </c>
      <c r="W229" t="inlineStr">
        <is>
          <t>Balance Sheet!E33:I33</t>
        </is>
      </c>
      <c r="X229">
        <f>R[0]C[-1]</f>
        <v/>
      </c>
    </row>
    <row r="230">
      <c r="A230" t="inlineStr">
        <is>
          <t>Balance Sheet</t>
        </is>
      </c>
      <c r="B230" t="inlineStr">
        <is>
          <t>G33</t>
        </is>
      </c>
      <c r="C230" t="n">
        <v>33</v>
      </c>
      <c r="D230" t="n">
        <v>7</v>
      </c>
      <c r="E230" t="inlineStr">
        <is>
          <t>Calculation</t>
        </is>
      </c>
      <c r="F230" t="inlineStr">
        <is>
          <t>'=F33</t>
        </is>
      </c>
      <c r="G230" t="n">
        <v>187.99</v>
      </c>
      <c r="H230" t="inlineStr"/>
      <c r="I230" t="inlineStr">
        <is>
          <t>_-* #,##0_-;\-* #,##0_-;_-* "-"??_-;_-@_-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FFFFFF00</t>
        </is>
      </c>
      <c r="O230" t="n">
        <v/>
      </c>
      <c r="P230" t="n">
        <v/>
      </c>
      <c r="R230" t="b">
        <v>1</v>
      </c>
      <c r="S230" t="inlineStr">
        <is>
          <t>G000141</t>
        </is>
      </c>
      <c r="T230" t="inlineStr">
        <is>
          <t>Horizontal</t>
        </is>
      </c>
      <c r="U230" t="n">
        <v>5</v>
      </c>
      <c r="V230" t="b">
        <v>1</v>
      </c>
      <c r="W230" t="inlineStr">
        <is>
          <t>Balance Sheet!E33:I33</t>
        </is>
      </c>
      <c r="X230">
        <f>R[0]C[-1]</f>
        <v/>
      </c>
    </row>
    <row r="231">
      <c r="A231" t="inlineStr">
        <is>
          <t>Balance Sheet</t>
        </is>
      </c>
      <c r="B231" t="inlineStr">
        <is>
          <t>H33</t>
        </is>
      </c>
      <c r="C231" t="n">
        <v>33</v>
      </c>
      <c r="D231" t="n">
        <v>8</v>
      </c>
      <c r="E231" t="inlineStr">
        <is>
          <t>Calculation</t>
        </is>
      </c>
      <c r="F231" t="inlineStr">
        <is>
          <t>'=G33</t>
        </is>
      </c>
      <c r="G231" t="n">
        <v>187.99</v>
      </c>
      <c r="H231" t="inlineStr"/>
      <c r="I231" t="inlineStr">
        <is>
          <t>_-* #,##0_-;\-* #,##0_-;_-* "-"??_-;_-@_-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FFFFFF00</t>
        </is>
      </c>
      <c r="O231" t="n">
        <v/>
      </c>
      <c r="P231" t="n">
        <v/>
      </c>
      <c r="R231" t="b">
        <v>1</v>
      </c>
      <c r="S231" t="inlineStr">
        <is>
          <t>G000141</t>
        </is>
      </c>
      <c r="T231" t="inlineStr">
        <is>
          <t>Horizontal</t>
        </is>
      </c>
      <c r="U231" t="n">
        <v>5</v>
      </c>
      <c r="V231" t="b">
        <v>1</v>
      </c>
      <c r="W231" t="inlineStr">
        <is>
          <t>Balance Sheet!E33:I33</t>
        </is>
      </c>
      <c r="X231">
        <f>R[0]C[-1]</f>
        <v/>
      </c>
    </row>
    <row r="232">
      <c r="A232" t="inlineStr">
        <is>
          <t>Balance Sheet</t>
        </is>
      </c>
      <c r="B232" t="inlineStr">
        <is>
          <t>I33</t>
        </is>
      </c>
      <c r="C232" t="n">
        <v>33</v>
      </c>
      <c r="D232" t="n">
        <v>9</v>
      </c>
      <c r="E232" t="inlineStr">
        <is>
          <t>Calculation</t>
        </is>
      </c>
      <c r="F232" t="inlineStr">
        <is>
          <t>'=H33</t>
        </is>
      </c>
      <c r="G232" t="n">
        <v>187.99</v>
      </c>
      <c r="H232" t="inlineStr"/>
      <c r="I232" t="inlineStr">
        <is>
          <t>_-* #,##0_-;\-* #,##0_-;_-* "-"??_-;_-@_-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FFFFFF00</t>
        </is>
      </c>
      <c r="O232" t="n">
        <v/>
      </c>
      <c r="P232" t="n">
        <v/>
      </c>
      <c r="R232" t="b">
        <v>1</v>
      </c>
      <c r="S232" t="inlineStr">
        <is>
          <t>G000141</t>
        </is>
      </c>
      <c r="T232" t="inlineStr">
        <is>
          <t>Horizontal</t>
        </is>
      </c>
      <c r="U232" t="n">
        <v>5</v>
      </c>
      <c r="V232" t="b">
        <v>1</v>
      </c>
      <c r="W232" t="inlineStr">
        <is>
          <t>Balance Sheet!E33:I33</t>
        </is>
      </c>
      <c r="X232">
        <f>R[0]C[-1]</f>
        <v/>
      </c>
    </row>
    <row r="233">
      <c r="A233" t="inlineStr">
        <is>
          <t>Balance Sheet</t>
        </is>
      </c>
      <c r="B233" t="inlineStr">
        <is>
          <t>A34</t>
        </is>
      </c>
      <c r="C233" t="n">
        <v>34</v>
      </c>
      <c r="D233" t="n">
        <v>1</v>
      </c>
      <c r="E233" t="inlineStr">
        <is>
          <t>Input</t>
        </is>
      </c>
      <c r="F233" t="n">
        <v/>
      </c>
      <c r="G233" t="inlineStr">
        <is>
          <t>Other Equity</t>
        </is>
      </c>
      <c r="H233" t="inlineStr"/>
      <c r="I233" t="inlineStr">
        <is>
          <t>General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inlineStr">
        <is>
          <t>left</t>
        </is>
      </c>
      <c r="P233" t="n">
        <v/>
      </c>
      <c r="R233" t="b">
        <v>1</v>
      </c>
      <c r="S233" t="n">
        <v/>
      </c>
      <c r="T233" t="n">
        <v/>
      </c>
      <c r="U233" t="n">
        <v/>
      </c>
      <c r="V233" t="b">
        <v>0</v>
      </c>
      <c r="W233" t="inlineStr"/>
      <c r="X233" t="n">
        <v/>
      </c>
    </row>
    <row r="234">
      <c r="A234" t="inlineStr">
        <is>
          <t>Balance Sheet</t>
        </is>
      </c>
      <c r="B234" t="inlineStr">
        <is>
          <t>C34</t>
        </is>
      </c>
      <c r="C234" t="n">
        <v>34</v>
      </c>
      <c r="D234" t="n">
        <v>3</v>
      </c>
      <c r="E234" t="inlineStr">
        <is>
          <t>Input</t>
        </is>
      </c>
      <c r="F234" t="n">
        <v/>
      </c>
      <c r="G234" t="n">
        <v>8625.440000000001</v>
      </c>
      <c r="H234" t="inlineStr"/>
      <c r="I234" t="inlineStr">
        <is>
          <t>_-* #,##0_-;\-* #,##0_-;_-* "-"??_-;_-@_-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P234" t="n">
        <v/>
      </c>
      <c r="R234" t="b">
        <v>1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Balance Sheet</t>
        </is>
      </c>
      <c r="B235" t="inlineStr">
        <is>
          <t>D34</t>
        </is>
      </c>
      <c r="C235" t="n">
        <v>34</v>
      </c>
      <c r="D235" t="n">
        <v>4</v>
      </c>
      <c r="E235" t="inlineStr">
        <is>
          <t>Input</t>
        </is>
      </c>
      <c r="F235" t="n">
        <v/>
      </c>
      <c r="G235" t="n">
        <v>9167.860000000001</v>
      </c>
      <c r="H235" t="inlineStr"/>
      <c r="I235" t="inlineStr">
        <is>
          <t>_-* #,##0_-;\-* #,##0_-;_-* "-"??_-;_-@_-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P235" t="n">
        <v/>
      </c>
      <c r="R235" t="b">
        <v>1</v>
      </c>
      <c r="S235" t="n">
        <v/>
      </c>
      <c r="T235" t="n">
        <v/>
      </c>
      <c r="U235" t="n">
        <v/>
      </c>
      <c r="V235" t="b">
        <v>0</v>
      </c>
      <c r="W235" t="inlineStr"/>
      <c r="X235" t="n">
        <v/>
      </c>
    </row>
    <row r="236">
      <c r="A236" t="inlineStr">
        <is>
          <t>Balance Sheet</t>
        </is>
      </c>
      <c r="B236" t="inlineStr">
        <is>
          <t>E34</t>
        </is>
      </c>
      <c r="C236" t="n">
        <v>34</v>
      </c>
      <c r="D236" t="n">
        <v>5</v>
      </c>
      <c r="E236" t="inlineStr">
        <is>
          <t>Calculation</t>
        </is>
      </c>
      <c r="F236" t="inlineStr">
        <is>
          <t>'=D34+'Financial Statements'!E20</t>
        </is>
      </c>
      <c r="G236" t="n">
        <v>9775.935080537865</v>
      </c>
      <c r="H236" t="inlineStr"/>
      <c r="I236" t="inlineStr">
        <is>
          <t>_-* #,##0_-;\-* #,##0_-;_-* "-"??_-;_-@_-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FFFFFF00</t>
        </is>
      </c>
      <c r="O236" t="n">
        <v/>
      </c>
      <c r="P236" t="n">
        <v/>
      </c>
      <c r="R236" t="b">
        <v>1</v>
      </c>
      <c r="S236" t="inlineStr">
        <is>
          <t>G000152</t>
        </is>
      </c>
      <c r="T236" t="inlineStr">
        <is>
          <t>Horizontal</t>
        </is>
      </c>
      <c r="U236" t="n">
        <v>5</v>
      </c>
      <c r="V236" t="b">
        <v>1</v>
      </c>
      <c r="W236" t="inlineStr">
        <is>
          <t>Balance Sheet!E34:I34</t>
        </is>
      </c>
      <c r="X236">
        <f>R[0]C[-1]+'Financial Statements'!R[-14]C[0]</f>
        <v/>
      </c>
    </row>
    <row r="237">
      <c r="A237" t="inlineStr">
        <is>
          <t>Balance Sheet</t>
        </is>
      </c>
      <c r="B237" t="inlineStr">
        <is>
          <t>F34</t>
        </is>
      </c>
      <c r="C237" t="n">
        <v>34</v>
      </c>
      <c r="D237" t="n">
        <v>6</v>
      </c>
      <c r="E237" t="inlineStr">
        <is>
          <t>Calculation</t>
        </is>
      </c>
      <c r="F237" t="inlineStr">
        <is>
          <t>'=E34+'Financial Statements'!F20</t>
        </is>
      </c>
      <c r="G237" t="n">
        <v>10425.74684436236</v>
      </c>
      <c r="H237" t="inlineStr"/>
      <c r="I237" t="inlineStr">
        <is>
          <t>_-* #,##0_-;\-* #,##0_-;_-* "-"??_-;_-@_-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FFFFFF00</t>
        </is>
      </c>
      <c r="O237" t="n">
        <v/>
      </c>
      <c r="P237" t="n">
        <v/>
      </c>
      <c r="R237" t="b">
        <v>1</v>
      </c>
      <c r="S237" t="inlineStr">
        <is>
          <t>G000152</t>
        </is>
      </c>
      <c r="T237" t="inlineStr">
        <is>
          <t>Horizontal</t>
        </is>
      </c>
      <c r="U237" t="n">
        <v>5</v>
      </c>
      <c r="V237" t="b">
        <v>1</v>
      </c>
      <c r="W237" t="inlineStr">
        <is>
          <t>Balance Sheet!E34:I34</t>
        </is>
      </c>
      <c r="X237">
        <f>R[0]C[-1]+'Financial Statements'!R[-14]C[0]</f>
        <v/>
      </c>
    </row>
    <row r="238">
      <c r="A238" t="inlineStr">
        <is>
          <t>Balance Sheet</t>
        </is>
      </c>
      <c r="B238" t="inlineStr">
        <is>
          <t>G34</t>
        </is>
      </c>
      <c r="C238" t="n">
        <v>34</v>
      </c>
      <c r="D238" t="n">
        <v>7</v>
      </c>
      <c r="E238" t="inlineStr">
        <is>
          <t>Calculation</t>
        </is>
      </c>
      <c r="F238" t="inlineStr">
        <is>
          <t>'=F34+'Financial Statements'!G20</t>
        </is>
      </c>
      <c r="G238" t="n">
        <v>11114.37960676032</v>
      </c>
      <c r="H238" t="inlineStr"/>
      <c r="I238" t="inlineStr">
        <is>
          <t>_-* #,##0_-;\-* #,##0_-;_-* "-"??_-;_-@_-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FFFFFF00</t>
        </is>
      </c>
      <c r="O238" t="n">
        <v/>
      </c>
      <c r="P238" t="n">
        <v/>
      </c>
      <c r="R238" t="b">
        <v>1</v>
      </c>
      <c r="S238" t="inlineStr">
        <is>
          <t>G000152</t>
        </is>
      </c>
      <c r="T238" t="inlineStr">
        <is>
          <t>Horizontal</t>
        </is>
      </c>
      <c r="U238" t="n">
        <v>5</v>
      </c>
      <c r="V238" t="b">
        <v>1</v>
      </c>
      <c r="W238" t="inlineStr">
        <is>
          <t>Balance Sheet!E34:I34</t>
        </is>
      </c>
      <c r="X238">
        <f>R[0]C[-1]+'Financial Statements'!R[-14]C[0]</f>
        <v/>
      </c>
    </row>
    <row r="239">
      <c r="A239" t="inlineStr">
        <is>
          <t>Balance Sheet</t>
        </is>
      </c>
      <c r="B239" t="inlineStr">
        <is>
          <t>H34</t>
        </is>
      </c>
      <c r="C239" t="n">
        <v>34</v>
      </c>
      <c r="D239" t="n">
        <v>8</v>
      </c>
      <c r="E239" t="inlineStr">
        <is>
          <t>Calculation</t>
        </is>
      </c>
      <c r="F239" t="inlineStr">
        <is>
          <t>'=G34+'Financial Statements'!H20</t>
        </is>
      </c>
      <c r="G239" t="n">
        <v>11838.81970358575</v>
      </c>
      <c r="H239" t="inlineStr"/>
      <c r="I239" t="inlineStr">
        <is>
          <t>_-* #,##0_-;\-* #,##0_-;_-* "-"??_-;_-@_-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FFFFFF00</t>
        </is>
      </c>
      <c r="O239" t="n">
        <v/>
      </c>
      <c r="P239" t="n">
        <v/>
      </c>
      <c r="R239" t="b">
        <v>1</v>
      </c>
      <c r="S239" t="inlineStr">
        <is>
          <t>G000152</t>
        </is>
      </c>
      <c r="T239" t="inlineStr">
        <is>
          <t>Horizontal</t>
        </is>
      </c>
      <c r="U239" t="n">
        <v>5</v>
      </c>
      <c r="V239" t="b">
        <v>1</v>
      </c>
      <c r="W239" t="inlineStr">
        <is>
          <t>Balance Sheet!E34:I34</t>
        </is>
      </c>
      <c r="X239">
        <f>R[0]C[-1]+'Financial Statements'!R[-14]C[0]</f>
        <v/>
      </c>
    </row>
    <row r="240">
      <c r="A240" t="inlineStr">
        <is>
          <t>Balance Sheet</t>
        </is>
      </c>
      <c r="B240" t="inlineStr">
        <is>
          <t>I34</t>
        </is>
      </c>
      <c r="C240" t="n">
        <v>34</v>
      </c>
      <c r="D240" t="n">
        <v>9</v>
      </c>
      <c r="E240" t="inlineStr">
        <is>
          <t>Calculation</t>
        </is>
      </c>
      <c r="F240" t="inlineStr">
        <is>
          <t>'=H34+'Financial Statements'!I20</t>
        </is>
      </c>
      <c r="G240" t="n">
        <v>12595.89211658078</v>
      </c>
      <c r="H240" t="inlineStr"/>
      <c r="I240" t="inlineStr">
        <is>
          <t>_-* #,##0_-;\-* #,##0_-;_-* "-"??_-;_-@_-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FFFFFF00</t>
        </is>
      </c>
      <c r="O240" t="n">
        <v/>
      </c>
      <c r="P240" t="n">
        <v/>
      </c>
      <c r="R240" t="b">
        <v>1</v>
      </c>
      <c r="S240" t="inlineStr">
        <is>
          <t>G000152</t>
        </is>
      </c>
      <c r="T240" t="inlineStr">
        <is>
          <t>Horizontal</t>
        </is>
      </c>
      <c r="U240" t="n">
        <v>5</v>
      </c>
      <c r="V240" t="b">
        <v>1</v>
      </c>
      <c r="W240" t="inlineStr">
        <is>
          <t>Balance Sheet!E34:I34</t>
        </is>
      </c>
      <c r="X240">
        <f>R[0]C[-1]+'Financial Statements'!R[-14]C[0]</f>
        <v/>
      </c>
    </row>
    <row r="241">
      <c r="A241" t="inlineStr">
        <is>
          <t>Balance Sheet</t>
        </is>
      </c>
      <c r="B241" t="inlineStr">
        <is>
          <t>A35</t>
        </is>
      </c>
      <c r="C241" t="n">
        <v>35</v>
      </c>
      <c r="D241" t="n">
        <v>1</v>
      </c>
      <c r="E241" t="inlineStr">
        <is>
          <t>Input</t>
        </is>
      </c>
      <c r="F241" t="n">
        <v/>
      </c>
      <c r="G241" t="inlineStr">
        <is>
          <t>controlling interest</t>
        </is>
      </c>
      <c r="H241" t="inlineStr"/>
      <c r="I241" t="inlineStr">
        <is>
          <t>General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inlineStr">
        <is>
          <t>left</t>
        </is>
      </c>
      <c r="P241" t="n">
        <v/>
      </c>
      <c r="R241" t="b">
        <v>1</v>
      </c>
      <c r="S241" t="n">
        <v/>
      </c>
      <c r="T241" t="n">
        <v/>
      </c>
      <c r="U241" t="n">
        <v/>
      </c>
      <c r="V241" t="b">
        <v>0</v>
      </c>
      <c r="W241" t="inlineStr"/>
      <c r="X241" t="n">
        <v/>
      </c>
    </row>
    <row r="242">
      <c r="A242" t="inlineStr">
        <is>
          <t>Balance Sheet</t>
        </is>
      </c>
      <c r="B242" t="inlineStr">
        <is>
          <t>C35</t>
        </is>
      </c>
      <c r="C242" t="n">
        <v>35</v>
      </c>
      <c r="D242" t="n">
        <v>3</v>
      </c>
      <c r="E242" t="inlineStr">
        <is>
          <t>Input</t>
        </is>
      </c>
      <c r="F242" t="n">
        <v/>
      </c>
      <c r="G242" t="n">
        <v>2.78</v>
      </c>
      <c r="H242" t="inlineStr"/>
      <c r="I242" t="inlineStr">
        <is>
          <t>_-* #,##0_-;\-* #,##0_-;_-* "-"??_-;_-@_-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P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Balance Sheet</t>
        </is>
      </c>
      <c r="B243" t="inlineStr">
        <is>
          <t>D35</t>
        </is>
      </c>
      <c r="C243" t="n">
        <v>35</v>
      </c>
      <c r="D243" t="n">
        <v>4</v>
      </c>
      <c r="E243" t="inlineStr">
        <is>
          <t>Input</t>
        </is>
      </c>
      <c r="F243" t="n">
        <v/>
      </c>
      <c r="G243" t="n">
        <v>2.88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P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 t="n">
        <v/>
      </c>
    </row>
    <row r="244">
      <c r="A244" t="inlineStr">
        <is>
          <t>Balance Sheet</t>
        </is>
      </c>
      <c r="B244" t="inlineStr">
        <is>
          <t>E35</t>
        </is>
      </c>
      <c r="C244" t="n">
        <v>35</v>
      </c>
      <c r="D244" t="n">
        <v>5</v>
      </c>
      <c r="E244" t="inlineStr">
        <is>
          <t>Input</t>
        </is>
      </c>
      <c r="F244" t="n">
        <v/>
      </c>
      <c r="G244" t="n">
        <v>2.88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P244" t="n">
        <v/>
      </c>
      <c r="R244" t="b">
        <v>1</v>
      </c>
      <c r="S244" t="n">
        <v/>
      </c>
      <c r="T244" t="n">
        <v/>
      </c>
      <c r="U244" t="n">
        <v/>
      </c>
      <c r="V244" t="b">
        <v>0</v>
      </c>
      <c r="W244" t="inlineStr"/>
      <c r="X244" t="n">
        <v/>
      </c>
    </row>
    <row r="245">
      <c r="A245" t="inlineStr">
        <is>
          <t>Balance Sheet</t>
        </is>
      </c>
      <c r="B245" t="inlineStr">
        <is>
          <t>F35</t>
        </is>
      </c>
      <c r="C245" t="n">
        <v>35</v>
      </c>
      <c r="D245" t="n">
        <v>6</v>
      </c>
      <c r="E245" t="inlineStr">
        <is>
          <t>Input</t>
        </is>
      </c>
      <c r="F245" t="n">
        <v/>
      </c>
      <c r="G245" t="n">
        <v>2.88</v>
      </c>
      <c r="H245" t="inlineStr"/>
      <c r="I245" t="inlineStr">
        <is>
          <t>_-* #,##0_-;\-* #,##0_-;_-* "-"??_-;_-@_-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P245" t="n">
        <v/>
      </c>
      <c r="R245" t="b">
        <v>1</v>
      </c>
      <c r="S245" t="n">
        <v/>
      </c>
      <c r="T245" t="n">
        <v/>
      </c>
      <c r="U245" t="n">
        <v/>
      </c>
      <c r="V245" t="b">
        <v>0</v>
      </c>
      <c r="W245" t="inlineStr"/>
      <c r="X245" t="n">
        <v/>
      </c>
    </row>
    <row r="246">
      <c r="A246" t="inlineStr">
        <is>
          <t>Balance Sheet</t>
        </is>
      </c>
      <c r="B246" t="inlineStr">
        <is>
          <t>G35</t>
        </is>
      </c>
      <c r="C246" t="n">
        <v>35</v>
      </c>
      <c r="D246" t="n">
        <v>7</v>
      </c>
      <c r="E246" t="inlineStr">
        <is>
          <t>Input</t>
        </is>
      </c>
      <c r="F246" t="n">
        <v/>
      </c>
      <c r="G246" t="n">
        <v>2.88</v>
      </c>
      <c r="H246" t="inlineStr"/>
      <c r="I246" t="inlineStr">
        <is>
          <t>_-* #,##0_-;\-* #,##0_-;_-* "-"??_-;_-@_-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P246" t="n">
        <v/>
      </c>
      <c r="R246" t="b">
        <v>1</v>
      </c>
      <c r="S246" t="n">
        <v/>
      </c>
      <c r="T246" t="n">
        <v/>
      </c>
      <c r="U246" t="n">
        <v/>
      </c>
      <c r="V246" t="b">
        <v>0</v>
      </c>
      <c r="W246" t="inlineStr"/>
      <c r="X246" t="n">
        <v/>
      </c>
    </row>
    <row r="247">
      <c r="A247" t="inlineStr">
        <is>
          <t>Balance Sheet</t>
        </is>
      </c>
      <c r="B247" t="inlineStr">
        <is>
          <t>H35</t>
        </is>
      </c>
      <c r="C247" t="n">
        <v>35</v>
      </c>
      <c r="D247" t="n">
        <v>8</v>
      </c>
      <c r="E247" t="inlineStr">
        <is>
          <t>Input</t>
        </is>
      </c>
      <c r="F247" t="n">
        <v/>
      </c>
      <c r="G247" t="n">
        <v>2.88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P247" t="n">
        <v/>
      </c>
      <c r="R247" t="b">
        <v>1</v>
      </c>
      <c r="S247" t="n">
        <v/>
      </c>
      <c r="T247" t="n">
        <v/>
      </c>
      <c r="U247" t="n">
        <v/>
      </c>
      <c r="V247" t="b">
        <v>0</v>
      </c>
      <c r="W247" t="inlineStr"/>
      <c r="X247" t="n">
        <v/>
      </c>
    </row>
    <row r="248">
      <c r="A248" t="inlineStr">
        <is>
          <t>Balance Sheet</t>
        </is>
      </c>
      <c r="B248" t="inlineStr">
        <is>
          <t>I35</t>
        </is>
      </c>
      <c r="C248" t="n">
        <v>35</v>
      </c>
      <c r="D248" t="n">
        <v>9</v>
      </c>
      <c r="E248" t="inlineStr">
        <is>
          <t>Input</t>
        </is>
      </c>
      <c r="F248" t="n">
        <v/>
      </c>
      <c r="G248" t="n">
        <v>2.88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P248" t="n">
        <v/>
      </c>
      <c r="R248" t="b">
        <v>1</v>
      </c>
      <c r="S248" t="n">
        <v/>
      </c>
      <c r="T248" t="n">
        <v/>
      </c>
      <c r="U248" t="n">
        <v/>
      </c>
      <c r="V248" t="b">
        <v>0</v>
      </c>
      <c r="W248" t="inlineStr"/>
      <c r="X248" t="n">
        <v/>
      </c>
    </row>
    <row r="249">
      <c r="A249" t="inlineStr">
        <is>
          <t>Balance Sheet</t>
        </is>
      </c>
      <c r="B249" t="inlineStr">
        <is>
          <t>A36</t>
        </is>
      </c>
      <c r="C249" t="n">
        <v>36</v>
      </c>
      <c r="D249" t="n">
        <v>1</v>
      </c>
      <c r="E249" t="inlineStr">
        <is>
          <t>Input</t>
        </is>
      </c>
      <c r="F249" t="n">
        <v/>
      </c>
      <c r="G249" t="inlineStr">
        <is>
          <t>Total Equity</t>
        </is>
      </c>
      <c r="H249" t="inlineStr"/>
      <c r="I249" t="inlineStr">
        <is>
          <t>General</t>
        </is>
      </c>
      <c r="J249" t="b">
        <v>1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P249" t="n">
        <v/>
      </c>
      <c r="R249" t="b">
        <v>1</v>
      </c>
      <c r="S249" t="n">
        <v/>
      </c>
      <c r="T249" t="n">
        <v/>
      </c>
      <c r="U249" t="n">
        <v/>
      </c>
      <c r="V249" t="b">
        <v>0</v>
      </c>
      <c r="W249" t="inlineStr"/>
      <c r="X249" t="n">
        <v/>
      </c>
    </row>
    <row r="250">
      <c r="A250" t="inlineStr">
        <is>
          <t>Balance Sheet</t>
        </is>
      </c>
      <c r="B250" t="inlineStr">
        <is>
          <t>B36</t>
        </is>
      </c>
      <c r="C250" t="n">
        <v>36</v>
      </c>
      <c r="D250" t="n">
        <v>2</v>
      </c>
      <c r="E250" t="inlineStr">
        <is>
          <t>Input</t>
        </is>
      </c>
      <c r="F250" t="n">
        <v/>
      </c>
      <c r="H250" t="inlineStr"/>
      <c r="I250" t="inlineStr">
        <is>
          <t>General</t>
        </is>
      </c>
      <c r="J250" t="b">
        <v>1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P250" t="n">
        <v/>
      </c>
      <c r="R250" t="b">
        <v>0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Balance Sheet</t>
        </is>
      </c>
      <c r="B251" t="inlineStr">
        <is>
          <t>C36</t>
        </is>
      </c>
      <c r="C251" t="n">
        <v>36</v>
      </c>
      <c r="D251" t="n">
        <v>3</v>
      </c>
      <c r="E251" t="inlineStr">
        <is>
          <t>Calculation</t>
        </is>
      </c>
      <c r="F251" t="inlineStr">
        <is>
          <t>'=C33+C34+C35</t>
        </is>
      </c>
      <c r="G251" t="n">
        <v>8816.210000000001</v>
      </c>
      <c r="H251" t="inlineStr"/>
      <c r="I251" t="inlineStr">
        <is>
          <t>_-* #,##0_-;\-* #,##0_-;_-* "-"??_-;_-@_-</t>
        </is>
      </c>
      <c r="J251" t="b">
        <v>1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P251" t="n">
        <v/>
      </c>
      <c r="R251" t="b">
        <v>1</v>
      </c>
      <c r="S251" t="inlineStr">
        <is>
          <t>G000153</t>
        </is>
      </c>
      <c r="T251" t="inlineStr">
        <is>
          <t>Horizontal</t>
        </is>
      </c>
      <c r="U251" t="n">
        <v>7</v>
      </c>
      <c r="V251" t="b">
        <v>1</v>
      </c>
      <c r="W251" t="inlineStr">
        <is>
          <t>Balance Sheet!C36:I36</t>
        </is>
      </c>
      <c r="X251">
        <f>R[-3]C[0]+R[-2]C[0]+R[-1]C[0]</f>
        <v/>
      </c>
    </row>
    <row r="252">
      <c r="A252" t="inlineStr">
        <is>
          <t>Balance Sheet</t>
        </is>
      </c>
      <c r="B252" t="inlineStr">
        <is>
          <t>D36</t>
        </is>
      </c>
      <c r="C252" t="n">
        <v>36</v>
      </c>
      <c r="D252" t="n">
        <v>4</v>
      </c>
      <c r="E252" t="inlineStr">
        <is>
          <t>Calculation</t>
        </is>
      </c>
      <c r="F252" t="inlineStr">
        <is>
          <t>'=D33+D34+D35</t>
        </is>
      </c>
      <c r="G252" t="n">
        <v>9358.73</v>
      </c>
      <c r="H252" t="inlineStr"/>
      <c r="I252" t="inlineStr">
        <is>
          <t>_-* #,##0_-;\-* #,##0_-;_-* "-"??_-;_-@_-</t>
        </is>
      </c>
      <c r="J252" t="b">
        <v>1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P252" t="n">
        <v/>
      </c>
      <c r="R252" t="b">
        <v>1</v>
      </c>
      <c r="S252" t="inlineStr">
        <is>
          <t>G000153</t>
        </is>
      </c>
      <c r="T252" t="inlineStr">
        <is>
          <t>Horizontal</t>
        </is>
      </c>
      <c r="U252" t="n">
        <v>7</v>
      </c>
      <c r="V252" t="b">
        <v>1</v>
      </c>
      <c r="W252" t="inlineStr">
        <is>
          <t>Balance Sheet!C36:I36</t>
        </is>
      </c>
      <c r="X252">
        <f>R[-3]C[0]+R[-2]C[0]+R[-1]C[0]</f>
        <v/>
      </c>
    </row>
    <row r="253">
      <c r="A253" t="inlineStr">
        <is>
          <t>Balance Sheet</t>
        </is>
      </c>
      <c r="B253" t="inlineStr">
        <is>
          <t>E36</t>
        </is>
      </c>
      <c r="C253" t="n">
        <v>36</v>
      </c>
      <c r="D253" t="n">
        <v>5</v>
      </c>
      <c r="E253" t="inlineStr">
        <is>
          <t>Calculation</t>
        </is>
      </c>
      <c r="F253" t="inlineStr">
        <is>
          <t>'=E33+E34+E35</t>
        </is>
      </c>
      <c r="G253" t="n">
        <v>9966.805080537864</v>
      </c>
      <c r="H253" t="inlineStr"/>
      <c r="I253" t="inlineStr">
        <is>
          <t>_-* #,##0_-;\-* #,##0_-;_-* "-"??_-;_-@_-</t>
        </is>
      </c>
      <c r="J253" t="b">
        <v>1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P253" t="n">
        <v/>
      </c>
      <c r="R253" t="b">
        <v>1</v>
      </c>
      <c r="S253" t="inlineStr">
        <is>
          <t>G000153</t>
        </is>
      </c>
      <c r="T253" t="inlineStr">
        <is>
          <t>Horizontal</t>
        </is>
      </c>
      <c r="U253" t="n">
        <v>7</v>
      </c>
      <c r="V253" t="b">
        <v>1</v>
      </c>
      <c r="W253" t="inlineStr">
        <is>
          <t>Balance Sheet!C36:I36</t>
        </is>
      </c>
      <c r="X253">
        <f>R[-3]C[0]+R[-2]C[0]+R[-1]C[0]</f>
        <v/>
      </c>
    </row>
    <row r="254">
      <c r="A254" t="inlineStr">
        <is>
          <t>Balance Sheet</t>
        </is>
      </c>
      <c r="B254" t="inlineStr">
        <is>
          <t>F36</t>
        </is>
      </c>
      <c r="C254" t="n">
        <v>36</v>
      </c>
      <c r="D254" t="n">
        <v>6</v>
      </c>
      <c r="E254" t="inlineStr">
        <is>
          <t>Calculation</t>
        </is>
      </c>
      <c r="F254" t="inlineStr">
        <is>
          <t>'=F33+F34+F35</t>
        </is>
      </c>
      <c r="G254" t="n">
        <v>10616.61684436236</v>
      </c>
      <c r="H254" t="inlineStr"/>
      <c r="I254" t="inlineStr">
        <is>
          <t>_-* #,##0_-;\-* #,##0_-;_-* "-"??_-;_-@_-</t>
        </is>
      </c>
      <c r="J254" t="b">
        <v>1</v>
      </c>
      <c r="K254" t="b">
        <v>0</v>
      </c>
      <c r="L254" t="n">
        <v>11</v>
      </c>
      <c r="M254" t="inlineStr">
        <is>
          <t>FF000000</t>
        </is>
      </c>
      <c r="N254" t="inlineStr">
        <is>
          <t>00000000</t>
        </is>
      </c>
      <c r="O254" t="n">
        <v/>
      </c>
      <c r="P254" t="n">
        <v/>
      </c>
      <c r="R254" t="b">
        <v>1</v>
      </c>
      <c r="S254" t="inlineStr">
        <is>
          <t>G000153</t>
        </is>
      </c>
      <c r="T254" t="inlineStr">
        <is>
          <t>Horizontal</t>
        </is>
      </c>
      <c r="U254" t="n">
        <v>7</v>
      </c>
      <c r="V254" t="b">
        <v>1</v>
      </c>
      <c r="W254" t="inlineStr">
        <is>
          <t>Balance Sheet!C36:I36</t>
        </is>
      </c>
      <c r="X254">
        <f>R[-3]C[0]+R[-2]C[0]+R[-1]C[0]</f>
        <v/>
      </c>
    </row>
    <row r="255">
      <c r="A255" t="inlineStr">
        <is>
          <t>Balance Sheet</t>
        </is>
      </c>
      <c r="B255" t="inlineStr">
        <is>
          <t>G36</t>
        </is>
      </c>
      <c r="C255" t="n">
        <v>36</v>
      </c>
      <c r="D255" t="n">
        <v>7</v>
      </c>
      <c r="E255" t="inlineStr">
        <is>
          <t>Calculation</t>
        </is>
      </c>
      <c r="F255" t="inlineStr">
        <is>
          <t>'=G33+G34+G35</t>
        </is>
      </c>
      <c r="G255" t="n">
        <v>11305.24960676032</v>
      </c>
      <c r="H255" t="inlineStr"/>
      <c r="I255" t="inlineStr">
        <is>
          <t>_-* #,##0_-;\-* #,##0_-;_-* "-"??_-;_-@_-</t>
        </is>
      </c>
      <c r="J255" t="b">
        <v>1</v>
      </c>
      <c r="K255" t="b">
        <v>0</v>
      </c>
      <c r="L255" t="n">
        <v>11</v>
      </c>
      <c r="M255" t="inlineStr">
        <is>
          <t>FF000000</t>
        </is>
      </c>
      <c r="N255" t="inlineStr">
        <is>
          <t>00000000</t>
        </is>
      </c>
      <c r="O255" t="n">
        <v/>
      </c>
      <c r="P255" t="n">
        <v/>
      </c>
      <c r="R255" t="b">
        <v>1</v>
      </c>
      <c r="S255" t="inlineStr">
        <is>
          <t>G000153</t>
        </is>
      </c>
      <c r="T255" t="inlineStr">
        <is>
          <t>Horizontal</t>
        </is>
      </c>
      <c r="U255" t="n">
        <v>7</v>
      </c>
      <c r="V255" t="b">
        <v>1</v>
      </c>
      <c r="W255" t="inlineStr">
        <is>
          <t>Balance Sheet!C36:I36</t>
        </is>
      </c>
      <c r="X255">
        <f>R[-3]C[0]+R[-2]C[0]+R[-1]C[0]</f>
        <v/>
      </c>
    </row>
    <row r="256">
      <c r="A256" t="inlineStr">
        <is>
          <t>Balance Sheet</t>
        </is>
      </c>
      <c r="B256" t="inlineStr">
        <is>
          <t>H36</t>
        </is>
      </c>
      <c r="C256" t="n">
        <v>36</v>
      </c>
      <c r="D256" t="n">
        <v>8</v>
      </c>
      <c r="E256" t="inlineStr">
        <is>
          <t>Calculation</t>
        </is>
      </c>
      <c r="F256" t="inlineStr">
        <is>
          <t>'=H33+H34+H35</t>
        </is>
      </c>
      <c r="G256" t="n">
        <v>12029.68970358575</v>
      </c>
      <c r="H256" t="inlineStr"/>
      <c r="I256" t="inlineStr">
        <is>
          <t>_-* #,##0_-;\-* #,##0_-;_-* "-"??_-;_-@_-</t>
        </is>
      </c>
      <c r="J256" t="b">
        <v>1</v>
      </c>
      <c r="K256" t="b">
        <v>0</v>
      </c>
      <c r="L256" t="n">
        <v>11</v>
      </c>
      <c r="M256" t="inlineStr">
        <is>
          <t>FF000000</t>
        </is>
      </c>
      <c r="N256" t="inlineStr">
        <is>
          <t>00000000</t>
        </is>
      </c>
      <c r="O256" t="n">
        <v/>
      </c>
      <c r="P256" t="n">
        <v/>
      </c>
      <c r="R256" t="b">
        <v>1</v>
      </c>
      <c r="S256" t="inlineStr">
        <is>
          <t>G000153</t>
        </is>
      </c>
      <c r="T256" t="inlineStr">
        <is>
          <t>Horizontal</t>
        </is>
      </c>
      <c r="U256" t="n">
        <v>7</v>
      </c>
      <c r="V256" t="b">
        <v>1</v>
      </c>
      <c r="W256" t="inlineStr">
        <is>
          <t>Balance Sheet!C36:I36</t>
        </is>
      </c>
      <c r="X256">
        <f>R[-3]C[0]+R[-2]C[0]+R[-1]C[0]</f>
        <v/>
      </c>
    </row>
    <row r="257">
      <c r="A257" t="inlineStr">
        <is>
          <t>Balance Sheet</t>
        </is>
      </c>
      <c r="B257" t="inlineStr">
        <is>
          <t>I36</t>
        </is>
      </c>
      <c r="C257" t="n">
        <v>36</v>
      </c>
      <c r="D257" t="n">
        <v>9</v>
      </c>
      <c r="E257" t="inlineStr">
        <is>
          <t>Calculation</t>
        </is>
      </c>
      <c r="F257" t="inlineStr">
        <is>
          <t>'=I33+I34+I35</t>
        </is>
      </c>
      <c r="G257" t="n">
        <v>12786.76211658078</v>
      </c>
      <c r="H257" t="inlineStr"/>
      <c r="I257" t="inlineStr">
        <is>
          <t>_-* #,##0_-;\-* #,##0_-;_-* "-"??_-;_-@_-</t>
        </is>
      </c>
      <c r="J257" t="b">
        <v>1</v>
      </c>
      <c r="K257" t="b">
        <v>0</v>
      </c>
      <c r="L257" t="n">
        <v>11</v>
      </c>
      <c r="M257" t="inlineStr">
        <is>
          <t>FF000000</t>
        </is>
      </c>
      <c r="N257" t="inlineStr">
        <is>
          <t>00000000</t>
        </is>
      </c>
      <c r="O257" t="n">
        <v/>
      </c>
      <c r="P257" t="n">
        <v/>
      </c>
      <c r="R257" t="b">
        <v>1</v>
      </c>
      <c r="S257" t="inlineStr">
        <is>
          <t>G000153</t>
        </is>
      </c>
      <c r="T257" t="inlineStr">
        <is>
          <t>Horizontal</t>
        </is>
      </c>
      <c r="U257" t="n">
        <v>7</v>
      </c>
      <c r="V257" t="b">
        <v>1</v>
      </c>
      <c r="W257" t="inlineStr">
        <is>
          <t>Balance Sheet!C36:I36</t>
        </is>
      </c>
      <c r="X257">
        <f>R[-3]C[0]+R[-2]C[0]+R[-1]C[0]</f>
        <v/>
      </c>
    </row>
    <row r="258">
      <c r="A258" t="inlineStr">
        <is>
          <t>Balance Sheet</t>
        </is>
      </c>
      <c r="B258" t="inlineStr">
        <is>
          <t>A37</t>
        </is>
      </c>
      <c r="C258" t="n">
        <v>37</v>
      </c>
      <c r="D258" t="n">
        <v>1</v>
      </c>
      <c r="E258" t="inlineStr">
        <is>
          <t>Input</t>
        </is>
      </c>
      <c r="F258" t="n">
        <v/>
      </c>
      <c r="G258" t="inlineStr">
        <is>
          <t>Liabilities</t>
        </is>
      </c>
      <c r="H258" t="inlineStr"/>
      <c r="I258" t="inlineStr">
        <is>
          <t>General</t>
        </is>
      </c>
      <c r="J258" t="b">
        <v>0</v>
      </c>
      <c r="K258" t="b">
        <v>0</v>
      </c>
      <c r="L258" t="n">
        <v>11</v>
      </c>
      <c r="M258" t="inlineStr">
        <is>
          <t>FF000000</t>
        </is>
      </c>
      <c r="N258" t="inlineStr">
        <is>
          <t>00000000</t>
        </is>
      </c>
      <c r="O258" t="inlineStr">
        <is>
          <t>left</t>
        </is>
      </c>
      <c r="P258" t="n">
        <v/>
      </c>
      <c r="R258" t="b">
        <v>1</v>
      </c>
      <c r="S258" t="n">
        <v/>
      </c>
      <c r="T258" t="n">
        <v/>
      </c>
      <c r="U258" t="n">
        <v/>
      </c>
      <c r="V258" t="b">
        <v>0</v>
      </c>
      <c r="W258" t="inlineStr"/>
      <c r="X258" t="n">
        <v/>
      </c>
    </row>
    <row r="259">
      <c r="A259" t="inlineStr">
        <is>
          <t>Balance Sheet</t>
        </is>
      </c>
      <c r="B259" t="inlineStr">
        <is>
          <t>C37</t>
        </is>
      </c>
      <c r="C259" t="n">
        <v>37</v>
      </c>
      <c r="D259" t="n">
        <v>3</v>
      </c>
      <c r="E259" t="inlineStr">
        <is>
          <t>Input</t>
        </is>
      </c>
      <c r="F259" t="n">
        <v/>
      </c>
      <c r="H259" t="inlineStr"/>
      <c r="I259" t="inlineStr">
        <is>
          <t>_-* #,##0_-;\-* #,##0_-;_-* "-"??_-;_-@_-</t>
        </is>
      </c>
      <c r="J259" t="b">
        <v>0</v>
      </c>
      <c r="K259" t="b">
        <v>0</v>
      </c>
      <c r="L259" t="n">
        <v>11</v>
      </c>
      <c r="M259" t="inlineStr">
        <is>
          <t>FF000000</t>
        </is>
      </c>
      <c r="N259" t="inlineStr">
        <is>
          <t>00000000</t>
        </is>
      </c>
      <c r="O259" t="n">
        <v/>
      </c>
      <c r="P259" t="n">
        <v/>
      </c>
      <c r="R259" t="b">
        <v>0</v>
      </c>
      <c r="S259" t="n">
        <v/>
      </c>
      <c r="T259" t="n">
        <v/>
      </c>
      <c r="U259" t="n">
        <v/>
      </c>
      <c r="V259" t="b">
        <v>0</v>
      </c>
      <c r="W259" t="inlineStr"/>
      <c r="X259" t="n">
        <v/>
      </c>
    </row>
    <row r="260">
      <c r="A260" t="inlineStr">
        <is>
          <t>Balance Sheet</t>
        </is>
      </c>
      <c r="B260" t="inlineStr">
        <is>
          <t>D37</t>
        </is>
      </c>
      <c r="C260" t="n">
        <v>37</v>
      </c>
      <c r="D260" t="n">
        <v>4</v>
      </c>
      <c r="E260" t="inlineStr">
        <is>
          <t>Input</t>
        </is>
      </c>
      <c r="F260" t="n">
        <v/>
      </c>
      <c r="H260" t="inlineStr"/>
      <c r="I260" t="inlineStr">
        <is>
          <t>_-* #,##0_-;\-* #,##0_-;_-* "-"??_-;_-@_-</t>
        </is>
      </c>
      <c r="J260" t="b">
        <v>0</v>
      </c>
      <c r="K260" t="b">
        <v>0</v>
      </c>
      <c r="L260" t="n">
        <v>11</v>
      </c>
      <c r="M260" t="inlineStr">
        <is>
          <t>FF000000</t>
        </is>
      </c>
      <c r="N260" t="inlineStr">
        <is>
          <t>00000000</t>
        </is>
      </c>
      <c r="O260" t="n">
        <v/>
      </c>
      <c r="P260" t="n">
        <v/>
      </c>
      <c r="R260" t="b">
        <v>0</v>
      </c>
      <c r="S260" t="n">
        <v/>
      </c>
      <c r="T260" t="n">
        <v/>
      </c>
      <c r="U260" t="n">
        <v/>
      </c>
      <c r="V260" t="b">
        <v>0</v>
      </c>
      <c r="W260" t="inlineStr"/>
      <c r="X260" t="n">
        <v/>
      </c>
    </row>
    <row r="261">
      <c r="A261" t="inlineStr">
        <is>
          <t>Balance Sheet</t>
        </is>
      </c>
      <c r="B261" t="inlineStr">
        <is>
          <t>A38</t>
        </is>
      </c>
      <c r="C261" t="n">
        <v>38</v>
      </c>
      <c r="D261" t="n">
        <v>1</v>
      </c>
      <c r="E261" t="inlineStr">
        <is>
          <t>Input</t>
        </is>
      </c>
      <c r="F261" t="n">
        <v/>
      </c>
      <c r="G261" t="inlineStr">
        <is>
          <t>Non-current liabilities</t>
        </is>
      </c>
      <c r="H261" t="inlineStr"/>
      <c r="I261" t="inlineStr">
        <is>
          <t>General</t>
        </is>
      </c>
      <c r="J261" t="b">
        <v>0</v>
      </c>
      <c r="K261" t="b">
        <v>0</v>
      </c>
      <c r="L261" t="n">
        <v>11</v>
      </c>
      <c r="M261" t="inlineStr">
        <is>
          <t>FF000000</t>
        </is>
      </c>
      <c r="N261" t="inlineStr">
        <is>
          <t>00000000</t>
        </is>
      </c>
      <c r="O261" t="inlineStr">
        <is>
          <t>left</t>
        </is>
      </c>
      <c r="P261" t="n">
        <v/>
      </c>
      <c r="R261" t="b">
        <v>1</v>
      </c>
      <c r="S261" t="n">
        <v/>
      </c>
      <c r="T261" t="n">
        <v/>
      </c>
      <c r="U261" t="n">
        <v/>
      </c>
      <c r="V261" t="b">
        <v>0</v>
      </c>
      <c r="W261" t="inlineStr"/>
      <c r="X261" t="n">
        <v/>
      </c>
    </row>
    <row r="262">
      <c r="A262" t="inlineStr">
        <is>
          <t>Balance Sheet</t>
        </is>
      </c>
      <c r="B262" t="inlineStr">
        <is>
          <t>C38</t>
        </is>
      </c>
      <c r="C262" t="n">
        <v>38</v>
      </c>
      <c r="D262" t="n">
        <v>3</v>
      </c>
      <c r="E262" t="inlineStr">
        <is>
          <t>Input</t>
        </is>
      </c>
      <c r="F262" t="n">
        <v/>
      </c>
      <c r="H262" t="inlineStr"/>
      <c r="I262" t="inlineStr">
        <is>
          <t>_-* #,##0_-;\-* #,##0_-;_-* "-"??_-;_-@_-</t>
        </is>
      </c>
      <c r="J262" t="b">
        <v>0</v>
      </c>
      <c r="K262" t="b">
        <v>0</v>
      </c>
      <c r="L262" t="n">
        <v>11</v>
      </c>
      <c r="M262" t="inlineStr">
        <is>
          <t>FF000000</t>
        </is>
      </c>
      <c r="N262" t="inlineStr">
        <is>
          <t>00000000</t>
        </is>
      </c>
      <c r="O262" t="n">
        <v/>
      </c>
      <c r="P262" t="n">
        <v/>
      </c>
      <c r="R262" t="b">
        <v>0</v>
      </c>
      <c r="S262" t="n">
        <v/>
      </c>
      <c r="T262" t="n">
        <v/>
      </c>
      <c r="U262" t="n">
        <v/>
      </c>
      <c r="V262" t="b">
        <v>0</v>
      </c>
      <c r="W262" t="inlineStr"/>
      <c r="X262" t="n">
        <v/>
      </c>
    </row>
    <row r="263">
      <c r="A263" t="inlineStr">
        <is>
          <t>Balance Sheet</t>
        </is>
      </c>
      <c r="B263" t="inlineStr">
        <is>
          <t>D38</t>
        </is>
      </c>
      <c r="C263" t="n">
        <v>38</v>
      </c>
      <c r="D263" t="n">
        <v>4</v>
      </c>
      <c r="E263" t="inlineStr">
        <is>
          <t>Input</t>
        </is>
      </c>
      <c r="F263" t="n">
        <v/>
      </c>
      <c r="H263" t="inlineStr"/>
      <c r="I263" t="inlineStr">
        <is>
          <t>_-* #,##0_-;\-* #,##0_-;_-* "-"??_-;_-@_-</t>
        </is>
      </c>
      <c r="J263" t="b">
        <v>0</v>
      </c>
      <c r="K263" t="b">
        <v>0</v>
      </c>
      <c r="L263" t="n">
        <v>11</v>
      </c>
      <c r="M263" t="inlineStr">
        <is>
          <t>FF000000</t>
        </is>
      </c>
      <c r="N263" t="inlineStr">
        <is>
          <t>00000000</t>
        </is>
      </c>
      <c r="O263" t="n">
        <v/>
      </c>
      <c r="P263" t="n">
        <v/>
      </c>
      <c r="R263" t="b">
        <v>0</v>
      </c>
      <c r="S263" t="n">
        <v/>
      </c>
      <c r="T263" t="n">
        <v/>
      </c>
      <c r="U263" t="n">
        <v/>
      </c>
      <c r="V263" t="b">
        <v>0</v>
      </c>
      <c r="W263" t="inlineStr"/>
      <c r="X263" t="n">
        <v/>
      </c>
    </row>
    <row r="264">
      <c r="A264" t="inlineStr">
        <is>
          <t>Balance Sheet</t>
        </is>
      </c>
      <c r="B264" t="inlineStr">
        <is>
          <t>A39</t>
        </is>
      </c>
      <c r="C264" t="n">
        <v>39</v>
      </c>
      <c r="D264" t="n">
        <v>1</v>
      </c>
      <c r="E264" t="inlineStr">
        <is>
          <t>Input</t>
        </is>
      </c>
      <c r="F264" t="n">
        <v/>
      </c>
      <c r="G264" t="inlineStr">
        <is>
          <t>Provisions</t>
        </is>
      </c>
      <c r="H264" t="inlineStr"/>
      <c r="I264" t="inlineStr">
        <is>
          <t>General</t>
        </is>
      </c>
      <c r="J264" t="b">
        <v>0</v>
      </c>
      <c r="K264" t="b">
        <v>0</v>
      </c>
      <c r="L264" t="n">
        <v>11</v>
      </c>
      <c r="M264" t="inlineStr">
        <is>
          <t>FF000000</t>
        </is>
      </c>
      <c r="N264" t="inlineStr">
        <is>
          <t>00000000</t>
        </is>
      </c>
      <c r="O264" t="inlineStr">
        <is>
          <t>left</t>
        </is>
      </c>
      <c r="P264" t="n">
        <v/>
      </c>
      <c r="R264" t="b">
        <v>1</v>
      </c>
      <c r="S264" t="n">
        <v/>
      </c>
      <c r="T264" t="n">
        <v/>
      </c>
      <c r="U264" t="n">
        <v/>
      </c>
      <c r="V264" t="b">
        <v>0</v>
      </c>
      <c r="W264" t="inlineStr"/>
      <c r="X264" t="n">
        <v/>
      </c>
    </row>
    <row r="265">
      <c r="A265" t="inlineStr">
        <is>
          <t>Balance Sheet</t>
        </is>
      </c>
      <c r="B265" t="inlineStr">
        <is>
          <t>C39</t>
        </is>
      </c>
      <c r="C265" t="n">
        <v>39</v>
      </c>
      <c r="D265" t="n">
        <v>3</v>
      </c>
      <c r="E265" t="inlineStr">
        <is>
          <t>Input</t>
        </is>
      </c>
      <c r="F265" t="n">
        <v/>
      </c>
      <c r="G265" t="n">
        <v>141.36</v>
      </c>
      <c r="H265" t="inlineStr"/>
      <c r="I265" t="inlineStr">
        <is>
          <t>_-* #,##0_-;\-* #,##0_-;_-* "-"??_-;_-@_-</t>
        </is>
      </c>
      <c r="J265" t="b">
        <v>0</v>
      </c>
      <c r="K265" t="b">
        <v>0</v>
      </c>
      <c r="L265" t="n">
        <v>11</v>
      </c>
      <c r="M265" t="inlineStr">
        <is>
          <t>FF000000</t>
        </is>
      </c>
      <c r="N265" t="inlineStr">
        <is>
          <t>00000000</t>
        </is>
      </c>
      <c r="O265" t="n">
        <v/>
      </c>
      <c r="P265" t="n">
        <v/>
      </c>
      <c r="R265" t="b">
        <v>1</v>
      </c>
      <c r="S265" t="n">
        <v/>
      </c>
      <c r="T265" t="n">
        <v/>
      </c>
      <c r="U265" t="n">
        <v/>
      </c>
      <c r="V265" t="b">
        <v>0</v>
      </c>
      <c r="W265" t="inlineStr"/>
      <c r="X265" t="n">
        <v/>
      </c>
    </row>
    <row r="266">
      <c r="A266" t="inlineStr">
        <is>
          <t>Balance Sheet</t>
        </is>
      </c>
      <c r="B266" t="inlineStr">
        <is>
          <t>D39</t>
        </is>
      </c>
      <c r="C266" t="n">
        <v>39</v>
      </c>
      <c r="D266" t="n">
        <v>4</v>
      </c>
      <c r="E266" t="inlineStr">
        <is>
          <t>Input</t>
        </is>
      </c>
      <c r="F266" t="n">
        <v/>
      </c>
      <c r="G266" t="n">
        <v>142.79</v>
      </c>
      <c r="H266" t="inlineStr"/>
      <c r="I266" t="inlineStr">
        <is>
          <t>_-* #,##0_-;\-* #,##0_-;_-* "-"??_-;_-@_-</t>
        </is>
      </c>
      <c r="J266" t="b">
        <v>0</v>
      </c>
      <c r="K266" t="b">
        <v>0</v>
      </c>
      <c r="L266" t="n">
        <v>11</v>
      </c>
      <c r="M266" t="inlineStr">
        <is>
          <t>FF000000</t>
        </is>
      </c>
      <c r="N266" t="inlineStr">
        <is>
          <t>00000000</t>
        </is>
      </c>
      <c r="O266" t="n">
        <v/>
      </c>
      <c r="P266" t="n">
        <v/>
      </c>
      <c r="R266" t="b">
        <v>1</v>
      </c>
      <c r="S266" t="n">
        <v/>
      </c>
      <c r="T266" t="n">
        <v/>
      </c>
      <c r="U266" t="n">
        <v/>
      </c>
      <c r="V266" t="b">
        <v>0</v>
      </c>
      <c r="W266" t="inlineStr"/>
      <c r="X266" t="n">
        <v/>
      </c>
    </row>
    <row r="267">
      <c r="A267" t="inlineStr">
        <is>
          <t>Balance Sheet</t>
        </is>
      </c>
      <c r="B267" t="inlineStr">
        <is>
          <t>E39</t>
        </is>
      </c>
      <c r="C267" t="n">
        <v>39</v>
      </c>
      <c r="D267" t="n">
        <v>5</v>
      </c>
      <c r="E267" t="inlineStr">
        <is>
          <t>Input</t>
        </is>
      </c>
      <c r="F267" t="n">
        <v/>
      </c>
      <c r="G267" t="n">
        <v>142.79</v>
      </c>
      <c r="H267" t="inlineStr"/>
      <c r="I267" t="inlineStr">
        <is>
          <t>_-* #,##0_-;\-* #,##0_-;_-* "-"??_-;_-@_-</t>
        </is>
      </c>
      <c r="J267" t="b">
        <v>0</v>
      </c>
      <c r="K267" t="b">
        <v>0</v>
      </c>
      <c r="L267" t="n">
        <v>11</v>
      </c>
      <c r="M267" t="inlineStr">
        <is>
          <t>FF000000</t>
        </is>
      </c>
      <c r="N267" t="inlineStr">
        <is>
          <t>00000000</t>
        </is>
      </c>
      <c r="O267" t="n">
        <v/>
      </c>
      <c r="P267" t="n">
        <v/>
      </c>
      <c r="R267" t="b">
        <v>1</v>
      </c>
      <c r="S267" t="n">
        <v/>
      </c>
      <c r="T267" t="n">
        <v/>
      </c>
      <c r="U267" t="n">
        <v/>
      </c>
      <c r="V267" t="b">
        <v>0</v>
      </c>
      <c r="W267" t="inlineStr"/>
      <c r="X267" t="n">
        <v/>
      </c>
    </row>
    <row r="268">
      <c r="A268" t="inlineStr">
        <is>
          <t>Balance Sheet</t>
        </is>
      </c>
      <c r="B268" t="inlineStr">
        <is>
          <t>F39</t>
        </is>
      </c>
      <c r="C268" t="n">
        <v>39</v>
      </c>
      <c r="D268" t="n">
        <v>6</v>
      </c>
      <c r="E268" t="inlineStr">
        <is>
          <t>Input</t>
        </is>
      </c>
      <c r="F268" t="n">
        <v/>
      </c>
      <c r="G268" t="n">
        <v>142.79</v>
      </c>
      <c r="H268" t="inlineStr"/>
      <c r="I268" t="inlineStr">
        <is>
          <t>_-* #,##0_-;\-* #,##0_-;_-* "-"??_-;_-@_-</t>
        </is>
      </c>
      <c r="J268" t="b">
        <v>0</v>
      </c>
      <c r="K268" t="b">
        <v>0</v>
      </c>
      <c r="L268" t="n">
        <v>11</v>
      </c>
      <c r="M268" t="inlineStr">
        <is>
          <t>FF000000</t>
        </is>
      </c>
      <c r="N268" t="inlineStr">
        <is>
          <t>00000000</t>
        </is>
      </c>
      <c r="O268" t="n">
        <v/>
      </c>
      <c r="P268" t="n">
        <v/>
      </c>
      <c r="R268" t="b">
        <v>1</v>
      </c>
      <c r="S268" t="n">
        <v/>
      </c>
      <c r="T268" t="n">
        <v/>
      </c>
      <c r="U268" t="n">
        <v/>
      </c>
      <c r="V268" t="b">
        <v>0</v>
      </c>
      <c r="W268" t="inlineStr"/>
      <c r="X268" t="n">
        <v/>
      </c>
    </row>
    <row r="269">
      <c r="A269" t="inlineStr">
        <is>
          <t>Balance Sheet</t>
        </is>
      </c>
      <c r="B269" t="inlineStr">
        <is>
          <t>G39</t>
        </is>
      </c>
      <c r="C269" t="n">
        <v>39</v>
      </c>
      <c r="D269" t="n">
        <v>7</v>
      </c>
      <c r="E269" t="inlineStr">
        <is>
          <t>Input</t>
        </is>
      </c>
      <c r="F269" t="n">
        <v/>
      </c>
      <c r="G269" t="n">
        <v>142.79</v>
      </c>
      <c r="H269" t="inlineStr"/>
      <c r="I269" t="inlineStr">
        <is>
          <t>_-* #,##0_-;\-* #,##0_-;_-* "-"??_-;_-@_-</t>
        </is>
      </c>
      <c r="J269" t="b">
        <v>0</v>
      </c>
      <c r="K269" t="b">
        <v>0</v>
      </c>
      <c r="L269" t="n">
        <v>11</v>
      </c>
      <c r="M269" t="inlineStr">
        <is>
          <t>FF000000</t>
        </is>
      </c>
      <c r="N269" t="inlineStr">
        <is>
          <t>00000000</t>
        </is>
      </c>
      <c r="O269" t="n">
        <v/>
      </c>
      <c r="P269" t="n">
        <v/>
      </c>
      <c r="R269" t="b">
        <v>1</v>
      </c>
      <c r="S269" t="n">
        <v/>
      </c>
      <c r="T269" t="n">
        <v/>
      </c>
      <c r="U269" t="n">
        <v/>
      </c>
      <c r="V269" t="b">
        <v>0</v>
      </c>
      <c r="W269" t="inlineStr"/>
      <c r="X269" t="n">
        <v/>
      </c>
    </row>
    <row r="270">
      <c r="A270" t="inlineStr">
        <is>
          <t>Balance Sheet</t>
        </is>
      </c>
      <c r="B270" t="inlineStr">
        <is>
          <t>H39</t>
        </is>
      </c>
      <c r="C270" t="n">
        <v>39</v>
      </c>
      <c r="D270" t="n">
        <v>8</v>
      </c>
      <c r="E270" t="inlineStr">
        <is>
          <t>Input</t>
        </is>
      </c>
      <c r="F270" t="n">
        <v/>
      </c>
      <c r="G270" t="n">
        <v>142.79</v>
      </c>
      <c r="H270" t="inlineStr"/>
      <c r="I270" t="inlineStr">
        <is>
          <t>_-* #,##0_-;\-* #,##0_-;_-* "-"??_-;_-@_-</t>
        </is>
      </c>
      <c r="J270" t="b">
        <v>0</v>
      </c>
      <c r="K270" t="b">
        <v>0</v>
      </c>
      <c r="L270" t="n">
        <v>11</v>
      </c>
      <c r="M270" t="inlineStr">
        <is>
          <t>FF000000</t>
        </is>
      </c>
      <c r="N270" t="inlineStr">
        <is>
          <t>00000000</t>
        </is>
      </c>
      <c r="O270" t="n">
        <v/>
      </c>
      <c r="P270" t="n">
        <v/>
      </c>
      <c r="R270" t="b">
        <v>1</v>
      </c>
      <c r="S270" t="n">
        <v/>
      </c>
      <c r="T270" t="n">
        <v/>
      </c>
      <c r="U270" t="n">
        <v/>
      </c>
      <c r="V270" t="b">
        <v>0</v>
      </c>
      <c r="W270" t="inlineStr"/>
      <c r="X270" t="n">
        <v/>
      </c>
    </row>
    <row r="271">
      <c r="A271" t="inlineStr">
        <is>
          <t>Balance Sheet</t>
        </is>
      </c>
      <c r="B271" t="inlineStr">
        <is>
          <t>I39</t>
        </is>
      </c>
      <c r="C271" t="n">
        <v>39</v>
      </c>
      <c r="D271" t="n">
        <v>9</v>
      </c>
      <c r="E271" t="inlineStr">
        <is>
          <t>Input</t>
        </is>
      </c>
      <c r="F271" t="n">
        <v/>
      </c>
      <c r="G271" t="n">
        <v>142.79</v>
      </c>
      <c r="H271" t="inlineStr"/>
      <c r="I271" t="inlineStr">
        <is>
          <t>_-* #,##0_-;\-* #,##0_-;_-* "-"??_-;_-@_-</t>
        </is>
      </c>
      <c r="J271" t="b">
        <v>0</v>
      </c>
      <c r="K271" t="b">
        <v>0</v>
      </c>
      <c r="L271" t="n">
        <v>11</v>
      </c>
      <c r="M271" t="inlineStr">
        <is>
          <t>FF000000</t>
        </is>
      </c>
      <c r="N271" t="inlineStr">
        <is>
          <t>00000000</t>
        </is>
      </c>
      <c r="O271" t="n">
        <v/>
      </c>
      <c r="P271" t="n">
        <v/>
      </c>
      <c r="R271" t="b">
        <v>1</v>
      </c>
      <c r="S271" t="n">
        <v/>
      </c>
      <c r="T271" t="n">
        <v/>
      </c>
      <c r="U271" t="n">
        <v/>
      </c>
      <c r="V271" t="b">
        <v>0</v>
      </c>
      <c r="W271" t="inlineStr"/>
      <c r="X271" t="n">
        <v/>
      </c>
    </row>
    <row r="272">
      <c r="A272" t="inlineStr">
        <is>
          <t>Balance Sheet</t>
        </is>
      </c>
      <c r="B272" t="inlineStr">
        <is>
          <t>A40</t>
        </is>
      </c>
      <c r="C272" t="n">
        <v>40</v>
      </c>
      <c r="D272" t="n">
        <v>1</v>
      </c>
      <c r="E272" t="inlineStr">
        <is>
          <t>Input</t>
        </is>
      </c>
      <c r="F272" t="n">
        <v/>
      </c>
      <c r="G272" t="inlineStr">
        <is>
          <t>Deferred tax liabilities (Net)</t>
        </is>
      </c>
      <c r="H272" t="inlineStr"/>
      <c r="I272" t="inlineStr">
        <is>
          <t>General</t>
        </is>
      </c>
      <c r="J272" t="b">
        <v>0</v>
      </c>
      <c r="K272" t="b">
        <v>0</v>
      </c>
      <c r="L272" t="n">
        <v>11</v>
      </c>
      <c r="M272" t="inlineStr">
        <is>
          <t>FF000000</t>
        </is>
      </c>
      <c r="N272" t="inlineStr">
        <is>
          <t>00000000</t>
        </is>
      </c>
      <c r="O272" t="inlineStr">
        <is>
          <t>left</t>
        </is>
      </c>
      <c r="P272" t="n">
        <v/>
      </c>
      <c r="R272" t="b">
        <v>1</v>
      </c>
      <c r="S272" t="n">
        <v/>
      </c>
      <c r="T272" t="n">
        <v/>
      </c>
      <c r="U272" t="n">
        <v/>
      </c>
      <c r="V272" t="b">
        <v>0</v>
      </c>
      <c r="W272" t="inlineStr"/>
      <c r="X272" t="n">
        <v/>
      </c>
    </row>
    <row r="273">
      <c r="A273" t="inlineStr">
        <is>
          <t>Balance Sheet</t>
        </is>
      </c>
      <c r="B273" t="inlineStr">
        <is>
          <t>C40</t>
        </is>
      </c>
      <c r="C273" t="n">
        <v>40</v>
      </c>
      <c r="D273" t="n">
        <v>3</v>
      </c>
      <c r="E273" t="inlineStr">
        <is>
          <t>Input</t>
        </is>
      </c>
      <c r="F273" t="n">
        <v/>
      </c>
      <c r="G273" t="n">
        <v>456.31</v>
      </c>
      <c r="H273" t="inlineStr"/>
      <c r="I273" t="inlineStr">
        <is>
          <t>_-* #,##0_-;\-* #,##0_-;_-* "-"??_-;_-@_-</t>
        </is>
      </c>
      <c r="J273" t="b">
        <v>0</v>
      </c>
      <c r="K273" t="b">
        <v>0</v>
      </c>
      <c r="L273" t="n">
        <v>11</v>
      </c>
      <c r="M273" t="inlineStr">
        <is>
          <t>FF000000</t>
        </is>
      </c>
      <c r="N273" t="inlineStr">
        <is>
          <t>00000000</t>
        </is>
      </c>
      <c r="O273" t="n">
        <v/>
      </c>
      <c r="P273" t="n">
        <v/>
      </c>
      <c r="R273" t="b">
        <v>1</v>
      </c>
      <c r="S273" t="n">
        <v/>
      </c>
      <c r="T273" t="n">
        <v/>
      </c>
      <c r="U273" t="n">
        <v/>
      </c>
      <c r="V273" t="b">
        <v>0</v>
      </c>
      <c r="W273" t="inlineStr"/>
      <c r="X273" t="n">
        <v/>
      </c>
    </row>
    <row r="274">
      <c r="A274" t="inlineStr">
        <is>
          <t>Balance Sheet</t>
        </is>
      </c>
      <c r="B274" t="inlineStr">
        <is>
          <t>D40</t>
        </is>
      </c>
      <c r="C274" t="n">
        <v>40</v>
      </c>
      <c r="D274" t="n">
        <v>4</v>
      </c>
      <c r="E274" t="inlineStr">
        <is>
          <t>Input</t>
        </is>
      </c>
      <c r="F274" t="n">
        <v/>
      </c>
      <c r="G274" t="n">
        <v>551.5599999999999</v>
      </c>
      <c r="H274" t="inlineStr"/>
      <c r="I274" t="inlineStr">
        <is>
          <t>_-* #,##0_-;\-* #,##0_-;_-* "-"??_-;_-@_-</t>
        </is>
      </c>
      <c r="J274" t="b">
        <v>0</v>
      </c>
      <c r="K274" t="b">
        <v>0</v>
      </c>
      <c r="L274" t="n">
        <v>11</v>
      </c>
      <c r="M274" t="inlineStr">
        <is>
          <t>FF000000</t>
        </is>
      </c>
      <c r="N274" t="inlineStr">
        <is>
          <t>00000000</t>
        </is>
      </c>
      <c r="O274" t="n">
        <v/>
      </c>
      <c r="P274" t="n">
        <v/>
      </c>
      <c r="R274" t="b">
        <v>1</v>
      </c>
      <c r="S274" t="n">
        <v/>
      </c>
      <c r="T274" t="n">
        <v/>
      </c>
      <c r="U274" t="n">
        <v/>
      </c>
      <c r="V274" t="b">
        <v>0</v>
      </c>
      <c r="W274" t="inlineStr"/>
      <c r="X274" t="n">
        <v/>
      </c>
    </row>
    <row r="275">
      <c r="A275" t="inlineStr">
        <is>
          <t>Balance Sheet</t>
        </is>
      </c>
      <c r="B275" t="inlineStr">
        <is>
          <t>E40</t>
        </is>
      </c>
      <c r="C275" t="n">
        <v>40</v>
      </c>
      <c r="D275" t="n">
        <v>5</v>
      </c>
      <c r="E275" t="inlineStr">
        <is>
          <t>Input</t>
        </is>
      </c>
      <c r="F275" t="n">
        <v/>
      </c>
      <c r="G275" t="n">
        <v>551.5599999999999</v>
      </c>
      <c r="H275" t="inlineStr"/>
      <c r="I275" t="inlineStr">
        <is>
          <t>_-* #,##0_-;\-* #,##0_-;_-* "-"??_-;_-@_-</t>
        </is>
      </c>
      <c r="J275" t="b">
        <v>0</v>
      </c>
      <c r="K275" t="b">
        <v>0</v>
      </c>
      <c r="L275" t="n">
        <v>11</v>
      </c>
      <c r="M275" t="inlineStr">
        <is>
          <t>FF000000</t>
        </is>
      </c>
      <c r="N275" t="inlineStr">
        <is>
          <t>00000000</t>
        </is>
      </c>
      <c r="O275" t="n">
        <v/>
      </c>
      <c r="P275" t="n">
        <v/>
      </c>
      <c r="R275" t="b">
        <v>1</v>
      </c>
      <c r="S275" t="n">
        <v/>
      </c>
      <c r="T275" t="n">
        <v/>
      </c>
      <c r="U275" t="n">
        <v/>
      </c>
      <c r="V275" t="b">
        <v>0</v>
      </c>
      <c r="W275" t="inlineStr"/>
      <c r="X275" t="n">
        <v/>
      </c>
    </row>
    <row r="276">
      <c r="A276" t="inlineStr">
        <is>
          <t>Balance Sheet</t>
        </is>
      </c>
      <c r="B276" t="inlineStr">
        <is>
          <t>F40</t>
        </is>
      </c>
      <c r="C276" t="n">
        <v>40</v>
      </c>
      <c r="D276" t="n">
        <v>6</v>
      </c>
      <c r="E276" t="inlineStr">
        <is>
          <t>Input</t>
        </is>
      </c>
      <c r="F276" t="n">
        <v/>
      </c>
      <c r="G276" t="n">
        <v>551.5599999999999</v>
      </c>
      <c r="H276" t="inlineStr"/>
      <c r="I276" t="inlineStr">
        <is>
          <t>_-* #,##0_-;\-* #,##0_-;_-* "-"??_-;_-@_-</t>
        </is>
      </c>
      <c r="J276" t="b">
        <v>0</v>
      </c>
      <c r="K276" t="b">
        <v>0</v>
      </c>
      <c r="L276" t="n">
        <v>11</v>
      </c>
      <c r="M276" t="inlineStr">
        <is>
          <t>FF000000</t>
        </is>
      </c>
      <c r="N276" t="inlineStr">
        <is>
          <t>00000000</t>
        </is>
      </c>
      <c r="O276" t="n">
        <v/>
      </c>
      <c r="P276" t="n">
        <v/>
      </c>
      <c r="R276" t="b">
        <v>1</v>
      </c>
      <c r="S276" t="n">
        <v/>
      </c>
      <c r="T276" t="n">
        <v/>
      </c>
      <c r="U276" t="n">
        <v/>
      </c>
      <c r="V276" t="b">
        <v>0</v>
      </c>
      <c r="W276" t="inlineStr"/>
      <c r="X276" t="n">
        <v/>
      </c>
    </row>
    <row r="277">
      <c r="A277" t="inlineStr">
        <is>
          <t>Balance Sheet</t>
        </is>
      </c>
      <c r="B277" t="inlineStr">
        <is>
          <t>G40</t>
        </is>
      </c>
      <c r="C277" t="n">
        <v>40</v>
      </c>
      <c r="D277" t="n">
        <v>7</v>
      </c>
      <c r="E277" t="inlineStr">
        <is>
          <t>Input</t>
        </is>
      </c>
      <c r="F277" t="n">
        <v/>
      </c>
      <c r="G277" t="n">
        <v>551.5599999999999</v>
      </c>
      <c r="H277" t="inlineStr"/>
      <c r="I277" t="inlineStr">
        <is>
          <t>_-* #,##0_-;\-* #,##0_-;_-* "-"??_-;_-@_-</t>
        </is>
      </c>
      <c r="J277" t="b">
        <v>0</v>
      </c>
      <c r="K277" t="b">
        <v>0</v>
      </c>
      <c r="L277" t="n">
        <v>11</v>
      </c>
      <c r="M277" t="inlineStr">
        <is>
          <t>FF000000</t>
        </is>
      </c>
      <c r="N277" t="inlineStr">
        <is>
          <t>00000000</t>
        </is>
      </c>
      <c r="O277" t="n">
        <v/>
      </c>
      <c r="P277" t="n">
        <v/>
      </c>
      <c r="R277" t="b">
        <v>1</v>
      </c>
      <c r="S277" t="n">
        <v/>
      </c>
      <c r="T277" t="n">
        <v/>
      </c>
      <c r="U277" t="n">
        <v/>
      </c>
      <c r="V277" t="b">
        <v>0</v>
      </c>
      <c r="W277" t="inlineStr"/>
      <c r="X277" t="n">
        <v/>
      </c>
    </row>
    <row r="278">
      <c r="A278" t="inlineStr">
        <is>
          <t>Balance Sheet</t>
        </is>
      </c>
      <c r="B278" t="inlineStr">
        <is>
          <t>H40</t>
        </is>
      </c>
      <c r="C278" t="n">
        <v>40</v>
      </c>
      <c r="D278" t="n">
        <v>8</v>
      </c>
      <c r="E278" t="inlineStr">
        <is>
          <t>Input</t>
        </is>
      </c>
      <c r="F278" t="n">
        <v/>
      </c>
      <c r="G278" t="n">
        <v>551.5599999999999</v>
      </c>
      <c r="H278" t="inlineStr"/>
      <c r="I278" t="inlineStr">
        <is>
          <t>_-* #,##0_-;\-* #,##0_-;_-* "-"??_-;_-@_-</t>
        </is>
      </c>
      <c r="J278" t="b">
        <v>0</v>
      </c>
      <c r="K278" t="b">
        <v>0</v>
      </c>
      <c r="L278" t="n">
        <v>11</v>
      </c>
      <c r="M278" t="inlineStr">
        <is>
          <t>FF000000</t>
        </is>
      </c>
      <c r="N278" t="inlineStr">
        <is>
          <t>00000000</t>
        </is>
      </c>
      <c r="O278" t="n">
        <v/>
      </c>
      <c r="P278" t="n">
        <v/>
      </c>
      <c r="R278" t="b">
        <v>1</v>
      </c>
      <c r="S278" t="n">
        <v/>
      </c>
      <c r="T278" t="n">
        <v/>
      </c>
      <c r="U278" t="n">
        <v/>
      </c>
      <c r="V278" t="b">
        <v>0</v>
      </c>
      <c r="W278" t="inlineStr"/>
      <c r="X278" t="n">
        <v/>
      </c>
    </row>
    <row r="279">
      <c r="A279" t="inlineStr">
        <is>
          <t>Balance Sheet</t>
        </is>
      </c>
      <c r="B279" t="inlineStr">
        <is>
          <t>I40</t>
        </is>
      </c>
      <c r="C279" t="n">
        <v>40</v>
      </c>
      <c r="D279" t="n">
        <v>9</v>
      </c>
      <c r="E279" t="inlineStr">
        <is>
          <t>Input</t>
        </is>
      </c>
      <c r="F279" t="n">
        <v/>
      </c>
      <c r="G279" t="n">
        <v>551.5599999999999</v>
      </c>
      <c r="H279" t="inlineStr"/>
      <c r="I279" t="inlineStr">
        <is>
          <t>_-* #,##0_-;\-* #,##0_-;_-* "-"??_-;_-@_-</t>
        </is>
      </c>
      <c r="J279" t="b">
        <v>0</v>
      </c>
      <c r="K279" t="b">
        <v>0</v>
      </c>
      <c r="L279" t="n">
        <v>11</v>
      </c>
      <c r="M279" t="inlineStr">
        <is>
          <t>FF000000</t>
        </is>
      </c>
      <c r="N279" t="inlineStr">
        <is>
          <t>00000000</t>
        </is>
      </c>
      <c r="O279" t="n">
        <v/>
      </c>
      <c r="P279" t="n">
        <v/>
      </c>
      <c r="R279" t="b">
        <v>1</v>
      </c>
      <c r="S279" t="n">
        <v/>
      </c>
      <c r="T279" t="n">
        <v/>
      </c>
      <c r="U279" t="n">
        <v/>
      </c>
      <c r="V279" t="b">
        <v>0</v>
      </c>
      <c r="W279" t="inlineStr"/>
      <c r="X279" t="n">
        <v/>
      </c>
    </row>
    <row r="280">
      <c r="A280" t="inlineStr">
        <is>
          <t>Balance Sheet</t>
        </is>
      </c>
      <c r="B280" t="inlineStr">
        <is>
          <t>A41</t>
        </is>
      </c>
      <c r="C280" t="n">
        <v>41</v>
      </c>
      <c r="D280" t="n">
        <v>1</v>
      </c>
      <c r="E280" t="inlineStr">
        <is>
          <t>Input</t>
        </is>
      </c>
      <c r="F280" t="n">
        <v/>
      </c>
      <c r="G280" t="inlineStr">
        <is>
          <t>Total Non-current liabilities</t>
        </is>
      </c>
      <c r="H280" t="inlineStr"/>
      <c r="I280" t="inlineStr">
        <is>
          <t>General</t>
        </is>
      </c>
      <c r="J280" t="b">
        <v>1</v>
      </c>
      <c r="K280" t="b">
        <v>0</v>
      </c>
      <c r="L280" t="n">
        <v>11</v>
      </c>
      <c r="M280" t="inlineStr">
        <is>
          <t>FF000000</t>
        </is>
      </c>
      <c r="N280" t="inlineStr">
        <is>
          <t>00000000</t>
        </is>
      </c>
      <c r="O280" t="inlineStr">
        <is>
          <t>left</t>
        </is>
      </c>
      <c r="P280" t="n">
        <v/>
      </c>
      <c r="R280" t="b">
        <v>1</v>
      </c>
      <c r="S280" t="n">
        <v/>
      </c>
      <c r="T280" t="n">
        <v/>
      </c>
      <c r="U280" t="n">
        <v/>
      </c>
      <c r="V280" t="b">
        <v>0</v>
      </c>
      <c r="W280" t="inlineStr"/>
      <c r="X280" t="n">
        <v/>
      </c>
    </row>
    <row r="281">
      <c r="A281" t="inlineStr">
        <is>
          <t>Balance Sheet</t>
        </is>
      </c>
      <c r="B281" t="inlineStr">
        <is>
          <t>B41</t>
        </is>
      </c>
      <c r="C281" t="n">
        <v>41</v>
      </c>
      <c r="D281" t="n">
        <v>2</v>
      </c>
      <c r="E281" t="inlineStr">
        <is>
          <t>Input</t>
        </is>
      </c>
      <c r="F281" t="n">
        <v/>
      </c>
      <c r="H281" t="inlineStr"/>
      <c r="I281" t="inlineStr">
        <is>
          <t>General</t>
        </is>
      </c>
      <c r="J281" t="b">
        <v>1</v>
      </c>
      <c r="K281" t="b">
        <v>0</v>
      </c>
      <c r="L281" t="n">
        <v>11</v>
      </c>
      <c r="M281" t="inlineStr">
        <is>
          <t>FF000000</t>
        </is>
      </c>
      <c r="N281" t="inlineStr">
        <is>
          <t>00000000</t>
        </is>
      </c>
      <c r="O281" t="n">
        <v/>
      </c>
      <c r="P281" t="n">
        <v/>
      </c>
      <c r="R281" t="b">
        <v>0</v>
      </c>
      <c r="S281" t="n">
        <v/>
      </c>
      <c r="T281" t="n">
        <v/>
      </c>
      <c r="U281" t="n">
        <v/>
      </c>
      <c r="V281" t="b">
        <v>0</v>
      </c>
      <c r="W281" t="inlineStr"/>
      <c r="X281" t="n">
        <v/>
      </c>
    </row>
    <row r="282">
      <c r="A282" t="inlineStr">
        <is>
          <t>Balance Sheet</t>
        </is>
      </c>
      <c r="B282" t="inlineStr">
        <is>
          <t>C41</t>
        </is>
      </c>
      <c r="C282" t="n">
        <v>41</v>
      </c>
      <c r="D282" t="n">
        <v>3</v>
      </c>
      <c r="E282" t="inlineStr">
        <is>
          <t>Calculation</t>
        </is>
      </c>
      <c r="F282" t="inlineStr">
        <is>
          <t>'=SUM(C39:C40)</t>
        </is>
      </c>
      <c r="G282" t="n">
        <v>597.6700000000001</v>
      </c>
      <c r="H282" t="inlineStr"/>
      <c r="I282" t="inlineStr">
        <is>
          <t>_-* #,##0_-;\-* #,##0_-;_-* "-"??_-;_-@_-</t>
        </is>
      </c>
      <c r="J282" t="b">
        <v>1</v>
      </c>
      <c r="K282" t="b">
        <v>0</v>
      </c>
      <c r="L282" t="n">
        <v>11</v>
      </c>
      <c r="M282" t="inlineStr">
        <is>
          <t>FF000000</t>
        </is>
      </c>
      <c r="N282" t="inlineStr">
        <is>
          <t>00000000</t>
        </is>
      </c>
      <c r="O282" t="n">
        <v/>
      </c>
      <c r="P282" t="n">
        <v/>
      </c>
      <c r="R282" t="b">
        <v>1</v>
      </c>
      <c r="S282" t="inlineStr">
        <is>
          <t>G000154</t>
        </is>
      </c>
      <c r="T282" t="inlineStr">
        <is>
          <t>Horizontal</t>
        </is>
      </c>
      <c r="U282" t="n">
        <v>7</v>
      </c>
      <c r="V282" t="b">
        <v>1</v>
      </c>
      <c r="W282" t="inlineStr">
        <is>
          <t>Balance Sheet!C41:I41</t>
        </is>
      </c>
      <c r="X282">
        <f>SUM(R[-2]C[0]:R[-1]C[0])</f>
        <v/>
      </c>
    </row>
    <row r="283">
      <c r="A283" t="inlineStr">
        <is>
          <t>Balance Sheet</t>
        </is>
      </c>
      <c r="B283" t="inlineStr">
        <is>
          <t>D41</t>
        </is>
      </c>
      <c r="C283" t="n">
        <v>41</v>
      </c>
      <c r="D283" t="n">
        <v>4</v>
      </c>
      <c r="E283" t="inlineStr">
        <is>
          <t>Calculation</t>
        </is>
      </c>
      <c r="F283" t="inlineStr">
        <is>
          <t>'=SUM(D39:D40)</t>
        </is>
      </c>
      <c r="G283" t="n">
        <v>694.3499999999999</v>
      </c>
      <c r="H283" t="inlineStr"/>
      <c r="I283" t="inlineStr">
        <is>
          <t>_-* #,##0_-;\-* #,##0_-;_-* "-"??_-;_-@_-</t>
        </is>
      </c>
      <c r="J283" t="b">
        <v>1</v>
      </c>
      <c r="K283" t="b">
        <v>0</v>
      </c>
      <c r="L283" t="n">
        <v>11</v>
      </c>
      <c r="M283" t="inlineStr">
        <is>
          <t>FF000000</t>
        </is>
      </c>
      <c r="N283" t="inlineStr">
        <is>
          <t>00000000</t>
        </is>
      </c>
      <c r="O283" t="n">
        <v/>
      </c>
      <c r="P283" t="n">
        <v/>
      </c>
      <c r="R283" t="b">
        <v>1</v>
      </c>
      <c r="S283" t="inlineStr">
        <is>
          <t>G000154</t>
        </is>
      </c>
      <c r="T283" t="inlineStr">
        <is>
          <t>Horizontal</t>
        </is>
      </c>
      <c r="U283" t="n">
        <v>7</v>
      </c>
      <c r="V283" t="b">
        <v>1</v>
      </c>
      <c r="W283" t="inlineStr">
        <is>
          <t>Balance Sheet!C41:I41</t>
        </is>
      </c>
      <c r="X283">
        <f>SUM(R[-2]C[0]:R[-1]C[0])</f>
        <v/>
      </c>
    </row>
    <row r="284">
      <c r="A284" t="inlineStr">
        <is>
          <t>Balance Sheet</t>
        </is>
      </c>
      <c r="B284" t="inlineStr">
        <is>
          <t>E41</t>
        </is>
      </c>
      <c r="C284" t="n">
        <v>41</v>
      </c>
      <c r="D284" t="n">
        <v>5</v>
      </c>
      <c r="E284" t="inlineStr">
        <is>
          <t>Calculation</t>
        </is>
      </c>
      <c r="F284" t="inlineStr">
        <is>
          <t>'=SUM(E39:E40)</t>
        </is>
      </c>
      <c r="G284" t="n">
        <v>694.3499999999999</v>
      </c>
      <c r="H284" t="inlineStr"/>
      <c r="I284" t="inlineStr">
        <is>
          <t>_-* #,##0_-;\-* #,##0_-;_-* "-"??_-;_-@_-</t>
        </is>
      </c>
      <c r="J284" t="b">
        <v>1</v>
      </c>
      <c r="K284" t="b">
        <v>0</v>
      </c>
      <c r="L284" t="n">
        <v>11</v>
      </c>
      <c r="M284" t="inlineStr">
        <is>
          <t>FF000000</t>
        </is>
      </c>
      <c r="N284" t="inlineStr">
        <is>
          <t>00000000</t>
        </is>
      </c>
      <c r="O284" t="n">
        <v/>
      </c>
      <c r="P284" t="n">
        <v/>
      </c>
      <c r="R284" t="b">
        <v>1</v>
      </c>
      <c r="S284" t="inlineStr">
        <is>
          <t>G000154</t>
        </is>
      </c>
      <c r="T284" t="inlineStr">
        <is>
          <t>Horizontal</t>
        </is>
      </c>
      <c r="U284" t="n">
        <v>7</v>
      </c>
      <c r="V284" t="b">
        <v>1</v>
      </c>
      <c r="W284" t="inlineStr">
        <is>
          <t>Balance Sheet!C41:I41</t>
        </is>
      </c>
      <c r="X284">
        <f>SUM(R[-2]C[0]:R[-1]C[0])</f>
        <v/>
      </c>
    </row>
    <row r="285">
      <c r="A285" t="inlineStr">
        <is>
          <t>Balance Sheet</t>
        </is>
      </c>
      <c r="B285" t="inlineStr">
        <is>
          <t>F41</t>
        </is>
      </c>
      <c r="C285" t="n">
        <v>41</v>
      </c>
      <c r="D285" t="n">
        <v>6</v>
      </c>
      <c r="E285" t="inlineStr">
        <is>
          <t>Calculation</t>
        </is>
      </c>
      <c r="F285" t="inlineStr">
        <is>
          <t>'=SUM(F39:F40)</t>
        </is>
      </c>
      <c r="G285" t="n">
        <v>694.3499999999999</v>
      </c>
      <c r="H285" t="inlineStr"/>
      <c r="I285" t="inlineStr">
        <is>
          <t>_-* #,##0_-;\-* #,##0_-;_-* "-"??_-;_-@_-</t>
        </is>
      </c>
      <c r="J285" t="b">
        <v>1</v>
      </c>
      <c r="K285" t="b">
        <v>0</v>
      </c>
      <c r="L285" t="n">
        <v>11</v>
      </c>
      <c r="M285" t="inlineStr">
        <is>
          <t>FF000000</t>
        </is>
      </c>
      <c r="N285" t="inlineStr">
        <is>
          <t>00000000</t>
        </is>
      </c>
      <c r="O285" t="n">
        <v/>
      </c>
      <c r="P285" t="n">
        <v/>
      </c>
      <c r="R285" t="b">
        <v>1</v>
      </c>
      <c r="S285" t="inlineStr">
        <is>
          <t>G000154</t>
        </is>
      </c>
      <c r="T285" t="inlineStr">
        <is>
          <t>Horizontal</t>
        </is>
      </c>
      <c r="U285" t="n">
        <v>7</v>
      </c>
      <c r="V285" t="b">
        <v>1</v>
      </c>
      <c r="W285" t="inlineStr">
        <is>
          <t>Balance Sheet!C41:I41</t>
        </is>
      </c>
      <c r="X285">
        <f>SUM(R[-2]C[0]:R[-1]C[0])</f>
        <v/>
      </c>
    </row>
    <row r="286">
      <c r="A286" t="inlineStr">
        <is>
          <t>Balance Sheet</t>
        </is>
      </c>
      <c r="B286" t="inlineStr">
        <is>
          <t>G41</t>
        </is>
      </c>
      <c r="C286" t="n">
        <v>41</v>
      </c>
      <c r="D286" t="n">
        <v>7</v>
      </c>
      <c r="E286" t="inlineStr">
        <is>
          <t>Calculation</t>
        </is>
      </c>
      <c r="F286" t="inlineStr">
        <is>
          <t>'=SUM(G39:G40)</t>
        </is>
      </c>
      <c r="G286" t="n">
        <v>694.3499999999999</v>
      </c>
      <c r="H286" t="inlineStr"/>
      <c r="I286" t="inlineStr">
        <is>
          <t>_-* #,##0_-;\-* #,##0_-;_-* "-"??_-;_-@_-</t>
        </is>
      </c>
      <c r="J286" t="b">
        <v>1</v>
      </c>
      <c r="K286" t="b">
        <v>0</v>
      </c>
      <c r="L286" t="n">
        <v>11</v>
      </c>
      <c r="M286" t="inlineStr">
        <is>
          <t>FF000000</t>
        </is>
      </c>
      <c r="N286" t="inlineStr">
        <is>
          <t>00000000</t>
        </is>
      </c>
      <c r="O286" t="n">
        <v/>
      </c>
      <c r="P286" t="n">
        <v/>
      </c>
      <c r="R286" t="b">
        <v>1</v>
      </c>
      <c r="S286" t="inlineStr">
        <is>
          <t>G000154</t>
        </is>
      </c>
      <c r="T286" t="inlineStr">
        <is>
          <t>Horizontal</t>
        </is>
      </c>
      <c r="U286" t="n">
        <v>7</v>
      </c>
      <c r="V286" t="b">
        <v>1</v>
      </c>
      <c r="W286" t="inlineStr">
        <is>
          <t>Balance Sheet!C41:I41</t>
        </is>
      </c>
      <c r="X286">
        <f>SUM(R[-2]C[0]:R[-1]C[0])</f>
        <v/>
      </c>
    </row>
    <row r="287">
      <c r="A287" t="inlineStr">
        <is>
          <t>Balance Sheet</t>
        </is>
      </c>
      <c r="B287" t="inlineStr">
        <is>
          <t>H41</t>
        </is>
      </c>
      <c r="C287" t="n">
        <v>41</v>
      </c>
      <c r="D287" t="n">
        <v>8</v>
      </c>
      <c r="E287" t="inlineStr">
        <is>
          <t>Calculation</t>
        </is>
      </c>
      <c r="F287" t="inlineStr">
        <is>
          <t>'=SUM(H39:H40)</t>
        </is>
      </c>
      <c r="G287" t="n">
        <v>694.3499999999999</v>
      </c>
      <c r="H287" t="inlineStr"/>
      <c r="I287" t="inlineStr">
        <is>
          <t>_-* #,##0_-;\-* #,##0_-;_-* "-"??_-;_-@_-</t>
        </is>
      </c>
      <c r="J287" t="b">
        <v>1</v>
      </c>
      <c r="K287" t="b">
        <v>0</v>
      </c>
      <c r="L287" t="n">
        <v>11</v>
      </c>
      <c r="M287" t="inlineStr">
        <is>
          <t>FF000000</t>
        </is>
      </c>
      <c r="N287" t="inlineStr">
        <is>
          <t>00000000</t>
        </is>
      </c>
      <c r="O287" t="n">
        <v/>
      </c>
      <c r="P287" t="n">
        <v/>
      </c>
      <c r="R287" t="b">
        <v>1</v>
      </c>
      <c r="S287" t="inlineStr">
        <is>
          <t>G000154</t>
        </is>
      </c>
      <c r="T287" t="inlineStr">
        <is>
          <t>Horizontal</t>
        </is>
      </c>
      <c r="U287" t="n">
        <v>7</v>
      </c>
      <c r="V287" t="b">
        <v>1</v>
      </c>
      <c r="W287" t="inlineStr">
        <is>
          <t>Balance Sheet!C41:I41</t>
        </is>
      </c>
      <c r="X287">
        <f>SUM(R[-2]C[0]:R[-1]C[0])</f>
        <v/>
      </c>
    </row>
    <row r="288">
      <c r="A288" t="inlineStr">
        <is>
          <t>Balance Sheet</t>
        </is>
      </c>
      <c r="B288" t="inlineStr">
        <is>
          <t>I41</t>
        </is>
      </c>
      <c r="C288" t="n">
        <v>41</v>
      </c>
      <c r="D288" t="n">
        <v>9</v>
      </c>
      <c r="E288" t="inlineStr">
        <is>
          <t>Calculation</t>
        </is>
      </c>
      <c r="F288" t="inlineStr">
        <is>
          <t>'=SUM(I39:I40)</t>
        </is>
      </c>
      <c r="G288" t="n">
        <v>694.3499999999999</v>
      </c>
      <c r="H288" t="inlineStr"/>
      <c r="I288" t="inlineStr">
        <is>
          <t>_-* #,##0_-;\-* #,##0_-;_-* "-"??_-;_-@_-</t>
        </is>
      </c>
      <c r="J288" t="b">
        <v>1</v>
      </c>
      <c r="K288" t="b">
        <v>0</v>
      </c>
      <c r="L288" t="n">
        <v>11</v>
      </c>
      <c r="M288" t="inlineStr">
        <is>
          <t>FF000000</t>
        </is>
      </c>
      <c r="N288" t="inlineStr">
        <is>
          <t>00000000</t>
        </is>
      </c>
      <c r="O288" t="n">
        <v/>
      </c>
      <c r="P288" t="n">
        <v/>
      </c>
      <c r="R288" t="b">
        <v>1</v>
      </c>
      <c r="S288" t="inlineStr">
        <is>
          <t>G000154</t>
        </is>
      </c>
      <c r="T288" t="inlineStr">
        <is>
          <t>Horizontal</t>
        </is>
      </c>
      <c r="U288" t="n">
        <v>7</v>
      </c>
      <c r="V288" t="b">
        <v>1</v>
      </c>
      <c r="W288" t="inlineStr">
        <is>
          <t>Balance Sheet!C41:I41</t>
        </is>
      </c>
      <c r="X288">
        <f>SUM(R[-2]C[0]:R[-1]C[0])</f>
        <v/>
      </c>
    </row>
    <row r="289">
      <c r="A289" t="inlineStr">
        <is>
          <t>Balance Sheet</t>
        </is>
      </c>
      <c r="B289" t="inlineStr">
        <is>
          <t>A42</t>
        </is>
      </c>
      <c r="C289" t="n">
        <v>42</v>
      </c>
      <c r="D289" t="n">
        <v>1</v>
      </c>
      <c r="E289" t="inlineStr">
        <is>
          <t>Input</t>
        </is>
      </c>
      <c r="F289" t="n">
        <v/>
      </c>
      <c r="G289" t="inlineStr">
        <is>
          <t>Current liabilities</t>
        </is>
      </c>
      <c r="H289" t="inlineStr"/>
      <c r="I289" t="inlineStr">
        <is>
          <t>General</t>
        </is>
      </c>
      <c r="J289" t="b">
        <v>0</v>
      </c>
      <c r="K289" t="b">
        <v>0</v>
      </c>
      <c r="L289" t="n">
        <v>11</v>
      </c>
      <c r="M289" t="inlineStr">
        <is>
          <t>FF000000</t>
        </is>
      </c>
      <c r="N289" t="inlineStr">
        <is>
          <t>00000000</t>
        </is>
      </c>
      <c r="O289" t="inlineStr">
        <is>
          <t>left</t>
        </is>
      </c>
      <c r="P289" t="n">
        <v/>
      </c>
      <c r="R289" t="b">
        <v>1</v>
      </c>
      <c r="S289" t="n">
        <v/>
      </c>
      <c r="T289" t="n">
        <v/>
      </c>
      <c r="U289" t="n">
        <v/>
      </c>
      <c r="V289" t="b">
        <v>0</v>
      </c>
      <c r="W289" t="inlineStr"/>
      <c r="X289" t="n">
        <v/>
      </c>
    </row>
    <row r="290">
      <c r="A290" t="inlineStr">
        <is>
          <t>Balance Sheet</t>
        </is>
      </c>
      <c r="B290" t="inlineStr">
        <is>
          <t>C42</t>
        </is>
      </c>
      <c r="C290" t="n">
        <v>42</v>
      </c>
      <c r="D290" t="n">
        <v>3</v>
      </c>
      <c r="E290" t="inlineStr">
        <is>
          <t>Input</t>
        </is>
      </c>
      <c r="F290" t="n">
        <v/>
      </c>
      <c r="H290" t="inlineStr"/>
      <c r="I290" t="inlineStr">
        <is>
          <t>_-* #,##0_-;\-* #,##0_-;_-* "-"??_-;_-@_-</t>
        </is>
      </c>
      <c r="J290" t="b">
        <v>0</v>
      </c>
      <c r="K290" t="b">
        <v>0</v>
      </c>
      <c r="L290" t="n">
        <v>11</v>
      </c>
      <c r="M290" t="inlineStr">
        <is>
          <t>FF000000</t>
        </is>
      </c>
      <c r="N290" t="inlineStr">
        <is>
          <t>00000000</t>
        </is>
      </c>
      <c r="O290" t="n">
        <v/>
      </c>
      <c r="P290" t="n">
        <v/>
      </c>
      <c r="R290" t="b">
        <v>0</v>
      </c>
      <c r="S290" t="n">
        <v/>
      </c>
      <c r="T290" t="n">
        <v/>
      </c>
      <c r="U290" t="n">
        <v/>
      </c>
      <c r="V290" t="b">
        <v>0</v>
      </c>
      <c r="W290" t="inlineStr"/>
      <c r="X290" t="n">
        <v/>
      </c>
    </row>
    <row r="291">
      <c r="A291" t="inlineStr">
        <is>
          <t>Balance Sheet</t>
        </is>
      </c>
      <c r="B291" t="inlineStr">
        <is>
          <t>D42</t>
        </is>
      </c>
      <c r="C291" t="n">
        <v>42</v>
      </c>
      <c r="D291" t="n">
        <v>4</v>
      </c>
      <c r="E291" t="inlineStr">
        <is>
          <t>Input</t>
        </is>
      </c>
      <c r="F291" t="n">
        <v/>
      </c>
      <c r="H291" t="inlineStr"/>
      <c r="I291" t="inlineStr">
        <is>
          <t>_-* #,##0_-;\-* #,##0_-;_-* "-"??_-;_-@_-</t>
        </is>
      </c>
      <c r="J291" t="b">
        <v>0</v>
      </c>
      <c r="K291" t="b">
        <v>0</v>
      </c>
      <c r="L291" t="n">
        <v>11</v>
      </c>
      <c r="M291" t="inlineStr">
        <is>
          <t>FF000000</t>
        </is>
      </c>
      <c r="N291" t="inlineStr">
        <is>
          <t>00000000</t>
        </is>
      </c>
      <c r="O291" t="n">
        <v/>
      </c>
      <c r="P291" t="n">
        <v/>
      </c>
      <c r="R291" t="b">
        <v>0</v>
      </c>
      <c r="S291" t="n">
        <v/>
      </c>
      <c r="T291" t="n">
        <v/>
      </c>
      <c r="U291" t="n">
        <v/>
      </c>
      <c r="V291" t="b">
        <v>0</v>
      </c>
      <c r="W291" t="inlineStr"/>
      <c r="X291" t="n">
        <v/>
      </c>
    </row>
    <row r="292">
      <c r="A292" t="inlineStr">
        <is>
          <t>Balance Sheet</t>
        </is>
      </c>
      <c r="B292" t="inlineStr">
        <is>
          <t>A43</t>
        </is>
      </c>
      <c r="C292" t="n">
        <v>43</v>
      </c>
      <c r="D292" t="n">
        <v>1</v>
      </c>
      <c r="E292" t="inlineStr">
        <is>
          <t>Input</t>
        </is>
      </c>
      <c r="F292" t="n">
        <v/>
      </c>
      <c r="G292" t="inlineStr">
        <is>
          <t>Financial Liabilities</t>
        </is>
      </c>
      <c r="H292" t="inlineStr"/>
      <c r="I292" t="inlineStr">
        <is>
          <t>General</t>
        </is>
      </c>
      <c r="J292" t="b">
        <v>0</v>
      </c>
      <c r="K292" t="b">
        <v>0</v>
      </c>
      <c r="L292" t="n">
        <v>11</v>
      </c>
      <c r="M292" t="inlineStr">
        <is>
          <t>FF000000</t>
        </is>
      </c>
      <c r="N292" t="inlineStr">
        <is>
          <t>00000000</t>
        </is>
      </c>
      <c r="O292" t="inlineStr">
        <is>
          <t>left</t>
        </is>
      </c>
      <c r="P292" t="n">
        <v/>
      </c>
      <c r="R292" t="b">
        <v>1</v>
      </c>
      <c r="S292" t="n">
        <v/>
      </c>
      <c r="T292" t="n">
        <v/>
      </c>
      <c r="U292" t="n">
        <v/>
      </c>
      <c r="V292" t="b">
        <v>0</v>
      </c>
      <c r="W292" t="inlineStr"/>
      <c r="X292" t="n">
        <v/>
      </c>
    </row>
    <row r="293">
      <c r="A293" t="inlineStr">
        <is>
          <t>Balance Sheet</t>
        </is>
      </c>
      <c r="B293" t="inlineStr">
        <is>
          <t>C43</t>
        </is>
      </c>
      <c r="C293" t="n">
        <v>43</v>
      </c>
      <c r="D293" t="n">
        <v>3</v>
      </c>
      <c r="E293" t="inlineStr">
        <is>
          <t>Input</t>
        </is>
      </c>
      <c r="F293" t="n">
        <v/>
      </c>
      <c r="H293" t="inlineStr"/>
      <c r="I293" t="inlineStr">
        <is>
          <t>_-* #,##0_-;\-* #,##0_-;_-* "-"??_-;_-@_-</t>
        </is>
      </c>
      <c r="J293" t="b">
        <v>0</v>
      </c>
      <c r="K293" t="b">
        <v>0</v>
      </c>
      <c r="L293" t="n">
        <v>11</v>
      </c>
      <c r="M293" t="inlineStr">
        <is>
          <t>FF000000</t>
        </is>
      </c>
      <c r="N293" t="inlineStr">
        <is>
          <t>00000000</t>
        </is>
      </c>
      <c r="O293" t="n">
        <v/>
      </c>
      <c r="P293" t="n">
        <v/>
      </c>
      <c r="R293" t="b">
        <v>0</v>
      </c>
      <c r="S293" t="n">
        <v/>
      </c>
      <c r="T293" t="n">
        <v/>
      </c>
      <c r="U293" t="n">
        <v/>
      </c>
      <c r="V293" t="b">
        <v>0</v>
      </c>
      <c r="W293" t="inlineStr"/>
      <c r="X293" t="n">
        <v/>
      </c>
    </row>
    <row r="294">
      <c r="A294" t="inlineStr">
        <is>
          <t>Balance Sheet</t>
        </is>
      </c>
      <c r="B294" t="inlineStr">
        <is>
          <t>D43</t>
        </is>
      </c>
      <c r="C294" t="n">
        <v>43</v>
      </c>
      <c r="D294" t="n">
        <v>4</v>
      </c>
      <c r="E294" t="inlineStr">
        <is>
          <t>Input</t>
        </is>
      </c>
      <c r="F294" t="n">
        <v/>
      </c>
      <c r="H294" t="inlineStr"/>
      <c r="I294" t="inlineStr">
        <is>
          <t>_-* #,##0_-;\-* #,##0_-;_-* "-"??_-;_-@_-</t>
        </is>
      </c>
      <c r="J294" t="b">
        <v>0</v>
      </c>
      <c r="K294" t="b">
        <v>0</v>
      </c>
      <c r="L294" t="n">
        <v>11</v>
      </c>
      <c r="M294" t="inlineStr">
        <is>
          <t>FF000000</t>
        </is>
      </c>
      <c r="N294" t="inlineStr">
        <is>
          <t>00000000</t>
        </is>
      </c>
      <c r="O294" t="n">
        <v/>
      </c>
      <c r="P294" t="n">
        <v/>
      </c>
      <c r="R294" t="b">
        <v>0</v>
      </c>
      <c r="S294" t="n">
        <v/>
      </c>
      <c r="T294" t="n">
        <v/>
      </c>
      <c r="U294" t="n">
        <v/>
      </c>
      <c r="V294" t="b">
        <v>0</v>
      </c>
      <c r="W294" t="inlineStr"/>
      <c r="X294" t="n">
        <v/>
      </c>
    </row>
    <row r="295">
      <c r="A295" t="inlineStr">
        <is>
          <t>Balance Sheet</t>
        </is>
      </c>
      <c r="B295" t="inlineStr">
        <is>
          <t>A44</t>
        </is>
      </c>
      <c r="C295" t="n">
        <v>44</v>
      </c>
      <c r="D295" t="n">
        <v>1</v>
      </c>
      <c r="E295" t="inlineStr">
        <is>
          <t>Input</t>
        </is>
      </c>
      <c r="F295" t="n">
        <v/>
      </c>
      <c r="G295" t="inlineStr">
        <is>
          <t>(i) Trade payables</t>
        </is>
      </c>
      <c r="H295" t="inlineStr"/>
      <c r="I295" t="inlineStr">
        <is>
          <t>General</t>
        </is>
      </c>
      <c r="J295" t="b">
        <v>0</v>
      </c>
      <c r="K295" t="b">
        <v>0</v>
      </c>
      <c r="L295" t="n">
        <v>11</v>
      </c>
      <c r="M295" t="inlineStr">
        <is>
          <t>FF000000</t>
        </is>
      </c>
      <c r="N295" t="inlineStr">
        <is>
          <t>00000000</t>
        </is>
      </c>
      <c r="O295" t="inlineStr">
        <is>
          <t>left</t>
        </is>
      </c>
      <c r="P295" t="n">
        <v/>
      </c>
      <c r="R295" t="b">
        <v>1</v>
      </c>
      <c r="S295" t="n">
        <v/>
      </c>
      <c r="T295" t="n">
        <v/>
      </c>
      <c r="U295" t="n">
        <v/>
      </c>
      <c r="V295" t="b">
        <v>0</v>
      </c>
      <c r="W295" t="inlineStr"/>
      <c r="X295" t="n">
        <v/>
      </c>
    </row>
    <row r="296">
      <c r="A296" t="inlineStr">
        <is>
          <t>Balance Sheet</t>
        </is>
      </c>
      <c r="B296" t="inlineStr">
        <is>
          <t>C44</t>
        </is>
      </c>
      <c r="C296" t="n">
        <v>44</v>
      </c>
      <c r="D296" t="n">
        <v>3</v>
      </c>
      <c r="E296" t="inlineStr">
        <is>
          <t>Input</t>
        </is>
      </c>
      <c r="F296" t="n">
        <v/>
      </c>
      <c r="G296" t="n">
        <v>1258.49</v>
      </c>
      <c r="H296" t="inlineStr"/>
      <c r="I296" t="inlineStr">
        <is>
          <t>_-* #,##0_-;\-* #,##0_-;_-* "-"??_-;_-@_-</t>
        </is>
      </c>
      <c r="J296" t="b">
        <v>0</v>
      </c>
      <c r="K296" t="b">
        <v>0</v>
      </c>
      <c r="L296" t="n">
        <v>11</v>
      </c>
      <c r="M296" t="inlineStr">
        <is>
          <t>FF000000</t>
        </is>
      </c>
      <c r="N296" t="inlineStr">
        <is>
          <t>00000000</t>
        </is>
      </c>
      <c r="O296" t="n">
        <v/>
      </c>
      <c r="P296" t="n">
        <v/>
      </c>
      <c r="R296" t="b">
        <v>1</v>
      </c>
      <c r="S296" t="n">
        <v/>
      </c>
      <c r="T296" t="n">
        <v/>
      </c>
      <c r="U296" t="n">
        <v/>
      </c>
      <c r="V296" t="b">
        <v>0</v>
      </c>
      <c r="W296" t="inlineStr"/>
      <c r="X296" t="n">
        <v/>
      </c>
    </row>
    <row r="297">
      <c r="A297" t="inlineStr">
        <is>
          <t>Balance Sheet</t>
        </is>
      </c>
      <c r="B297" t="inlineStr">
        <is>
          <t>D44</t>
        </is>
      </c>
      <c r="C297" t="n">
        <v>44</v>
      </c>
      <c r="D297" t="n">
        <v>4</v>
      </c>
      <c r="E297" t="inlineStr">
        <is>
          <t>Input</t>
        </is>
      </c>
      <c r="F297" t="n">
        <v/>
      </c>
      <c r="G297" t="n">
        <v>1813.74</v>
      </c>
      <c r="H297" t="inlineStr"/>
      <c r="I297" t="inlineStr">
        <is>
          <t>_-* #,##0_-;\-* #,##0_-;_-* "-"??_-;_-@_-</t>
        </is>
      </c>
      <c r="J297" t="b">
        <v>0</v>
      </c>
      <c r="K297" t="b">
        <v>0</v>
      </c>
      <c r="L297" t="n">
        <v>11</v>
      </c>
      <c r="M297" t="inlineStr">
        <is>
          <t>FF000000</t>
        </is>
      </c>
      <c r="N297" t="inlineStr">
        <is>
          <t>00000000</t>
        </is>
      </c>
      <c r="O297" t="n">
        <v/>
      </c>
      <c r="P297" t="n">
        <v/>
      </c>
      <c r="R297" t="b">
        <v>1</v>
      </c>
      <c r="S297" t="n">
        <v/>
      </c>
      <c r="T297" t="n">
        <v/>
      </c>
      <c r="U297" t="n">
        <v/>
      </c>
      <c r="V297" t="b">
        <v>0</v>
      </c>
      <c r="W297" t="inlineStr"/>
      <c r="X297" t="n">
        <v/>
      </c>
    </row>
    <row r="298">
      <c r="A298" t="inlineStr">
        <is>
          <t>Balance Sheet</t>
        </is>
      </c>
      <c r="B298" t="inlineStr">
        <is>
          <t>E44</t>
        </is>
      </c>
      <c r="C298" t="n">
        <v>44</v>
      </c>
      <c r="D298" t="n">
        <v>5</v>
      </c>
      <c r="E298" t="inlineStr">
        <is>
          <t>Calculation</t>
        </is>
      </c>
      <c r="F298" t="inlineStr">
        <is>
          <t>'=SUM('Financial Statements'!E4:E7)*'Balance Sheet'!E59</t>
        </is>
      </c>
      <c r="G298" t="n">
        <v>1863.05388071395</v>
      </c>
      <c r="H298" t="inlineStr"/>
      <c r="I298" t="inlineStr">
        <is>
          <t>_-* #,##0_-;\-* #,##0_-;_-* "-"??_-;_-@_-</t>
        </is>
      </c>
      <c r="J298" t="b">
        <v>0</v>
      </c>
      <c r="K298" t="b">
        <v>0</v>
      </c>
      <c r="L298" t="n">
        <v>11</v>
      </c>
      <c r="M298" t="inlineStr">
        <is>
          <t>FF000000</t>
        </is>
      </c>
      <c r="N298" t="inlineStr">
        <is>
          <t>FFFFFF00</t>
        </is>
      </c>
      <c r="O298" t="n">
        <v/>
      </c>
      <c r="P298" t="n">
        <v/>
      </c>
      <c r="R298" t="b">
        <v>1</v>
      </c>
      <c r="S298" t="inlineStr">
        <is>
          <t>G000155</t>
        </is>
      </c>
      <c r="T298" t="inlineStr">
        <is>
          <t>Horizontal</t>
        </is>
      </c>
      <c r="U298" t="n">
        <v>5</v>
      </c>
      <c r="V298" t="b">
        <v>1</v>
      </c>
      <c r="W298" t="inlineStr">
        <is>
          <t>Balance Sheet!E44:I44</t>
        </is>
      </c>
      <c r="X298">
        <f>SUM('Financial Statements'!R[-40]C[0]:R[-37]C[0])*R[15]C[0]</f>
        <v/>
      </c>
    </row>
    <row r="299">
      <c r="A299" t="inlineStr">
        <is>
          <t>Balance Sheet</t>
        </is>
      </c>
      <c r="B299" t="inlineStr">
        <is>
          <t>F44</t>
        </is>
      </c>
      <c r="C299" t="n">
        <v>44</v>
      </c>
      <c r="D299" t="n">
        <v>6</v>
      </c>
      <c r="E299" t="inlineStr">
        <is>
          <t>Calculation</t>
        </is>
      </c>
      <c r="F299" t="inlineStr">
        <is>
          <t>'=SUM('Financial Statements'!F4:F7)*'Balance Sheet'!F59</t>
        </is>
      </c>
      <c r="G299" t="n">
        <v>2019.217973020979</v>
      </c>
      <c r="H299" t="inlineStr"/>
      <c r="I299" t="inlineStr">
        <is>
          <t>_-* #,##0_-;\-* #,##0_-;_-* "-"??_-;_-@_-</t>
        </is>
      </c>
      <c r="J299" t="b">
        <v>0</v>
      </c>
      <c r="K299" t="b">
        <v>0</v>
      </c>
      <c r="L299" t="n">
        <v>11</v>
      </c>
      <c r="M299" t="inlineStr">
        <is>
          <t>FF000000</t>
        </is>
      </c>
      <c r="N299" t="inlineStr">
        <is>
          <t>FFFFFF00</t>
        </is>
      </c>
      <c r="O299" t="n">
        <v/>
      </c>
      <c r="P299" t="n">
        <v/>
      </c>
      <c r="R299" t="b">
        <v>1</v>
      </c>
      <c r="S299" t="inlineStr">
        <is>
          <t>G000155</t>
        </is>
      </c>
      <c r="T299" t="inlineStr">
        <is>
          <t>Horizontal</t>
        </is>
      </c>
      <c r="U299" t="n">
        <v>5</v>
      </c>
      <c r="V299" t="b">
        <v>1</v>
      </c>
      <c r="W299" t="inlineStr">
        <is>
          <t>Balance Sheet!E44:I44</t>
        </is>
      </c>
      <c r="X299">
        <f>SUM('Financial Statements'!R[-40]C[0]:R[-37]C[0])*R[15]C[0]</f>
        <v/>
      </c>
    </row>
    <row r="300">
      <c r="A300" t="inlineStr">
        <is>
          <t>Balance Sheet</t>
        </is>
      </c>
      <c r="B300" t="inlineStr">
        <is>
          <t>G44</t>
        </is>
      </c>
      <c r="C300" t="n">
        <v>44</v>
      </c>
      <c r="D300" t="n">
        <v>7</v>
      </c>
      <c r="E300" t="inlineStr">
        <is>
          <t>Calculation</t>
        </is>
      </c>
      <c r="F300" t="inlineStr">
        <is>
          <t>'=SUM('Financial Statements'!G4:G7)*'Balance Sheet'!G59</t>
        </is>
      </c>
      <c r="G300" t="n">
        <v>2187.085201371727</v>
      </c>
      <c r="H300" t="inlineStr"/>
      <c r="I300" t="inlineStr">
        <is>
          <t>_-* #,##0_-;\-* #,##0_-;_-* "-"??_-;_-@_-</t>
        </is>
      </c>
      <c r="J300" t="b">
        <v>0</v>
      </c>
      <c r="K300" t="b">
        <v>0</v>
      </c>
      <c r="L300" t="n">
        <v>11</v>
      </c>
      <c r="M300" t="inlineStr">
        <is>
          <t>FF000000</t>
        </is>
      </c>
      <c r="N300" t="inlineStr">
        <is>
          <t>FFFFFF00</t>
        </is>
      </c>
      <c r="O300" t="n">
        <v/>
      </c>
      <c r="P300" t="n">
        <v/>
      </c>
      <c r="R300" t="b">
        <v>1</v>
      </c>
      <c r="S300" t="inlineStr">
        <is>
          <t>G000155</t>
        </is>
      </c>
      <c r="T300" t="inlineStr">
        <is>
          <t>Horizontal</t>
        </is>
      </c>
      <c r="U300" t="n">
        <v>5</v>
      </c>
      <c r="V300" t="b">
        <v>1</v>
      </c>
      <c r="W300" t="inlineStr">
        <is>
          <t>Balance Sheet!E44:I44</t>
        </is>
      </c>
      <c r="X300">
        <f>SUM('Financial Statements'!R[-40]C[0]:R[-37]C[0])*R[15]C[0]</f>
        <v/>
      </c>
    </row>
    <row r="301">
      <c r="A301" t="inlineStr">
        <is>
          <t>Balance Sheet</t>
        </is>
      </c>
      <c r="B301" t="inlineStr">
        <is>
          <t>H44</t>
        </is>
      </c>
      <c r="C301" t="n">
        <v>44</v>
      </c>
      <c r="D301" t="n">
        <v>8</v>
      </c>
      <c r="E301" t="inlineStr">
        <is>
          <t>Calculation</t>
        </is>
      </c>
      <c r="F301" t="inlineStr">
        <is>
          <t>'=SUM('Financial Statements'!H4:H7)*'Balance Sheet'!H59</t>
        </is>
      </c>
      <c r="G301" t="n">
        <v>2367.472687215539</v>
      </c>
      <c r="H301" t="inlineStr"/>
      <c r="I301" t="inlineStr">
        <is>
          <t>_-* #,##0_-;\-* #,##0_-;_-* "-"??_-;_-@_-</t>
        </is>
      </c>
      <c r="J301" t="b">
        <v>0</v>
      </c>
      <c r="K301" t="b">
        <v>0</v>
      </c>
      <c r="L301" t="n">
        <v>11</v>
      </c>
      <c r="M301" t="inlineStr">
        <is>
          <t>FF000000</t>
        </is>
      </c>
      <c r="N301" t="inlineStr">
        <is>
          <t>FFFFFF00</t>
        </is>
      </c>
      <c r="O301" t="n">
        <v/>
      </c>
      <c r="P301" t="n">
        <v/>
      </c>
      <c r="R301" t="b">
        <v>1</v>
      </c>
      <c r="S301" t="inlineStr">
        <is>
          <t>G000155</t>
        </is>
      </c>
      <c r="T301" t="inlineStr">
        <is>
          <t>Horizontal</t>
        </is>
      </c>
      <c r="U301" t="n">
        <v>5</v>
      </c>
      <c r="V301" t="b">
        <v>1</v>
      </c>
      <c r="W301" t="inlineStr">
        <is>
          <t>Balance Sheet!E44:I44</t>
        </is>
      </c>
      <c r="X301">
        <f>SUM('Financial Statements'!R[-40]C[0]:R[-37]C[0])*R[15]C[0]</f>
        <v/>
      </c>
    </row>
    <row r="302">
      <c r="A302" t="inlineStr">
        <is>
          <t>Balance Sheet</t>
        </is>
      </c>
      <c r="B302" t="inlineStr">
        <is>
          <t>I44</t>
        </is>
      </c>
      <c r="C302" t="n">
        <v>44</v>
      </c>
      <c r="D302" t="n">
        <v>9</v>
      </c>
      <c r="E302" t="inlineStr">
        <is>
          <t>Calculation</t>
        </is>
      </c>
      <c r="F302" t="inlineStr">
        <is>
          <t>'=SUM('Financial Statements'!I4:I7)*'Balance Sheet'!I59</t>
        </is>
      </c>
      <c r="G302" t="n">
        <v>2561.251867210372</v>
      </c>
      <c r="H302" t="inlineStr"/>
      <c r="I302" t="inlineStr">
        <is>
          <t>_-* #,##0_-;\-* #,##0_-;_-* "-"??_-;_-@_-</t>
        </is>
      </c>
      <c r="J302" t="b">
        <v>0</v>
      </c>
      <c r="K302" t="b">
        <v>0</v>
      </c>
      <c r="L302" t="n">
        <v>11</v>
      </c>
      <c r="M302" t="inlineStr">
        <is>
          <t>FF000000</t>
        </is>
      </c>
      <c r="N302" t="inlineStr">
        <is>
          <t>FFFFFF00</t>
        </is>
      </c>
      <c r="O302" t="n">
        <v/>
      </c>
      <c r="P302" t="n">
        <v/>
      </c>
      <c r="R302" t="b">
        <v>1</v>
      </c>
      <c r="S302" t="inlineStr">
        <is>
          <t>G000155</t>
        </is>
      </c>
      <c r="T302" t="inlineStr">
        <is>
          <t>Horizontal</t>
        </is>
      </c>
      <c r="U302" t="n">
        <v>5</v>
      </c>
      <c r="V302" t="b">
        <v>1</v>
      </c>
      <c r="W302" t="inlineStr">
        <is>
          <t>Balance Sheet!E44:I44</t>
        </is>
      </c>
      <c r="X302">
        <f>SUM('Financial Statements'!R[-40]C[0]:R[-37]C[0])*R[15]C[0]</f>
        <v/>
      </c>
    </row>
    <row r="303">
      <c r="A303" t="inlineStr">
        <is>
          <t>Balance Sheet</t>
        </is>
      </c>
      <c r="B303" t="inlineStr">
        <is>
          <t>A45</t>
        </is>
      </c>
      <c r="C303" t="n">
        <v>45</v>
      </c>
      <c r="D303" t="n">
        <v>1</v>
      </c>
      <c r="E303" t="inlineStr">
        <is>
          <t>Input</t>
        </is>
      </c>
      <c r="F303" t="n">
        <v/>
      </c>
      <c r="G303" t="inlineStr">
        <is>
          <t>(ii) Other financial liabilities</t>
        </is>
      </c>
      <c r="H303" t="inlineStr"/>
      <c r="I303" t="inlineStr">
        <is>
          <t>General</t>
        </is>
      </c>
      <c r="J303" t="b">
        <v>0</v>
      </c>
      <c r="K303" t="b">
        <v>0</v>
      </c>
      <c r="L303" t="n">
        <v>11</v>
      </c>
      <c r="M303" t="inlineStr">
        <is>
          <t>FF000000</t>
        </is>
      </c>
      <c r="N303" t="inlineStr">
        <is>
          <t>00000000</t>
        </is>
      </c>
      <c r="O303" t="inlineStr">
        <is>
          <t>left</t>
        </is>
      </c>
      <c r="P303" t="n">
        <v/>
      </c>
      <c r="R303" t="b">
        <v>1</v>
      </c>
      <c r="S303" t="n">
        <v/>
      </c>
      <c r="T303" t="n">
        <v/>
      </c>
      <c r="U303" t="n">
        <v/>
      </c>
      <c r="V303" t="b">
        <v>0</v>
      </c>
      <c r="W303" t="inlineStr"/>
      <c r="X303" t="n">
        <v/>
      </c>
    </row>
    <row r="304">
      <c r="A304" t="inlineStr">
        <is>
          <t>Balance Sheet</t>
        </is>
      </c>
      <c r="B304" t="inlineStr">
        <is>
          <t>C45</t>
        </is>
      </c>
      <c r="C304" t="n">
        <v>45</v>
      </c>
      <c r="D304" t="n">
        <v>3</v>
      </c>
      <c r="E304" t="inlineStr">
        <is>
          <t>Input</t>
        </is>
      </c>
      <c r="F304" t="n">
        <v/>
      </c>
      <c r="G304" t="n">
        <v>835.39</v>
      </c>
      <c r="H304" t="inlineStr"/>
      <c r="I304" t="inlineStr">
        <is>
          <t>_-* #,##0_-;\-* #,##0_-;_-* "-"??_-;_-@_-</t>
        </is>
      </c>
      <c r="J304" t="b">
        <v>0</v>
      </c>
      <c r="K304" t="b">
        <v>0</v>
      </c>
      <c r="L304" t="n">
        <v>11</v>
      </c>
      <c r="M304" t="inlineStr">
        <is>
          <t>FF000000</t>
        </is>
      </c>
      <c r="N304" t="inlineStr">
        <is>
          <t>00000000</t>
        </is>
      </c>
      <c r="O304" t="n">
        <v/>
      </c>
      <c r="P304" t="n">
        <v/>
      </c>
      <c r="R304" t="b">
        <v>1</v>
      </c>
      <c r="S304" t="n">
        <v/>
      </c>
      <c r="T304" t="n">
        <v/>
      </c>
      <c r="U304" t="n">
        <v/>
      </c>
      <c r="V304" t="b">
        <v>0</v>
      </c>
      <c r="W304" t="inlineStr"/>
      <c r="X304" t="n">
        <v/>
      </c>
    </row>
    <row r="305">
      <c r="A305" t="inlineStr">
        <is>
          <t>Balance Sheet</t>
        </is>
      </c>
      <c r="B305" t="inlineStr">
        <is>
          <t>D45</t>
        </is>
      </c>
      <c r="C305" t="n">
        <v>45</v>
      </c>
      <c r="D305" t="n">
        <v>4</v>
      </c>
      <c r="E305" t="inlineStr">
        <is>
          <t>Input</t>
        </is>
      </c>
      <c r="F305" t="n">
        <v/>
      </c>
      <c r="G305" t="n">
        <v>721.34</v>
      </c>
      <c r="H305" t="inlineStr"/>
      <c r="I305" t="inlineStr">
        <is>
          <t>_-* #,##0_-;\-* #,##0_-;_-* "-"??_-;_-@_-</t>
        </is>
      </c>
      <c r="J305" t="b">
        <v>0</v>
      </c>
      <c r="K305" t="b">
        <v>0</v>
      </c>
      <c r="L305" t="n">
        <v>11</v>
      </c>
      <c r="M305" t="inlineStr">
        <is>
          <t>FF000000</t>
        </is>
      </c>
      <c r="N305" t="inlineStr">
        <is>
          <t>00000000</t>
        </is>
      </c>
      <c r="O305" t="n">
        <v/>
      </c>
      <c r="P305" t="n">
        <v/>
      </c>
      <c r="R305" t="b">
        <v>1</v>
      </c>
      <c r="S305" t="n">
        <v/>
      </c>
      <c r="T305" t="n">
        <v/>
      </c>
      <c r="U305" t="n">
        <v/>
      </c>
      <c r="V305" t="b">
        <v>0</v>
      </c>
      <c r="W305" t="inlineStr"/>
      <c r="X305" t="n">
        <v/>
      </c>
    </row>
    <row r="306">
      <c r="A306" t="inlineStr">
        <is>
          <t>Balance Sheet</t>
        </is>
      </c>
      <c r="B306" t="inlineStr">
        <is>
          <t>E45</t>
        </is>
      </c>
      <c r="C306" t="n">
        <v>45</v>
      </c>
      <c r="D306" t="n">
        <v>5</v>
      </c>
      <c r="E306" t="inlineStr">
        <is>
          <t>Input</t>
        </is>
      </c>
      <c r="F306" t="n">
        <v/>
      </c>
      <c r="G306" t="n">
        <v>721.34</v>
      </c>
      <c r="H306" t="inlineStr"/>
      <c r="I306" t="inlineStr">
        <is>
          <t>_-* #,##0_-;\-* #,##0_-;_-* "-"??_-;_-@_-</t>
        </is>
      </c>
      <c r="J306" t="b">
        <v>0</v>
      </c>
      <c r="K306" t="b">
        <v>0</v>
      </c>
      <c r="L306" t="n">
        <v>11</v>
      </c>
      <c r="M306" t="inlineStr">
        <is>
          <t>FF000000</t>
        </is>
      </c>
      <c r="N306" t="inlineStr">
        <is>
          <t>00000000</t>
        </is>
      </c>
      <c r="O306" t="n">
        <v/>
      </c>
      <c r="P306" t="n">
        <v/>
      </c>
      <c r="R306" t="b">
        <v>1</v>
      </c>
      <c r="S306" t="n">
        <v/>
      </c>
      <c r="T306" t="n">
        <v/>
      </c>
      <c r="U306" t="n">
        <v/>
      </c>
      <c r="V306" t="b">
        <v>0</v>
      </c>
      <c r="W306" t="inlineStr"/>
      <c r="X306" t="n">
        <v/>
      </c>
    </row>
    <row r="307">
      <c r="A307" t="inlineStr">
        <is>
          <t>Balance Sheet</t>
        </is>
      </c>
      <c r="B307" t="inlineStr">
        <is>
          <t>F45</t>
        </is>
      </c>
      <c r="C307" t="n">
        <v>45</v>
      </c>
      <c r="D307" t="n">
        <v>6</v>
      </c>
      <c r="E307" t="inlineStr">
        <is>
          <t>Input</t>
        </is>
      </c>
      <c r="F307" t="n">
        <v/>
      </c>
      <c r="G307" t="n">
        <v>721.34</v>
      </c>
      <c r="H307" t="inlineStr"/>
      <c r="I307" t="inlineStr">
        <is>
          <t>_-* #,##0_-;\-* #,##0_-;_-* "-"??_-;_-@_-</t>
        </is>
      </c>
      <c r="J307" t="b">
        <v>0</v>
      </c>
      <c r="K307" t="b">
        <v>0</v>
      </c>
      <c r="L307" t="n">
        <v>11</v>
      </c>
      <c r="M307" t="inlineStr">
        <is>
          <t>FF000000</t>
        </is>
      </c>
      <c r="N307" t="inlineStr">
        <is>
          <t>00000000</t>
        </is>
      </c>
      <c r="O307" t="n">
        <v/>
      </c>
      <c r="P307" t="n">
        <v/>
      </c>
      <c r="R307" t="b">
        <v>1</v>
      </c>
      <c r="S307" t="n">
        <v/>
      </c>
      <c r="T307" t="n">
        <v/>
      </c>
      <c r="U307" t="n">
        <v/>
      </c>
      <c r="V307" t="b">
        <v>0</v>
      </c>
      <c r="W307" t="inlineStr"/>
      <c r="X307" t="n">
        <v/>
      </c>
    </row>
    <row r="308">
      <c r="A308" t="inlineStr">
        <is>
          <t>Balance Sheet</t>
        </is>
      </c>
      <c r="B308" t="inlineStr">
        <is>
          <t>G45</t>
        </is>
      </c>
      <c r="C308" t="n">
        <v>45</v>
      </c>
      <c r="D308" t="n">
        <v>7</v>
      </c>
      <c r="E308" t="inlineStr">
        <is>
          <t>Input</t>
        </is>
      </c>
      <c r="F308" t="n">
        <v/>
      </c>
      <c r="G308" t="n">
        <v>721.34</v>
      </c>
      <c r="H308" t="inlineStr"/>
      <c r="I308" t="inlineStr">
        <is>
          <t>_-* #,##0_-;\-* #,##0_-;_-* "-"??_-;_-@_-</t>
        </is>
      </c>
      <c r="J308" t="b">
        <v>0</v>
      </c>
      <c r="K308" t="b">
        <v>0</v>
      </c>
      <c r="L308" t="n">
        <v>11</v>
      </c>
      <c r="M308" t="inlineStr">
        <is>
          <t>FF000000</t>
        </is>
      </c>
      <c r="N308" t="inlineStr">
        <is>
          <t>00000000</t>
        </is>
      </c>
      <c r="O308" t="n">
        <v/>
      </c>
      <c r="P308" t="n">
        <v/>
      </c>
      <c r="R308" t="b">
        <v>1</v>
      </c>
      <c r="S308" t="n">
        <v/>
      </c>
      <c r="T308" t="n">
        <v/>
      </c>
      <c r="U308" t="n">
        <v/>
      </c>
      <c r="V308" t="b">
        <v>0</v>
      </c>
      <c r="W308" t="inlineStr"/>
      <c r="X308" t="n">
        <v/>
      </c>
    </row>
    <row r="309">
      <c r="A309" t="inlineStr">
        <is>
          <t>Balance Sheet</t>
        </is>
      </c>
      <c r="B309" t="inlineStr">
        <is>
          <t>H45</t>
        </is>
      </c>
      <c r="C309" t="n">
        <v>45</v>
      </c>
      <c r="D309" t="n">
        <v>8</v>
      </c>
      <c r="E309" t="inlineStr">
        <is>
          <t>Input</t>
        </is>
      </c>
      <c r="F309" t="n">
        <v/>
      </c>
      <c r="G309" t="n">
        <v>721.34</v>
      </c>
      <c r="H309" t="inlineStr"/>
      <c r="I309" t="inlineStr">
        <is>
          <t>_-* #,##0_-;\-* #,##0_-;_-* "-"??_-;_-@_-</t>
        </is>
      </c>
      <c r="J309" t="b">
        <v>0</v>
      </c>
      <c r="K309" t="b">
        <v>0</v>
      </c>
      <c r="L309" t="n">
        <v>11</v>
      </c>
      <c r="M309" t="inlineStr">
        <is>
          <t>FF000000</t>
        </is>
      </c>
      <c r="N309" t="inlineStr">
        <is>
          <t>00000000</t>
        </is>
      </c>
      <c r="O309" t="n">
        <v/>
      </c>
      <c r="P309" t="n">
        <v/>
      </c>
      <c r="R309" t="b">
        <v>1</v>
      </c>
      <c r="S309" t="n">
        <v/>
      </c>
      <c r="T309" t="n">
        <v/>
      </c>
      <c r="U309" t="n">
        <v/>
      </c>
      <c r="V309" t="b">
        <v>0</v>
      </c>
      <c r="W309" t="inlineStr"/>
      <c r="X309" t="n">
        <v/>
      </c>
    </row>
    <row r="310">
      <c r="A310" t="inlineStr">
        <is>
          <t>Balance Sheet</t>
        </is>
      </c>
      <c r="B310" t="inlineStr">
        <is>
          <t>I45</t>
        </is>
      </c>
      <c r="C310" t="n">
        <v>45</v>
      </c>
      <c r="D310" t="n">
        <v>9</v>
      </c>
      <c r="E310" t="inlineStr">
        <is>
          <t>Input</t>
        </is>
      </c>
      <c r="F310" t="n">
        <v/>
      </c>
      <c r="G310" t="n">
        <v>721.34</v>
      </c>
      <c r="H310" t="inlineStr"/>
      <c r="I310" t="inlineStr">
        <is>
          <t>_-* #,##0_-;\-* #,##0_-;_-* "-"??_-;_-@_-</t>
        </is>
      </c>
      <c r="J310" t="b">
        <v>0</v>
      </c>
      <c r="K310" t="b">
        <v>0</v>
      </c>
      <c r="L310" t="n">
        <v>11</v>
      </c>
      <c r="M310" t="inlineStr">
        <is>
          <t>FF000000</t>
        </is>
      </c>
      <c r="N310" t="inlineStr">
        <is>
          <t>00000000</t>
        </is>
      </c>
      <c r="O310" t="n">
        <v/>
      </c>
      <c r="P310" t="n">
        <v/>
      </c>
      <c r="R310" t="b">
        <v>1</v>
      </c>
      <c r="S310" t="n">
        <v/>
      </c>
      <c r="T310" t="n">
        <v/>
      </c>
      <c r="U310" t="n">
        <v/>
      </c>
      <c r="V310" t="b">
        <v>0</v>
      </c>
      <c r="W310" t="inlineStr"/>
      <c r="X310" t="n">
        <v/>
      </c>
    </row>
    <row r="311">
      <c r="A311" t="inlineStr">
        <is>
          <t>Balance Sheet</t>
        </is>
      </c>
      <c r="B311" t="inlineStr">
        <is>
          <t>A46</t>
        </is>
      </c>
      <c r="C311" t="n">
        <v>46</v>
      </c>
      <c r="D311" t="n">
        <v>1</v>
      </c>
      <c r="E311" t="inlineStr">
        <is>
          <t>Input</t>
        </is>
      </c>
      <c r="F311" t="n">
        <v/>
      </c>
      <c r="G311" t="inlineStr">
        <is>
          <t>Other current liabilities</t>
        </is>
      </c>
      <c r="H311" t="inlineStr"/>
      <c r="I311" t="inlineStr">
        <is>
          <t>General</t>
        </is>
      </c>
      <c r="J311" t="b">
        <v>0</v>
      </c>
      <c r="K311" t="b">
        <v>0</v>
      </c>
      <c r="L311" t="n">
        <v>11</v>
      </c>
      <c r="M311" t="inlineStr">
        <is>
          <t>FF000000</t>
        </is>
      </c>
      <c r="N311" t="inlineStr">
        <is>
          <t>00000000</t>
        </is>
      </c>
      <c r="O311" t="inlineStr">
        <is>
          <t>left</t>
        </is>
      </c>
      <c r="P311" t="n">
        <v/>
      </c>
      <c r="R311" t="b">
        <v>1</v>
      </c>
      <c r="S311" t="n">
        <v/>
      </c>
      <c r="T311" t="n">
        <v/>
      </c>
      <c r="U311" t="n">
        <v/>
      </c>
      <c r="V311" t="b">
        <v>0</v>
      </c>
      <c r="W311" t="inlineStr"/>
      <c r="X311" t="n">
        <v/>
      </c>
    </row>
    <row r="312">
      <c r="A312" t="inlineStr">
        <is>
          <t>Balance Sheet</t>
        </is>
      </c>
      <c r="B312" t="inlineStr">
        <is>
          <t>C46</t>
        </is>
      </c>
      <c r="C312" t="n">
        <v>46</v>
      </c>
      <c r="D312" t="n">
        <v>3</v>
      </c>
      <c r="E312" t="inlineStr">
        <is>
          <t>Input</t>
        </is>
      </c>
      <c r="F312" t="n">
        <v/>
      </c>
      <c r="G312" t="n">
        <v>1415.57</v>
      </c>
      <c r="H312" t="inlineStr"/>
      <c r="I312" t="inlineStr">
        <is>
          <t>_-* #,##0_-;\-* #,##0_-;_-* "-"??_-;_-@_-</t>
        </is>
      </c>
      <c r="J312" t="b">
        <v>0</v>
      </c>
      <c r="K312" t="b">
        <v>0</v>
      </c>
      <c r="L312" t="n">
        <v>11</v>
      </c>
      <c r="M312" t="inlineStr">
        <is>
          <t>FF000000</t>
        </is>
      </c>
      <c r="N312" t="inlineStr">
        <is>
          <t>00000000</t>
        </is>
      </c>
      <c r="O312" t="n">
        <v/>
      </c>
      <c r="P312" t="n">
        <v/>
      </c>
      <c r="R312" t="b">
        <v>1</v>
      </c>
      <c r="S312" t="n">
        <v/>
      </c>
      <c r="T312" t="n">
        <v/>
      </c>
      <c r="U312" t="n">
        <v/>
      </c>
      <c r="V312" t="b">
        <v>0</v>
      </c>
      <c r="W312" t="inlineStr"/>
      <c r="X312" t="n">
        <v/>
      </c>
    </row>
    <row r="313">
      <c r="A313" t="inlineStr">
        <is>
          <t>Balance Sheet</t>
        </is>
      </c>
      <c r="B313" t="inlineStr">
        <is>
          <t>D46</t>
        </is>
      </c>
      <c r="C313" t="n">
        <v>46</v>
      </c>
      <c r="D313" t="n">
        <v>4</v>
      </c>
      <c r="E313" t="inlineStr">
        <is>
          <t>Input</t>
        </is>
      </c>
      <c r="F313" t="n">
        <v/>
      </c>
      <c r="G313" t="n">
        <v>1737.97</v>
      </c>
      <c r="H313" t="inlineStr"/>
      <c r="I313" t="inlineStr">
        <is>
          <t>_-* #,##0_-;\-* #,##0_-;_-* "-"??_-;_-@_-</t>
        </is>
      </c>
      <c r="J313" t="b">
        <v>0</v>
      </c>
      <c r="K313" t="b">
        <v>0</v>
      </c>
      <c r="L313" t="n">
        <v>11</v>
      </c>
      <c r="M313" t="inlineStr">
        <is>
          <t>FF000000</t>
        </is>
      </c>
      <c r="N313" t="inlineStr">
        <is>
          <t>00000000</t>
        </is>
      </c>
      <c r="O313" t="n">
        <v/>
      </c>
      <c r="P313" t="n">
        <v/>
      </c>
      <c r="R313" t="b">
        <v>1</v>
      </c>
      <c r="S313" t="n">
        <v/>
      </c>
      <c r="T313" t="n">
        <v/>
      </c>
      <c r="U313" t="n">
        <v/>
      </c>
      <c r="V313" t="b">
        <v>0</v>
      </c>
      <c r="W313" t="inlineStr"/>
      <c r="X313" t="n">
        <v/>
      </c>
    </row>
    <row r="314">
      <c r="A314" t="inlineStr">
        <is>
          <t>Balance Sheet</t>
        </is>
      </c>
      <c r="B314" t="inlineStr">
        <is>
          <t>E46</t>
        </is>
      </c>
      <c r="C314" t="n">
        <v>46</v>
      </c>
      <c r="D314" t="n">
        <v>5</v>
      </c>
      <c r="E314" t="inlineStr">
        <is>
          <t>Input</t>
        </is>
      </c>
      <c r="F314" t="n">
        <v/>
      </c>
      <c r="G314" t="n">
        <v>1737.97</v>
      </c>
      <c r="H314" t="inlineStr"/>
      <c r="I314" t="inlineStr">
        <is>
          <t>_-* #,##0_-;\-* #,##0_-;_-* "-"??_-;_-@_-</t>
        </is>
      </c>
      <c r="J314" t="b">
        <v>0</v>
      </c>
      <c r="K314" t="b">
        <v>0</v>
      </c>
      <c r="L314" t="n">
        <v>11</v>
      </c>
      <c r="M314" t="inlineStr">
        <is>
          <t>FF000000</t>
        </is>
      </c>
      <c r="N314" t="inlineStr">
        <is>
          <t>00000000</t>
        </is>
      </c>
      <c r="O314" t="n">
        <v/>
      </c>
      <c r="P314" t="n">
        <v/>
      </c>
      <c r="R314" t="b">
        <v>1</v>
      </c>
      <c r="S314" t="n">
        <v/>
      </c>
      <c r="T314" t="n">
        <v/>
      </c>
      <c r="U314" t="n">
        <v/>
      </c>
      <c r="V314" t="b">
        <v>0</v>
      </c>
      <c r="W314" t="inlineStr"/>
      <c r="X314" t="n">
        <v/>
      </c>
    </row>
    <row r="315">
      <c r="A315" t="inlineStr">
        <is>
          <t>Balance Sheet</t>
        </is>
      </c>
      <c r="B315" t="inlineStr">
        <is>
          <t>F46</t>
        </is>
      </c>
      <c r="C315" t="n">
        <v>46</v>
      </c>
      <c r="D315" t="n">
        <v>6</v>
      </c>
      <c r="E315" t="inlineStr">
        <is>
          <t>Input</t>
        </is>
      </c>
      <c r="F315" t="n">
        <v/>
      </c>
      <c r="G315" t="n">
        <v>1737.97</v>
      </c>
      <c r="H315" t="inlineStr"/>
      <c r="I315" t="inlineStr">
        <is>
          <t>_-* #,##0_-;\-* #,##0_-;_-* "-"??_-;_-@_-</t>
        </is>
      </c>
      <c r="J315" t="b">
        <v>0</v>
      </c>
      <c r="K315" t="b">
        <v>0</v>
      </c>
      <c r="L315" t="n">
        <v>11</v>
      </c>
      <c r="M315" t="inlineStr">
        <is>
          <t>FF000000</t>
        </is>
      </c>
      <c r="N315" t="inlineStr">
        <is>
          <t>00000000</t>
        </is>
      </c>
      <c r="O315" t="n">
        <v/>
      </c>
      <c r="P315" t="n">
        <v/>
      </c>
      <c r="R315" t="b">
        <v>1</v>
      </c>
      <c r="S315" t="n">
        <v/>
      </c>
      <c r="T315" t="n">
        <v/>
      </c>
      <c r="U315" t="n">
        <v/>
      </c>
      <c r="V315" t="b">
        <v>0</v>
      </c>
      <c r="W315" t="inlineStr"/>
      <c r="X315" t="n">
        <v/>
      </c>
    </row>
    <row r="316">
      <c r="A316" t="inlineStr">
        <is>
          <t>Balance Sheet</t>
        </is>
      </c>
      <c r="B316" t="inlineStr">
        <is>
          <t>G46</t>
        </is>
      </c>
      <c r="C316" t="n">
        <v>46</v>
      </c>
      <c r="D316" t="n">
        <v>7</v>
      </c>
      <c r="E316" t="inlineStr">
        <is>
          <t>Input</t>
        </is>
      </c>
      <c r="F316" t="n">
        <v/>
      </c>
      <c r="G316" t="n">
        <v>1737.97</v>
      </c>
      <c r="H316" t="inlineStr"/>
      <c r="I316" t="inlineStr">
        <is>
          <t>_-* #,##0_-;\-* #,##0_-;_-* "-"??_-;_-@_-</t>
        </is>
      </c>
      <c r="J316" t="b">
        <v>0</v>
      </c>
      <c r="K316" t="b">
        <v>0</v>
      </c>
      <c r="L316" t="n">
        <v>11</v>
      </c>
      <c r="M316" t="inlineStr">
        <is>
          <t>FF000000</t>
        </is>
      </c>
      <c r="N316" t="inlineStr">
        <is>
          <t>00000000</t>
        </is>
      </c>
      <c r="O316" t="n">
        <v/>
      </c>
      <c r="P316" t="n">
        <v/>
      </c>
      <c r="R316" t="b">
        <v>1</v>
      </c>
      <c r="S316" t="n">
        <v/>
      </c>
      <c r="T316" t="n">
        <v/>
      </c>
      <c r="U316" t="n">
        <v/>
      </c>
      <c r="V316" t="b">
        <v>0</v>
      </c>
      <c r="W316" t="inlineStr"/>
      <c r="X316" t="n">
        <v/>
      </c>
    </row>
    <row r="317">
      <c r="A317" t="inlineStr">
        <is>
          <t>Balance Sheet</t>
        </is>
      </c>
      <c r="B317" t="inlineStr">
        <is>
          <t>H46</t>
        </is>
      </c>
      <c r="C317" t="n">
        <v>46</v>
      </c>
      <c r="D317" t="n">
        <v>8</v>
      </c>
      <c r="E317" t="inlineStr">
        <is>
          <t>Input</t>
        </is>
      </c>
      <c r="F317" t="n">
        <v/>
      </c>
      <c r="G317" t="n">
        <v>1737.97</v>
      </c>
      <c r="H317" t="inlineStr"/>
      <c r="I317" t="inlineStr">
        <is>
          <t>_-* #,##0_-;\-* #,##0_-;_-* "-"??_-;_-@_-</t>
        </is>
      </c>
      <c r="J317" t="b">
        <v>0</v>
      </c>
      <c r="K317" t="b">
        <v>0</v>
      </c>
      <c r="L317" t="n">
        <v>11</v>
      </c>
      <c r="M317" t="inlineStr">
        <is>
          <t>FF000000</t>
        </is>
      </c>
      <c r="N317" t="inlineStr">
        <is>
          <t>00000000</t>
        </is>
      </c>
      <c r="O317" t="n">
        <v/>
      </c>
      <c r="P317" t="n">
        <v/>
      </c>
      <c r="R317" t="b">
        <v>1</v>
      </c>
      <c r="S317" t="n">
        <v/>
      </c>
      <c r="T317" t="n">
        <v/>
      </c>
      <c r="U317" t="n">
        <v/>
      </c>
      <c r="V317" t="b">
        <v>0</v>
      </c>
      <c r="W317" t="inlineStr"/>
      <c r="X317" t="n">
        <v/>
      </c>
    </row>
    <row r="318">
      <c r="A318" t="inlineStr">
        <is>
          <t>Balance Sheet</t>
        </is>
      </c>
      <c r="B318" t="inlineStr">
        <is>
          <t>I46</t>
        </is>
      </c>
      <c r="C318" t="n">
        <v>46</v>
      </c>
      <c r="D318" t="n">
        <v>9</v>
      </c>
      <c r="E318" t="inlineStr">
        <is>
          <t>Input</t>
        </is>
      </c>
      <c r="F318" t="n">
        <v/>
      </c>
      <c r="G318" t="n">
        <v>1737.97</v>
      </c>
      <c r="H318" t="inlineStr"/>
      <c r="I318" t="inlineStr">
        <is>
          <t>_-* #,##0_-;\-* #,##0_-;_-* "-"??_-;_-@_-</t>
        </is>
      </c>
      <c r="J318" t="b">
        <v>0</v>
      </c>
      <c r="K318" t="b">
        <v>0</v>
      </c>
      <c r="L318" t="n">
        <v>11</v>
      </c>
      <c r="M318" t="inlineStr">
        <is>
          <t>FF000000</t>
        </is>
      </c>
      <c r="N318" t="inlineStr">
        <is>
          <t>00000000</t>
        </is>
      </c>
      <c r="O318" t="n">
        <v/>
      </c>
      <c r="P318" t="n">
        <v/>
      </c>
      <c r="R318" t="b">
        <v>1</v>
      </c>
      <c r="S318" t="n">
        <v/>
      </c>
      <c r="T318" t="n">
        <v/>
      </c>
      <c r="U318" t="n">
        <v/>
      </c>
      <c r="V318" t="b">
        <v>0</v>
      </c>
      <c r="W318" t="inlineStr"/>
      <c r="X318" t="n">
        <v/>
      </c>
    </row>
    <row r="319">
      <c r="A319" t="inlineStr">
        <is>
          <t>Balance Sheet</t>
        </is>
      </c>
      <c r="B319" t="inlineStr">
        <is>
          <t>A47</t>
        </is>
      </c>
      <c r="C319" t="n">
        <v>47</v>
      </c>
      <c r="D319" t="n">
        <v>1</v>
      </c>
      <c r="E319" t="inlineStr">
        <is>
          <t>Input</t>
        </is>
      </c>
      <c r="F319" t="n">
        <v/>
      </c>
      <c r="G319" t="inlineStr">
        <is>
          <t>Provisions</t>
        </is>
      </c>
      <c r="H319" t="inlineStr"/>
      <c r="I319" t="inlineStr">
        <is>
          <t>General</t>
        </is>
      </c>
      <c r="J319" t="b">
        <v>0</v>
      </c>
      <c r="K319" t="b">
        <v>0</v>
      </c>
      <c r="L319" t="n">
        <v>11</v>
      </c>
      <c r="M319" t="inlineStr">
        <is>
          <t>FF000000</t>
        </is>
      </c>
      <c r="N319" t="inlineStr">
        <is>
          <t>00000000</t>
        </is>
      </c>
      <c r="O319" t="inlineStr">
        <is>
          <t>left</t>
        </is>
      </c>
      <c r="P319" t="n">
        <v/>
      </c>
      <c r="R319" t="b">
        <v>1</v>
      </c>
      <c r="S319" t="n">
        <v/>
      </c>
      <c r="T319" t="n">
        <v/>
      </c>
      <c r="U319" t="n">
        <v/>
      </c>
      <c r="V319" t="b">
        <v>0</v>
      </c>
      <c r="W319" t="inlineStr"/>
      <c r="X319" t="n">
        <v/>
      </c>
    </row>
    <row r="320">
      <c r="A320" t="inlineStr">
        <is>
          <t>Balance Sheet</t>
        </is>
      </c>
      <c r="B320" t="inlineStr">
        <is>
          <t>C47</t>
        </is>
      </c>
      <c r="C320" t="n">
        <v>47</v>
      </c>
      <c r="D320" t="n">
        <v>3</v>
      </c>
      <c r="E320" t="inlineStr">
        <is>
          <t>Input</t>
        </is>
      </c>
      <c r="F320" t="n">
        <v/>
      </c>
      <c r="G320" t="n">
        <v>52.02</v>
      </c>
      <c r="H320" t="inlineStr"/>
      <c r="I320" t="inlineStr">
        <is>
          <t>_-* #,##0_-;\-* #,##0_-;_-* "-"??_-;_-@_-</t>
        </is>
      </c>
      <c r="J320" t="b">
        <v>0</v>
      </c>
      <c r="K320" t="b">
        <v>0</v>
      </c>
      <c r="L320" t="n">
        <v>11</v>
      </c>
      <c r="M320" t="inlineStr">
        <is>
          <t>FF000000</t>
        </is>
      </c>
      <c r="N320" t="inlineStr">
        <is>
          <t>00000000</t>
        </is>
      </c>
      <c r="O320" t="n">
        <v/>
      </c>
      <c r="P320" t="n">
        <v/>
      </c>
      <c r="R320" t="b">
        <v>1</v>
      </c>
      <c r="S320" t="n">
        <v/>
      </c>
      <c r="T320" t="n">
        <v/>
      </c>
      <c r="U320" t="n">
        <v/>
      </c>
      <c r="V320" t="b">
        <v>0</v>
      </c>
      <c r="W320" t="inlineStr"/>
      <c r="X320" t="n">
        <v/>
      </c>
    </row>
    <row r="321">
      <c r="A321" t="inlineStr">
        <is>
          <t>Balance Sheet</t>
        </is>
      </c>
      <c r="B321" t="inlineStr">
        <is>
          <t>D47</t>
        </is>
      </c>
      <c r="C321" t="n">
        <v>47</v>
      </c>
      <c r="D321" t="n">
        <v>4</v>
      </c>
      <c r="E321" t="inlineStr">
        <is>
          <t>Input</t>
        </is>
      </c>
      <c r="F321" t="n">
        <v/>
      </c>
      <c r="G321" t="n">
        <v>51.19</v>
      </c>
      <c r="H321" t="inlineStr"/>
      <c r="I321" t="inlineStr">
        <is>
          <t>_-* #,##0_-;\-* #,##0_-;_-* "-"??_-;_-@_-</t>
        </is>
      </c>
      <c r="J321" t="b">
        <v>0</v>
      </c>
      <c r="K321" t="b">
        <v>0</v>
      </c>
      <c r="L321" t="n">
        <v>11</v>
      </c>
      <c r="M321" t="inlineStr">
        <is>
          <t>FF000000</t>
        </is>
      </c>
      <c r="N321" t="inlineStr">
        <is>
          <t>00000000</t>
        </is>
      </c>
      <c r="O321" t="n">
        <v/>
      </c>
      <c r="P321" t="n">
        <v/>
      </c>
      <c r="R321" t="b">
        <v>1</v>
      </c>
      <c r="S321" t="n">
        <v/>
      </c>
      <c r="T321" t="n">
        <v/>
      </c>
      <c r="U321" t="n">
        <v/>
      </c>
      <c r="V321" t="b">
        <v>0</v>
      </c>
      <c r="W321" t="inlineStr"/>
      <c r="X321" t="n">
        <v/>
      </c>
    </row>
    <row r="322">
      <c r="A322" t="inlineStr">
        <is>
          <t>Balance Sheet</t>
        </is>
      </c>
      <c r="B322" t="inlineStr">
        <is>
          <t>E47</t>
        </is>
      </c>
      <c r="C322" t="n">
        <v>47</v>
      </c>
      <c r="D322" t="n">
        <v>5</v>
      </c>
      <c r="E322" t="inlineStr">
        <is>
          <t>Input</t>
        </is>
      </c>
      <c r="F322" t="n">
        <v/>
      </c>
      <c r="G322" t="n">
        <v>51.19</v>
      </c>
      <c r="H322" t="inlineStr"/>
      <c r="I322" t="inlineStr">
        <is>
          <t>_-* #,##0_-;\-* #,##0_-;_-* "-"??_-;_-@_-</t>
        </is>
      </c>
      <c r="J322" t="b">
        <v>0</v>
      </c>
      <c r="K322" t="b">
        <v>0</v>
      </c>
      <c r="L322" t="n">
        <v>11</v>
      </c>
      <c r="M322" t="inlineStr">
        <is>
          <t>FF000000</t>
        </is>
      </c>
      <c r="N322" t="inlineStr">
        <is>
          <t>00000000</t>
        </is>
      </c>
      <c r="O322" t="n">
        <v/>
      </c>
      <c r="P322" t="n">
        <v/>
      </c>
      <c r="R322" t="b">
        <v>1</v>
      </c>
      <c r="S322" t="n">
        <v/>
      </c>
      <c r="T322" t="n">
        <v/>
      </c>
      <c r="U322" t="n">
        <v/>
      </c>
      <c r="V322" t="b">
        <v>0</v>
      </c>
      <c r="W322" t="inlineStr"/>
      <c r="X322" t="n">
        <v/>
      </c>
    </row>
    <row r="323">
      <c r="A323" t="inlineStr">
        <is>
          <t>Balance Sheet</t>
        </is>
      </c>
      <c r="B323" t="inlineStr">
        <is>
          <t>F47</t>
        </is>
      </c>
      <c r="C323" t="n">
        <v>47</v>
      </c>
      <c r="D323" t="n">
        <v>6</v>
      </c>
      <c r="E323" t="inlineStr">
        <is>
          <t>Input</t>
        </is>
      </c>
      <c r="F323" t="n">
        <v/>
      </c>
      <c r="G323" t="n">
        <v>51.19</v>
      </c>
      <c r="H323" t="inlineStr"/>
      <c r="I323" t="inlineStr">
        <is>
          <t>_-* #,##0_-;\-* #,##0_-;_-* "-"??_-;_-@_-</t>
        </is>
      </c>
      <c r="J323" t="b">
        <v>0</v>
      </c>
      <c r="K323" t="b">
        <v>0</v>
      </c>
      <c r="L323" t="n">
        <v>11</v>
      </c>
      <c r="M323" t="inlineStr">
        <is>
          <t>FF000000</t>
        </is>
      </c>
      <c r="N323" t="inlineStr">
        <is>
          <t>00000000</t>
        </is>
      </c>
      <c r="O323" t="n">
        <v/>
      </c>
      <c r="P323" t="n">
        <v/>
      </c>
      <c r="R323" t="b">
        <v>1</v>
      </c>
      <c r="S323" t="n">
        <v/>
      </c>
      <c r="T323" t="n">
        <v/>
      </c>
      <c r="U323" t="n">
        <v/>
      </c>
      <c r="V323" t="b">
        <v>0</v>
      </c>
      <c r="W323" t="inlineStr"/>
      <c r="X323" t="n">
        <v/>
      </c>
    </row>
    <row r="324">
      <c r="A324" t="inlineStr">
        <is>
          <t>Balance Sheet</t>
        </is>
      </c>
      <c r="B324" t="inlineStr">
        <is>
          <t>G47</t>
        </is>
      </c>
      <c r="C324" t="n">
        <v>47</v>
      </c>
      <c r="D324" t="n">
        <v>7</v>
      </c>
      <c r="E324" t="inlineStr">
        <is>
          <t>Input</t>
        </is>
      </c>
      <c r="F324" t="n">
        <v/>
      </c>
      <c r="G324" t="n">
        <v>51.19</v>
      </c>
      <c r="H324" t="inlineStr"/>
      <c r="I324" t="inlineStr">
        <is>
          <t>_-* #,##0_-;\-* #,##0_-;_-* "-"??_-;_-@_-</t>
        </is>
      </c>
      <c r="J324" t="b">
        <v>0</v>
      </c>
      <c r="K324" t="b">
        <v>0</v>
      </c>
      <c r="L324" t="n">
        <v>11</v>
      </c>
      <c r="M324" t="inlineStr">
        <is>
          <t>FF000000</t>
        </is>
      </c>
      <c r="N324" t="inlineStr">
        <is>
          <t>00000000</t>
        </is>
      </c>
      <c r="O324" t="n">
        <v/>
      </c>
      <c r="P324" t="n">
        <v/>
      </c>
      <c r="R324" t="b">
        <v>1</v>
      </c>
      <c r="S324" t="n">
        <v/>
      </c>
      <c r="T324" t="n">
        <v/>
      </c>
      <c r="U324" t="n">
        <v/>
      </c>
      <c r="V324" t="b">
        <v>0</v>
      </c>
      <c r="W324" t="inlineStr"/>
      <c r="X324" t="n">
        <v/>
      </c>
    </row>
    <row r="325">
      <c r="A325" t="inlineStr">
        <is>
          <t>Balance Sheet</t>
        </is>
      </c>
      <c r="B325" t="inlineStr">
        <is>
          <t>H47</t>
        </is>
      </c>
      <c r="C325" t="n">
        <v>47</v>
      </c>
      <c r="D325" t="n">
        <v>8</v>
      </c>
      <c r="E325" t="inlineStr">
        <is>
          <t>Input</t>
        </is>
      </c>
      <c r="F325" t="n">
        <v/>
      </c>
      <c r="G325" t="n">
        <v>51.19</v>
      </c>
      <c r="H325" t="inlineStr"/>
      <c r="I325" t="inlineStr">
        <is>
          <t>_-* #,##0_-;\-* #,##0_-;_-* "-"??_-;_-@_-</t>
        </is>
      </c>
      <c r="J325" t="b">
        <v>0</v>
      </c>
      <c r="K325" t="b">
        <v>0</v>
      </c>
      <c r="L325" t="n">
        <v>11</v>
      </c>
      <c r="M325" t="inlineStr">
        <is>
          <t>FF000000</t>
        </is>
      </c>
      <c r="N325" t="inlineStr">
        <is>
          <t>00000000</t>
        </is>
      </c>
      <c r="O325" t="n">
        <v/>
      </c>
      <c r="P325" t="n">
        <v/>
      </c>
      <c r="R325" t="b">
        <v>1</v>
      </c>
      <c r="S325" t="n">
        <v/>
      </c>
      <c r="T325" t="n">
        <v/>
      </c>
      <c r="U325" t="n">
        <v/>
      </c>
      <c r="V325" t="b">
        <v>0</v>
      </c>
      <c r="W325" t="inlineStr"/>
      <c r="X325" t="n">
        <v/>
      </c>
    </row>
    <row r="326">
      <c r="A326" t="inlineStr">
        <is>
          <t>Balance Sheet</t>
        </is>
      </c>
      <c r="B326" t="inlineStr">
        <is>
          <t>I47</t>
        </is>
      </c>
      <c r="C326" t="n">
        <v>47</v>
      </c>
      <c r="D326" t="n">
        <v>9</v>
      </c>
      <c r="E326" t="inlineStr">
        <is>
          <t>Input</t>
        </is>
      </c>
      <c r="F326" t="n">
        <v/>
      </c>
      <c r="G326" t="n">
        <v>51.19</v>
      </c>
      <c r="H326" t="inlineStr"/>
      <c r="I326" t="inlineStr">
        <is>
          <t>_-* #,##0_-;\-* #,##0_-;_-* "-"??_-;_-@_-</t>
        </is>
      </c>
      <c r="J326" t="b">
        <v>0</v>
      </c>
      <c r="K326" t="b">
        <v>0</v>
      </c>
      <c r="L326" t="n">
        <v>11</v>
      </c>
      <c r="M326" t="inlineStr">
        <is>
          <t>FF000000</t>
        </is>
      </c>
      <c r="N326" t="inlineStr">
        <is>
          <t>00000000</t>
        </is>
      </c>
      <c r="O326" t="n">
        <v/>
      </c>
      <c r="P326" t="n">
        <v/>
      </c>
      <c r="R326" t="b">
        <v>1</v>
      </c>
      <c r="S326" t="n">
        <v/>
      </c>
      <c r="T326" t="n">
        <v/>
      </c>
      <c r="U326" t="n">
        <v/>
      </c>
      <c r="V326" t="b">
        <v>0</v>
      </c>
      <c r="W326" t="inlineStr"/>
      <c r="X326" t="n">
        <v/>
      </c>
    </row>
    <row r="327">
      <c r="A327" t="inlineStr">
        <is>
          <t>Balance Sheet</t>
        </is>
      </c>
      <c r="B327" t="inlineStr">
        <is>
          <t>A48</t>
        </is>
      </c>
      <c r="C327" t="n">
        <v>48</v>
      </c>
      <c r="D327" t="n">
        <v>1</v>
      </c>
      <c r="E327" t="inlineStr">
        <is>
          <t>Input</t>
        </is>
      </c>
      <c r="F327" t="n">
        <v/>
      </c>
      <c r="G327" t="inlineStr">
        <is>
          <t>Current tax liabilities (Net)</t>
        </is>
      </c>
      <c r="H327" t="inlineStr"/>
      <c r="I327" t="inlineStr">
        <is>
          <t>General</t>
        </is>
      </c>
      <c r="J327" t="b">
        <v>0</v>
      </c>
      <c r="K327" t="b">
        <v>0</v>
      </c>
      <c r="L327" t="n">
        <v>11</v>
      </c>
      <c r="M327" t="inlineStr">
        <is>
          <t>FF000000</t>
        </is>
      </c>
      <c r="N327" t="inlineStr">
        <is>
          <t>00000000</t>
        </is>
      </c>
      <c r="O327" t="inlineStr">
        <is>
          <t>left</t>
        </is>
      </c>
      <c r="P327" t="n">
        <v/>
      </c>
      <c r="R327" t="b">
        <v>1</v>
      </c>
      <c r="S327" t="n">
        <v/>
      </c>
      <c r="T327" t="n">
        <v/>
      </c>
      <c r="U327" t="n">
        <v/>
      </c>
      <c r="V327" t="b">
        <v>0</v>
      </c>
      <c r="W327" t="inlineStr"/>
      <c r="X327" t="n">
        <v/>
      </c>
    </row>
    <row r="328">
      <c r="A328" t="inlineStr">
        <is>
          <t>Balance Sheet</t>
        </is>
      </c>
      <c r="B328" t="inlineStr">
        <is>
          <t>C48</t>
        </is>
      </c>
      <c r="C328" t="n">
        <v>48</v>
      </c>
      <c r="D328" t="n">
        <v>3</v>
      </c>
      <c r="E328" t="inlineStr">
        <is>
          <t>Input</t>
        </is>
      </c>
      <c r="F328" t="n">
        <v/>
      </c>
      <c r="G328" t="n">
        <v>418.59</v>
      </c>
      <c r="H328" t="inlineStr"/>
      <c r="I328" t="inlineStr">
        <is>
          <t>_-* #,##0_-;\-* #,##0_-;_-* "-"??_-;_-@_-</t>
        </is>
      </c>
      <c r="J328" t="b">
        <v>0</v>
      </c>
      <c r="K328" t="b">
        <v>0</v>
      </c>
      <c r="L328" t="n">
        <v>11</v>
      </c>
      <c r="M328" t="inlineStr">
        <is>
          <t>FF000000</t>
        </is>
      </c>
      <c r="N328" t="inlineStr">
        <is>
          <t>00000000</t>
        </is>
      </c>
      <c r="O328" t="n">
        <v/>
      </c>
      <c r="P328" t="n">
        <v/>
      </c>
      <c r="R328" t="b">
        <v>1</v>
      </c>
      <c r="S328" t="n">
        <v/>
      </c>
      <c r="T328" t="n">
        <v/>
      </c>
      <c r="U328" t="n">
        <v/>
      </c>
      <c r="V328" t="b">
        <v>0</v>
      </c>
      <c r="W328" t="inlineStr"/>
      <c r="X328" t="n">
        <v/>
      </c>
    </row>
    <row r="329">
      <c r="A329" t="inlineStr">
        <is>
          <t>Balance Sheet</t>
        </is>
      </c>
      <c r="B329" t="inlineStr">
        <is>
          <t>D48</t>
        </is>
      </c>
      <c r="C329" t="n">
        <v>48</v>
      </c>
      <c r="D329" t="n">
        <v>4</v>
      </c>
      <c r="E329" t="inlineStr">
        <is>
          <t>Input</t>
        </is>
      </c>
      <c r="F329" t="n">
        <v/>
      </c>
      <c r="G329" t="n">
        <v>468.42</v>
      </c>
      <c r="H329" t="inlineStr"/>
      <c r="I329" t="inlineStr">
        <is>
          <t>_-* #,##0_-;\-* #,##0_-;_-* "-"??_-;_-@_-</t>
        </is>
      </c>
      <c r="J329" t="b">
        <v>0</v>
      </c>
      <c r="K329" t="b">
        <v>0</v>
      </c>
      <c r="L329" t="n">
        <v>11</v>
      </c>
      <c r="M329" t="inlineStr">
        <is>
          <t>FF000000</t>
        </is>
      </c>
      <c r="N329" t="inlineStr">
        <is>
          <t>00000000</t>
        </is>
      </c>
      <c r="O329" t="n">
        <v/>
      </c>
      <c r="P329" t="n">
        <v/>
      </c>
      <c r="R329" t="b">
        <v>1</v>
      </c>
      <c r="S329" t="n">
        <v/>
      </c>
      <c r="T329" t="n">
        <v/>
      </c>
      <c r="U329" t="n">
        <v/>
      </c>
      <c r="V329" t="b">
        <v>0</v>
      </c>
      <c r="W329" t="inlineStr"/>
      <c r="X329" t="n">
        <v/>
      </c>
    </row>
    <row r="330">
      <c r="A330" t="inlineStr">
        <is>
          <t>Balance Sheet</t>
        </is>
      </c>
      <c r="B330" t="inlineStr">
        <is>
          <t>E48</t>
        </is>
      </c>
      <c r="C330" t="n">
        <v>48</v>
      </c>
      <c r="D330" t="n">
        <v>5</v>
      </c>
      <c r="E330" t="inlineStr">
        <is>
          <t>Input</t>
        </is>
      </c>
      <c r="F330" t="n">
        <v/>
      </c>
      <c r="G330" t="n">
        <v>468.42</v>
      </c>
      <c r="H330" t="inlineStr"/>
      <c r="I330" t="inlineStr">
        <is>
          <t>_-* #,##0_-;\-* #,##0_-;_-* "-"??_-;_-@_-</t>
        </is>
      </c>
      <c r="J330" t="b">
        <v>0</v>
      </c>
      <c r="K330" t="b">
        <v>0</v>
      </c>
      <c r="L330" t="n">
        <v>11</v>
      </c>
      <c r="M330" t="inlineStr">
        <is>
          <t>FF000000</t>
        </is>
      </c>
      <c r="N330" t="inlineStr">
        <is>
          <t>00000000</t>
        </is>
      </c>
      <c r="O330" t="n">
        <v/>
      </c>
      <c r="P330" t="n">
        <v/>
      </c>
      <c r="R330" t="b">
        <v>1</v>
      </c>
      <c r="S330" t="n">
        <v/>
      </c>
      <c r="T330" t="n">
        <v/>
      </c>
      <c r="U330" t="n">
        <v/>
      </c>
      <c r="V330" t="b">
        <v>0</v>
      </c>
      <c r="W330" t="inlineStr"/>
      <c r="X330" t="n">
        <v/>
      </c>
    </row>
    <row r="331">
      <c r="A331" t="inlineStr">
        <is>
          <t>Balance Sheet</t>
        </is>
      </c>
      <c r="B331" t="inlineStr">
        <is>
          <t>F48</t>
        </is>
      </c>
      <c r="C331" t="n">
        <v>48</v>
      </c>
      <c r="D331" t="n">
        <v>6</v>
      </c>
      <c r="E331" t="inlineStr">
        <is>
          <t>Input</t>
        </is>
      </c>
      <c r="F331" t="n">
        <v/>
      </c>
      <c r="G331" t="n">
        <v>468.42</v>
      </c>
      <c r="H331" t="inlineStr"/>
      <c r="I331" t="inlineStr">
        <is>
          <t>_-* #,##0_-;\-* #,##0_-;_-* "-"??_-;_-@_-</t>
        </is>
      </c>
      <c r="J331" t="b">
        <v>0</v>
      </c>
      <c r="K331" t="b">
        <v>0</v>
      </c>
      <c r="L331" t="n">
        <v>11</v>
      </c>
      <c r="M331" t="inlineStr">
        <is>
          <t>FF000000</t>
        </is>
      </c>
      <c r="N331" t="inlineStr">
        <is>
          <t>00000000</t>
        </is>
      </c>
      <c r="O331" t="n">
        <v/>
      </c>
      <c r="P331" t="n">
        <v/>
      </c>
      <c r="R331" t="b">
        <v>1</v>
      </c>
      <c r="S331" t="n">
        <v/>
      </c>
      <c r="T331" t="n">
        <v/>
      </c>
      <c r="U331" t="n">
        <v/>
      </c>
      <c r="V331" t="b">
        <v>0</v>
      </c>
      <c r="W331" t="inlineStr"/>
      <c r="X331" t="n">
        <v/>
      </c>
    </row>
    <row r="332">
      <c r="A332" t="inlineStr">
        <is>
          <t>Balance Sheet</t>
        </is>
      </c>
      <c r="B332" t="inlineStr">
        <is>
          <t>G48</t>
        </is>
      </c>
      <c r="C332" t="n">
        <v>48</v>
      </c>
      <c r="D332" t="n">
        <v>7</v>
      </c>
      <c r="E332" t="inlineStr">
        <is>
          <t>Input</t>
        </is>
      </c>
      <c r="F332" t="n">
        <v/>
      </c>
      <c r="G332" t="n">
        <v>468.42</v>
      </c>
      <c r="H332" t="inlineStr"/>
      <c r="I332" t="inlineStr">
        <is>
          <t>_-* #,##0_-;\-* #,##0_-;_-* "-"??_-;_-@_-</t>
        </is>
      </c>
      <c r="J332" t="b">
        <v>0</v>
      </c>
      <c r="K332" t="b">
        <v>0</v>
      </c>
      <c r="L332" t="n">
        <v>11</v>
      </c>
      <c r="M332" t="inlineStr">
        <is>
          <t>FF000000</t>
        </is>
      </c>
      <c r="N332" t="inlineStr">
        <is>
          <t>00000000</t>
        </is>
      </c>
      <c r="O332" t="n">
        <v/>
      </c>
      <c r="P332" t="n">
        <v/>
      </c>
      <c r="R332" t="b">
        <v>1</v>
      </c>
      <c r="S332" t="n">
        <v/>
      </c>
      <c r="T332" t="n">
        <v/>
      </c>
      <c r="U332" t="n">
        <v/>
      </c>
      <c r="V332" t="b">
        <v>0</v>
      </c>
      <c r="W332" t="inlineStr"/>
      <c r="X332" t="n">
        <v/>
      </c>
    </row>
    <row r="333">
      <c r="A333" t="inlineStr">
        <is>
          <t>Balance Sheet</t>
        </is>
      </c>
      <c r="B333" t="inlineStr">
        <is>
          <t>H48</t>
        </is>
      </c>
      <c r="C333" t="n">
        <v>48</v>
      </c>
      <c r="D333" t="n">
        <v>8</v>
      </c>
      <c r="E333" t="inlineStr">
        <is>
          <t>Input</t>
        </is>
      </c>
      <c r="F333" t="n">
        <v/>
      </c>
      <c r="G333" t="n">
        <v>468.42</v>
      </c>
      <c r="H333" t="inlineStr"/>
      <c r="I333" t="inlineStr">
        <is>
          <t>_-* #,##0_-;\-* #,##0_-;_-* "-"??_-;_-@_-</t>
        </is>
      </c>
      <c r="J333" t="b">
        <v>0</v>
      </c>
      <c r="K333" t="b">
        <v>0</v>
      </c>
      <c r="L333" t="n">
        <v>11</v>
      </c>
      <c r="M333" t="inlineStr">
        <is>
          <t>FF000000</t>
        </is>
      </c>
      <c r="N333" t="inlineStr">
        <is>
          <t>00000000</t>
        </is>
      </c>
      <c r="O333" t="n">
        <v/>
      </c>
      <c r="P333" t="n">
        <v/>
      </c>
      <c r="R333" t="b">
        <v>1</v>
      </c>
      <c r="S333" t="n">
        <v/>
      </c>
      <c r="T333" t="n">
        <v/>
      </c>
      <c r="U333" t="n">
        <v/>
      </c>
      <c r="V333" t="b">
        <v>0</v>
      </c>
      <c r="W333" t="inlineStr"/>
      <c r="X333" t="n">
        <v/>
      </c>
    </row>
    <row r="334">
      <c r="A334" t="inlineStr">
        <is>
          <t>Balance Sheet</t>
        </is>
      </c>
      <c r="B334" t="inlineStr">
        <is>
          <t>I48</t>
        </is>
      </c>
      <c r="C334" t="n">
        <v>48</v>
      </c>
      <c r="D334" t="n">
        <v>9</v>
      </c>
      <c r="E334" t="inlineStr">
        <is>
          <t>Input</t>
        </is>
      </c>
      <c r="F334" t="n">
        <v/>
      </c>
      <c r="G334" t="n">
        <v>468.42</v>
      </c>
      <c r="H334" t="inlineStr"/>
      <c r="I334" t="inlineStr">
        <is>
          <t>_-* #,##0_-;\-* #,##0_-;_-* "-"??_-;_-@_-</t>
        </is>
      </c>
      <c r="J334" t="b">
        <v>0</v>
      </c>
      <c r="K334" t="b">
        <v>0</v>
      </c>
      <c r="L334" t="n">
        <v>11</v>
      </c>
      <c r="M334" t="inlineStr">
        <is>
          <t>FF000000</t>
        </is>
      </c>
      <c r="N334" t="inlineStr">
        <is>
          <t>00000000</t>
        </is>
      </c>
      <c r="O334" t="n">
        <v/>
      </c>
      <c r="P334" t="n">
        <v/>
      </c>
      <c r="R334" t="b">
        <v>1</v>
      </c>
      <c r="S334" t="n">
        <v/>
      </c>
      <c r="T334" t="n">
        <v/>
      </c>
      <c r="U334" t="n">
        <v/>
      </c>
      <c r="V334" t="b">
        <v>0</v>
      </c>
      <c r="W334" t="inlineStr"/>
      <c r="X334" t="n">
        <v/>
      </c>
    </row>
    <row r="335">
      <c r="A335" t="inlineStr">
        <is>
          <t>Balance Sheet</t>
        </is>
      </c>
      <c r="B335" t="inlineStr">
        <is>
          <t>A49</t>
        </is>
      </c>
      <c r="C335" t="n">
        <v>49</v>
      </c>
      <c r="D335" t="n">
        <v>1</v>
      </c>
      <c r="E335" t="inlineStr">
        <is>
          <t>Input</t>
        </is>
      </c>
      <c r="F335" t="n">
        <v/>
      </c>
      <c r="G335" t="inlineStr">
        <is>
          <t>Total Current liabilities</t>
        </is>
      </c>
      <c r="H335" t="inlineStr"/>
      <c r="I335" t="inlineStr">
        <is>
          <t>General</t>
        </is>
      </c>
      <c r="J335" t="b">
        <v>1</v>
      </c>
      <c r="K335" t="b">
        <v>0</v>
      </c>
      <c r="L335" t="n">
        <v>11</v>
      </c>
      <c r="M335" t="inlineStr">
        <is>
          <t>FF000000</t>
        </is>
      </c>
      <c r="N335" t="inlineStr">
        <is>
          <t>00000000</t>
        </is>
      </c>
      <c r="O335" t="n">
        <v/>
      </c>
      <c r="P335" t="n">
        <v/>
      </c>
      <c r="R335" t="b">
        <v>1</v>
      </c>
      <c r="S335" t="n">
        <v/>
      </c>
      <c r="T335" t="n">
        <v/>
      </c>
      <c r="U335" t="n">
        <v/>
      </c>
      <c r="V335" t="b">
        <v>0</v>
      </c>
      <c r="W335" t="inlineStr"/>
      <c r="X335" t="n">
        <v/>
      </c>
    </row>
    <row r="336">
      <c r="A336" t="inlineStr">
        <is>
          <t>Balance Sheet</t>
        </is>
      </c>
      <c r="B336" t="inlineStr">
        <is>
          <t>B49</t>
        </is>
      </c>
      <c r="C336" t="n">
        <v>49</v>
      </c>
      <c r="D336" t="n">
        <v>2</v>
      </c>
      <c r="E336" t="inlineStr">
        <is>
          <t>Input</t>
        </is>
      </c>
      <c r="F336" t="n">
        <v/>
      </c>
      <c r="H336" t="inlineStr"/>
      <c r="I336" t="inlineStr">
        <is>
          <t>General</t>
        </is>
      </c>
      <c r="J336" t="b">
        <v>1</v>
      </c>
      <c r="K336" t="b">
        <v>0</v>
      </c>
      <c r="L336" t="n">
        <v>11</v>
      </c>
      <c r="M336" t="inlineStr">
        <is>
          <t>FF000000</t>
        </is>
      </c>
      <c r="N336" t="inlineStr">
        <is>
          <t>00000000</t>
        </is>
      </c>
      <c r="O336" t="n">
        <v/>
      </c>
      <c r="P336" t="n">
        <v/>
      </c>
      <c r="R336" t="b">
        <v>0</v>
      </c>
      <c r="S336" t="n">
        <v/>
      </c>
      <c r="T336" t="n">
        <v/>
      </c>
      <c r="U336" t="n">
        <v/>
      </c>
      <c r="V336" t="b">
        <v>0</v>
      </c>
      <c r="W336" t="inlineStr"/>
      <c r="X336" t="n">
        <v/>
      </c>
    </row>
    <row r="337">
      <c r="A337" t="inlineStr">
        <is>
          <t>Balance Sheet</t>
        </is>
      </c>
      <c r="B337" t="inlineStr">
        <is>
          <t>C49</t>
        </is>
      </c>
      <c r="C337" t="n">
        <v>49</v>
      </c>
      <c r="D337" t="n">
        <v>3</v>
      </c>
      <c r="E337" t="inlineStr">
        <is>
          <t>Calculation</t>
        </is>
      </c>
      <c r="F337" t="inlineStr">
        <is>
          <t>'=SUM(C44:C48)</t>
        </is>
      </c>
      <c r="G337" t="n">
        <v>3980.06</v>
      </c>
      <c r="H337" t="inlineStr"/>
      <c r="I337" t="inlineStr">
        <is>
          <t>_-* #,##0_-;\-* #,##0_-;_-* "-"??_-;_-@_-</t>
        </is>
      </c>
      <c r="J337" t="b">
        <v>1</v>
      </c>
      <c r="K337" t="b">
        <v>0</v>
      </c>
      <c r="L337" t="n">
        <v>11</v>
      </c>
      <c r="M337" t="inlineStr">
        <is>
          <t>FF000000</t>
        </is>
      </c>
      <c r="N337" t="inlineStr">
        <is>
          <t>00000000</t>
        </is>
      </c>
      <c r="O337" t="n">
        <v/>
      </c>
      <c r="P337" t="n">
        <v/>
      </c>
      <c r="R337" t="b">
        <v>1</v>
      </c>
      <c r="S337" t="inlineStr">
        <is>
          <t>G000156</t>
        </is>
      </c>
      <c r="T337" t="inlineStr">
        <is>
          <t>Horizontal</t>
        </is>
      </c>
      <c r="U337" t="n">
        <v>7</v>
      </c>
      <c r="V337" t="b">
        <v>1</v>
      </c>
      <c r="W337" t="inlineStr">
        <is>
          <t>Balance Sheet!C49:I49</t>
        </is>
      </c>
      <c r="X337">
        <f>SUM(R[-5]C[0]:R[-1]C[0])</f>
        <v/>
      </c>
    </row>
    <row r="338">
      <c r="A338" t="inlineStr">
        <is>
          <t>Balance Sheet</t>
        </is>
      </c>
      <c r="B338" t="inlineStr">
        <is>
          <t>D49</t>
        </is>
      </c>
      <c r="C338" t="n">
        <v>49</v>
      </c>
      <c r="D338" t="n">
        <v>4</v>
      </c>
      <c r="E338" t="inlineStr">
        <is>
          <t>Calculation</t>
        </is>
      </c>
      <c r="F338" t="inlineStr">
        <is>
          <t>'=SUM(D44:D48)</t>
        </is>
      </c>
      <c r="G338" t="n">
        <v>4792.66</v>
      </c>
      <c r="H338" t="inlineStr"/>
      <c r="I338" t="inlineStr">
        <is>
          <t>_-* #,##0_-;\-* #,##0_-;_-* "-"??_-;_-@_-</t>
        </is>
      </c>
      <c r="J338" t="b">
        <v>1</v>
      </c>
      <c r="K338" t="b">
        <v>0</v>
      </c>
      <c r="L338" t="n">
        <v>11</v>
      </c>
      <c r="M338" t="inlineStr">
        <is>
          <t>FF000000</t>
        </is>
      </c>
      <c r="N338" t="inlineStr">
        <is>
          <t>00000000</t>
        </is>
      </c>
      <c r="O338" t="n">
        <v/>
      </c>
      <c r="P338" t="n">
        <v/>
      </c>
      <c r="R338" t="b">
        <v>1</v>
      </c>
      <c r="S338" t="inlineStr">
        <is>
          <t>G000156</t>
        </is>
      </c>
      <c r="T338" t="inlineStr">
        <is>
          <t>Horizontal</t>
        </is>
      </c>
      <c r="U338" t="n">
        <v>7</v>
      </c>
      <c r="V338" t="b">
        <v>1</v>
      </c>
      <c r="W338" t="inlineStr">
        <is>
          <t>Balance Sheet!C49:I49</t>
        </is>
      </c>
      <c r="X338">
        <f>SUM(R[-5]C[0]:R[-1]C[0])</f>
        <v/>
      </c>
    </row>
    <row r="339">
      <c r="A339" t="inlineStr">
        <is>
          <t>Balance Sheet</t>
        </is>
      </c>
      <c r="B339" t="inlineStr">
        <is>
          <t>E49</t>
        </is>
      </c>
      <c r="C339" t="n">
        <v>49</v>
      </c>
      <c r="D339" t="n">
        <v>5</v>
      </c>
      <c r="E339" t="inlineStr">
        <is>
          <t>Calculation</t>
        </is>
      </c>
      <c r="F339" t="inlineStr">
        <is>
          <t>'=SUM(E44:E48)</t>
        </is>
      </c>
      <c r="G339" t="n">
        <v>4841.97388071395</v>
      </c>
      <c r="H339" t="inlineStr"/>
      <c r="I339" t="inlineStr">
        <is>
          <t>_-* #,##0_-;\-* #,##0_-;_-* "-"??_-;_-@_-</t>
        </is>
      </c>
      <c r="J339" t="b">
        <v>1</v>
      </c>
      <c r="K339" t="b">
        <v>0</v>
      </c>
      <c r="L339" t="n">
        <v>11</v>
      </c>
      <c r="M339" t="inlineStr">
        <is>
          <t>FF000000</t>
        </is>
      </c>
      <c r="N339" t="inlineStr">
        <is>
          <t>00000000</t>
        </is>
      </c>
      <c r="O339" t="n">
        <v/>
      </c>
      <c r="P339" t="n">
        <v/>
      </c>
      <c r="R339" t="b">
        <v>1</v>
      </c>
      <c r="S339" t="inlineStr">
        <is>
          <t>G000156</t>
        </is>
      </c>
      <c r="T339" t="inlineStr">
        <is>
          <t>Horizontal</t>
        </is>
      </c>
      <c r="U339" t="n">
        <v>7</v>
      </c>
      <c r="V339" t="b">
        <v>1</v>
      </c>
      <c r="W339" t="inlineStr">
        <is>
          <t>Balance Sheet!C49:I49</t>
        </is>
      </c>
      <c r="X339">
        <f>SUM(R[-5]C[0]:R[-1]C[0])</f>
        <v/>
      </c>
    </row>
    <row r="340">
      <c r="A340" t="inlineStr">
        <is>
          <t>Balance Sheet</t>
        </is>
      </c>
      <c r="B340" t="inlineStr">
        <is>
          <t>F49</t>
        </is>
      </c>
      <c r="C340" t="n">
        <v>49</v>
      </c>
      <c r="D340" t="n">
        <v>6</v>
      </c>
      <c r="E340" t="inlineStr">
        <is>
          <t>Calculation</t>
        </is>
      </c>
      <c r="F340" t="inlineStr">
        <is>
          <t>'=SUM(F44:F48)</t>
        </is>
      </c>
      <c r="G340" t="n">
        <v>4998.137973020979</v>
      </c>
      <c r="H340" t="inlineStr"/>
      <c r="I340" t="inlineStr">
        <is>
          <t>_-* #,##0_-;\-* #,##0_-;_-* "-"??_-;_-@_-</t>
        </is>
      </c>
      <c r="J340" t="b">
        <v>1</v>
      </c>
      <c r="K340" t="b">
        <v>0</v>
      </c>
      <c r="L340" t="n">
        <v>11</v>
      </c>
      <c r="M340" t="inlineStr">
        <is>
          <t>FF000000</t>
        </is>
      </c>
      <c r="N340" t="inlineStr">
        <is>
          <t>00000000</t>
        </is>
      </c>
      <c r="O340" t="n">
        <v/>
      </c>
      <c r="P340" t="n">
        <v/>
      </c>
      <c r="R340" t="b">
        <v>1</v>
      </c>
      <c r="S340" t="inlineStr">
        <is>
          <t>G000156</t>
        </is>
      </c>
      <c r="T340" t="inlineStr">
        <is>
          <t>Horizontal</t>
        </is>
      </c>
      <c r="U340" t="n">
        <v>7</v>
      </c>
      <c r="V340" t="b">
        <v>1</v>
      </c>
      <c r="W340" t="inlineStr">
        <is>
          <t>Balance Sheet!C49:I49</t>
        </is>
      </c>
      <c r="X340">
        <f>SUM(R[-5]C[0]:R[-1]C[0])</f>
        <v/>
      </c>
    </row>
    <row r="341">
      <c r="A341" t="inlineStr">
        <is>
          <t>Balance Sheet</t>
        </is>
      </c>
      <c r="B341" t="inlineStr">
        <is>
          <t>G49</t>
        </is>
      </c>
      <c r="C341" t="n">
        <v>49</v>
      </c>
      <c r="D341" t="n">
        <v>7</v>
      </c>
      <c r="E341" t="inlineStr">
        <is>
          <t>Calculation</t>
        </is>
      </c>
      <c r="F341" t="inlineStr">
        <is>
          <t>'=SUM(G44:G48)</t>
        </is>
      </c>
      <c r="G341" t="n">
        <v>5166.005201371727</v>
      </c>
      <c r="H341" t="inlineStr"/>
      <c r="I341" t="inlineStr">
        <is>
          <t>_-* #,##0_-;\-* #,##0_-;_-* "-"??_-;_-@_-</t>
        </is>
      </c>
      <c r="J341" t="b">
        <v>1</v>
      </c>
      <c r="K341" t="b">
        <v>0</v>
      </c>
      <c r="L341" t="n">
        <v>11</v>
      </c>
      <c r="M341" t="inlineStr">
        <is>
          <t>FF000000</t>
        </is>
      </c>
      <c r="N341" t="inlineStr">
        <is>
          <t>00000000</t>
        </is>
      </c>
      <c r="O341" t="n">
        <v/>
      </c>
      <c r="P341" t="n">
        <v/>
      </c>
      <c r="R341" t="b">
        <v>1</v>
      </c>
      <c r="S341" t="inlineStr">
        <is>
          <t>G000156</t>
        </is>
      </c>
      <c r="T341" t="inlineStr">
        <is>
          <t>Horizontal</t>
        </is>
      </c>
      <c r="U341" t="n">
        <v>7</v>
      </c>
      <c r="V341" t="b">
        <v>1</v>
      </c>
      <c r="W341" t="inlineStr">
        <is>
          <t>Balance Sheet!C49:I49</t>
        </is>
      </c>
      <c r="X341">
        <f>SUM(R[-5]C[0]:R[-1]C[0])</f>
        <v/>
      </c>
    </row>
    <row r="342">
      <c r="A342" t="inlineStr">
        <is>
          <t>Balance Sheet</t>
        </is>
      </c>
      <c r="B342" t="inlineStr">
        <is>
          <t>H49</t>
        </is>
      </c>
      <c r="C342" t="n">
        <v>49</v>
      </c>
      <c r="D342" t="n">
        <v>8</v>
      </c>
      <c r="E342" t="inlineStr">
        <is>
          <t>Calculation</t>
        </is>
      </c>
      <c r="F342" t="inlineStr">
        <is>
          <t>'=SUM(H44:H48)</t>
        </is>
      </c>
      <c r="G342" t="n">
        <v>5346.392687215539</v>
      </c>
      <c r="H342" t="inlineStr"/>
      <c r="I342" t="inlineStr">
        <is>
          <t>_-* #,##0_-;\-* #,##0_-;_-* "-"??_-;_-@_-</t>
        </is>
      </c>
      <c r="J342" t="b">
        <v>1</v>
      </c>
      <c r="K342" t="b">
        <v>0</v>
      </c>
      <c r="L342" t="n">
        <v>11</v>
      </c>
      <c r="M342" t="inlineStr">
        <is>
          <t>FF000000</t>
        </is>
      </c>
      <c r="N342" t="inlineStr">
        <is>
          <t>00000000</t>
        </is>
      </c>
      <c r="O342" t="n">
        <v/>
      </c>
      <c r="P342" t="n">
        <v/>
      </c>
      <c r="R342" t="b">
        <v>1</v>
      </c>
      <c r="S342" t="inlineStr">
        <is>
          <t>G000156</t>
        </is>
      </c>
      <c r="T342" t="inlineStr">
        <is>
          <t>Horizontal</t>
        </is>
      </c>
      <c r="U342" t="n">
        <v>7</v>
      </c>
      <c r="V342" t="b">
        <v>1</v>
      </c>
      <c r="W342" t="inlineStr">
        <is>
          <t>Balance Sheet!C49:I49</t>
        </is>
      </c>
      <c r="X342">
        <f>SUM(R[-5]C[0]:R[-1]C[0])</f>
        <v/>
      </c>
    </row>
    <row r="343">
      <c r="A343" t="inlineStr">
        <is>
          <t>Balance Sheet</t>
        </is>
      </c>
      <c r="B343" t="inlineStr">
        <is>
          <t>I49</t>
        </is>
      </c>
      <c r="C343" t="n">
        <v>49</v>
      </c>
      <c r="D343" t="n">
        <v>9</v>
      </c>
      <c r="E343" t="inlineStr">
        <is>
          <t>Calculation</t>
        </is>
      </c>
      <c r="F343" t="inlineStr">
        <is>
          <t>'=SUM(I44:I48)</t>
        </is>
      </c>
      <c r="G343" t="n">
        <v>5540.171867210372</v>
      </c>
      <c r="H343" t="inlineStr"/>
      <c r="I343" t="inlineStr">
        <is>
          <t>_-* #,##0_-;\-* #,##0_-;_-* "-"??_-;_-@_-</t>
        </is>
      </c>
      <c r="J343" t="b">
        <v>1</v>
      </c>
      <c r="K343" t="b">
        <v>0</v>
      </c>
      <c r="L343" t="n">
        <v>11</v>
      </c>
      <c r="M343" t="inlineStr">
        <is>
          <t>FF000000</t>
        </is>
      </c>
      <c r="N343" t="inlineStr">
        <is>
          <t>00000000</t>
        </is>
      </c>
      <c r="O343" t="n">
        <v/>
      </c>
      <c r="P343" t="n">
        <v/>
      </c>
      <c r="R343" t="b">
        <v>1</v>
      </c>
      <c r="S343" t="inlineStr">
        <is>
          <t>G000156</t>
        </is>
      </c>
      <c r="T343" t="inlineStr">
        <is>
          <t>Horizontal</t>
        </is>
      </c>
      <c r="U343" t="n">
        <v>7</v>
      </c>
      <c r="V343" t="b">
        <v>1</v>
      </c>
      <c r="W343" t="inlineStr">
        <is>
          <t>Balance Sheet!C49:I49</t>
        </is>
      </c>
      <c r="X343">
        <f>SUM(R[-5]C[0]:R[-1]C[0])</f>
        <v/>
      </c>
    </row>
    <row r="344">
      <c r="A344" t="inlineStr">
        <is>
          <t>Balance Sheet</t>
        </is>
      </c>
      <c r="B344" t="inlineStr">
        <is>
          <t>A50</t>
        </is>
      </c>
      <c r="C344" t="n">
        <v>50</v>
      </c>
      <c r="D344" t="n">
        <v>1</v>
      </c>
      <c r="E344" t="inlineStr">
        <is>
          <t>Input</t>
        </is>
      </c>
      <c r="F344" t="n">
        <v/>
      </c>
      <c r="G344" t="inlineStr">
        <is>
          <t>Total liabilities</t>
        </is>
      </c>
      <c r="H344" t="inlineStr"/>
      <c r="I344" t="inlineStr">
        <is>
          <t>General</t>
        </is>
      </c>
      <c r="J344" t="b">
        <v>1</v>
      </c>
      <c r="K344" t="b">
        <v>0</v>
      </c>
      <c r="L344" t="n">
        <v>11</v>
      </c>
      <c r="M344" t="inlineStr">
        <is>
          <t>FF000000</t>
        </is>
      </c>
      <c r="N344" t="inlineStr">
        <is>
          <t>00000000</t>
        </is>
      </c>
      <c r="O344" t="n">
        <v/>
      </c>
      <c r="P344" t="n">
        <v/>
      </c>
      <c r="R344" t="b">
        <v>1</v>
      </c>
      <c r="S344" t="n">
        <v/>
      </c>
      <c r="T344" t="n">
        <v/>
      </c>
      <c r="U344" t="n">
        <v/>
      </c>
      <c r="V344" t="b">
        <v>0</v>
      </c>
      <c r="W344" t="inlineStr"/>
      <c r="X344" t="n">
        <v/>
      </c>
    </row>
    <row r="345">
      <c r="A345" t="inlineStr">
        <is>
          <t>Balance Sheet</t>
        </is>
      </c>
      <c r="B345" t="inlineStr">
        <is>
          <t>B50</t>
        </is>
      </c>
      <c r="C345" t="n">
        <v>50</v>
      </c>
      <c r="D345" t="n">
        <v>2</v>
      </c>
      <c r="E345" t="inlineStr">
        <is>
          <t>Input</t>
        </is>
      </c>
      <c r="F345" t="n">
        <v/>
      </c>
      <c r="H345" t="inlineStr"/>
      <c r="I345" t="inlineStr">
        <is>
          <t>General</t>
        </is>
      </c>
      <c r="J345" t="b">
        <v>1</v>
      </c>
      <c r="K345" t="b">
        <v>0</v>
      </c>
      <c r="L345" t="n">
        <v>11</v>
      </c>
      <c r="M345" t="inlineStr">
        <is>
          <t>FF000000</t>
        </is>
      </c>
      <c r="N345" t="inlineStr">
        <is>
          <t>00000000</t>
        </is>
      </c>
      <c r="O345" t="n">
        <v/>
      </c>
      <c r="P345" t="n">
        <v/>
      </c>
      <c r="R345" t="b">
        <v>0</v>
      </c>
      <c r="S345" t="n">
        <v/>
      </c>
      <c r="T345" t="n">
        <v/>
      </c>
      <c r="U345" t="n">
        <v/>
      </c>
      <c r="V345" t="b">
        <v>0</v>
      </c>
      <c r="W345" t="inlineStr"/>
      <c r="X345" t="n">
        <v/>
      </c>
    </row>
    <row r="346">
      <c r="A346" t="inlineStr">
        <is>
          <t>Balance Sheet</t>
        </is>
      </c>
      <c r="B346" t="inlineStr">
        <is>
          <t>C50</t>
        </is>
      </c>
      <c r="C346" t="n">
        <v>50</v>
      </c>
      <c r="D346" t="n">
        <v>3</v>
      </c>
      <c r="E346" t="inlineStr">
        <is>
          <t>Calculation</t>
        </is>
      </c>
      <c r="F346" t="inlineStr">
        <is>
          <t>'=C49+C41</t>
        </is>
      </c>
      <c r="G346" t="n">
        <v>4577.73</v>
      </c>
      <c r="H346" t="inlineStr"/>
      <c r="I346" t="inlineStr">
        <is>
          <t>_-* #,##0_-;\-* #,##0_-;_-* "-"??_-;_-@_-</t>
        </is>
      </c>
      <c r="J346" t="b">
        <v>1</v>
      </c>
      <c r="K346" t="b">
        <v>0</v>
      </c>
      <c r="L346" t="n">
        <v>11</v>
      </c>
      <c r="M346" t="inlineStr">
        <is>
          <t>FF000000</t>
        </is>
      </c>
      <c r="N346" t="inlineStr">
        <is>
          <t>00000000</t>
        </is>
      </c>
      <c r="O346" t="n">
        <v/>
      </c>
      <c r="P346" t="n">
        <v/>
      </c>
      <c r="R346" t="b">
        <v>1</v>
      </c>
      <c r="S346" t="inlineStr">
        <is>
          <t>G000157</t>
        </is>
      </c>
      <c r="T346" t="inlineStr">
        <is>
          <t>Horizontal</t>
        </is>
      </c>
      <c r="U346" t="n">
        <v>7</v>
      </c>
      <c r="V346" t="b">
        <v>1</v>
      </c>
      <c r="W346" t="inlineStr">
        <is>
          <t>Balance Sheet!C50:I50</t>
        </is>
      </c>
      <c r="X346">
        <f>R[-1]C[0]+R[-9]C[0]</f>
        <v/>
      </c>
    </row>
    <row r="347">
      <c r="A347" t="inlineStr">
        <is>
          <t>Balance Sheet</t>
        </is>
      </c>
      <c r="B347" t="inlineStr">
        <is>
          <t>D50</t>
        </is>
      </c>
      <c r="C347" t="n">
        <v>50</v>
      </c>
      <c r="D347" t="n">
        <v>4</v>
      </c>
      <c r="E347" t="inlineStr">
        <is>
          <t>Calculation</t>
        </is>
      </c>
      <c r="F347" t="inlineStr">
        <is>
          <t>'=D49+D41</t>
        </is>
      </c>
      <c r="G347" t="n">
        <v>5487.01</v>
      </c>
      <c r="H347" t="inlineStr"/>
      <c r="I347" t="inlineStr">
        <is>
          <t>_-* #,##0_-;\-* #,##0_-;_-* "-"??_-;_-@_-</t>
        </is>
      </c>
      <c r="J347" t="b">
        <v>1</v>
      </c>
      <c r="K347" t="b">
        <v>0</v>
      </c>
      <c r="L347" t="n">
        <v>11</v>
      </c>
      <c r="M347" t="inlineStr">
        <is>
          <t>FF000000</t>
        </is>
      </c>
      <c r="N347" t="inlineStr">
        <is>
          <t>00000000</t>
        </is>
      </c>
      <c r="O347" t="n">
        <v/>
      </c>
      <c r="P347" t="n">
        <v/>
      </c>
      <c r="R347" t="b">
        <v>1</v>
      </c>
      <c r="S347" t="inlineStr">
        <is>
          <t>G000157</t>
        </is>
      </c>
      <c r="T347" t="inlineStr">
        <is>
          <t>Horizontal</t>
        </is>
      </c>
      <c r="U347" t="n">
        <v>7</v>
      </c>
      <c r="V347" t="b">
        <v>1</v>
      </c>
      <c r="W347" t="inlineStr">
        <is>
          <t>Balance Sheet!C50:I50</t>
        </is>
      </c>
      <c r="X347">
        <f>R[-1]C[0]+R[-9]C[0]</f>
        <v/>
      </c>
    </row>
    <row r="348">
      <c r="A348" t="inlineStr">
        <is>
          <t>Balance Sheet</t>
        </is>
      </c>
      <c r="B348" t="inlineStr">
        <is>
          <t>E50</t>
        </is>
      </c>
      <c r="C348" t="n">
        <v>50</v>
      </c>
      <c r="D348" t="n">
        <v>5</v>
      </c>
      <c r="E348" t="inlineStr">
        <is>
          <t>Calculation</t>
        </is>
      </c>
      <c r="F348" t="inlineStr">
        <is>
          <t>'=E49+E41</t>
        </is>
      </c>
      <c r="G348" t="n">
        <v>5536.32388071395</v>
      </c>
      <c r="H348" t="inlineStr"/>
      <c r="I348" t="inlineStr">
        <is>
          <t>_-* #,##0_-;\-* #,##0_-;_-* "-"??_-;_-@_-</t>
        </is>
      </c>
      <c r="J348" t="b">
        <v>1</v>
      </c>
      <c r="K348" t="b">
        <v>0</v>
      </c>
      <c r="L348" t="n">
        <v>11</v>
      </c>
      <c r="M348" t="inlineStr">
        <is>
          <t>FF000000</t>
        </is>
      </c>
      <c r="N348" t="inlineStr">
        <is>
          <t>00000000</t>
        </is>
      </c>
      <c r="O348" t="n">
        <v/>
      </c>
      <c r="P348" t="n">
        <v/>
      </c>
      <c r="R348" t="b">
        <v>1</v>
      </c>
      <c r="S348" t="inlineStr">
        <is>
          <t>G000157</t>
        </is>
      </c>
      <c r="T348" t="inlineStr">
        <is>
          <t>Horizontal</t>
        </is>
      </c>
      <c r="U348" t="n">
        <v>7</v>
      </c>
      <c r="V348" t="b">
        <v>1</v>
      </c>
      <c r="W348" t="inlineStr">
        <is>
          <t>Balance Sheet!C50:I50</t>
        </is>
      </c>
      <c r="X348">
        <f>R[-1]C[0]+R[-9]C[0]</f>
        <v/>
      </c>
    </row>
    <row r="349">
      <c r="A349" t="inlineStr">
        <is>
          <t>Balance Sheet</t>
        </is>
      </c>
      <c r="B349" t="inlineStr">
        <is>
          <t>F50</t>
        </is>
      </c>
      <c r="C349" t="n">
        <v>50</v>
      </c>
      <c r="D349" t="n">
        <v>6</v>
      </c>
      <c r="E349" t="inlineStr">
        <is>
          <t>Calculation</t>
        </is>
      </c>
      <c r="F349" t="inlineStr">
        <is>
          <t>'=F49+F41</t>
        </is>
      </c>
      <c r="G349" t="n">
        <v>5692.48797302098</v>
      </c>
      <c r="H349" t="inlineStr"/>
      <c r="I349" t="inlineStr">
        <is>
          <t>_-* #,##0_-;\-* #,##0_-;_-* "-"??_-;_-@_-</t>
        </is>
      </c>
      <c r="J349" t="b">
        <v>1</v>
      </c>
      <c r="K349" t="b">
        <v>0</v>
      </c>
      <c r="L349" t="n">
        <v>11</v>
      </c>
      <c r="M349" t="inlineStr">
        <is>
          <t>FF000000</t>
        </is>
      </c>
      <c r="N349" t="inlineStr">
        <is>
          <t>00000000</t>
        </is>
      </c>
      <c r="O349" t="n">
        <v/>
      </c>
      <c r="P349" t="n">
        <v/>
      </c>
      <c r="R349" t="b">
        <v>1</v>
      </c>
      <c r="S349" t="inlineStr">
        <is>
          <t>G000157</t>
        </is>
      </c>
      <c r="T349" t="inlineStr">
        <is>
          <t>Horizontal</t>
        </is>
      </c>
      <c r="U349" t="n">
        <v>7</v>
      </c>
      <c r="V349" t="b">
        <v>1</v>
      </c>
      <c r="W349" t="inlineStr">
        <is>
          <t>Balance Sheet!C50:I50</t>
        </is>
      </c>
      <c r="X349">
        <f>R[-1]C[0]+R[-9]C[0]</f>
        <v/>
      </c>
    </row>
    <row r="350">
      <c r="A350" t="inlineStr">
        <is>
          <t>Balance Sheet</t>
        </is>
      </c>
      <c r="B350" t="inlineStr">
        <is>
          <t>G50</t>
        </is>
      </c>
      <c r="C350" t="n">
        <v>50</v>
      </c>
      <c r="D350" t="n">
        <v>7</v>
      </c>
      <c r="E350" t="inlineStr">
        <is>
          <t>Calculation</t>
        </is>
      </c>
      <c r="F350" t="inlineStr">
        <is>
          <t>'=G49+G41</t>
        </is>
      </c>
      <c r="G350" t="n">
        <v>5860.355201371727</v>
      </c>
      <c r="H350" t="inlineStr"/>
      <c r="I350" t="inlineStr">
        <is>
          <t>_-* #,##0_-;\-* #,##0_-;_-* "-"??_-;_-@_-</t>
        </is>
      </c>
      <c r="J350" t="b">
        <v>1</v>
      </c>
      <c r="K350" t="b">
        <v>0</v>
      </c>
      <c r="L350" t="n">
        <v>11</v>
      </c>
      <c r="M350" t="inlineStr">
        <is>
          <t>FF000000</t>
        </is>
      </c>
      <c r="N350" t="inlineStr">
        <is>
          <t>00000000</t>
        </is>
      </c>
      <c r="O350" t="n">
        <v/>
      </c>
      <c r="P350" t="n">
        <v/>
      </c>
      <c r="R350" t="b">
        <v>1</v>
      </c>
      <c r="S350" t="inlineStr">
        <is>
          <t>G000157</t>
        </is>
      </c>
      <c r="T350" t="inlineStr">
        <is>
          <t>Horizontal</t>
        </is>
      </c>
      <c r="U350" t="n">
        <v>7</v>
      </c>
      <c r="V350" t="b">
        <v>1</v>
      </c>
      <c r="W350" t="inlineStr">
        <is>
          <t>Balance Sheet!C50:I50</t>
        </is>
      </c>
      <c r="X350">
        <f>R[-1]C[0]+R[-9]C[0]</f>
        <v/>
      </c>
    </row>
    <row r="351">
      <c r="A351" t="inlineStr">
        <is>
          <t>Balance Sheet</t>
        </is>
      </c>
      <c r="B351" t="inlineStr">
        <is>
          <t>H50</t>
        </is>
      </c>
      <c r="C351" t="n">
        <v>50</v>
      </c>
      <c r="D351" t="n">
        <v>8</v>
      </c>
      <c r="E351" t="inlineStr">
        <is>
          <t>Calculation</t>
        </is>
      </c>
      <c r="F351" t="inlineStr">
        <is>
          <t>'=H49+H41</t>
        </is>
      </c>
      <c r="G351" t="n">
        <v>6040.742687215539</v>
      </c>
      <c r="H351" t="inlineStr"/>
      <c r="I351" t="inlineStr">
        <is>
          <t>_-* #,##0_-;\-* #,##0_-;_-* "-"??_-;_-@_-</t>
        </is>
      </c>
      <c r="J351" t="b">
        <v>1</v>
      </c>
      <c r="K351" t="b">
        <v>0</v>
      </c>
      <c r="L351" t="n">
        <v>11</v>
      </c>
      <c r="M351" t="inlineStr">
        <is>
          <t>FF000000</t>
        </is>
      </c>
      <c r="N351" t="inlineStr">
        <is>
          <t>00000000</t>
        </is>
      </c>
      <c r="O351" t="n">
        <v/>
      </c>
      <c r="P351" t="n">
        <v/>
      </c>
      <c r="R351" t="b">
        <v>1</v>
      </c>
      <c r="S351" t="inlineStr">
        <is>
          <t>G000157</t>
        </is>
      </c>
      <c r="T351" t="inlineStr">
        <is>
          <t>Horizontal</t>
        </is>
      </c>
      <c r="U351" t="n">
        <v>7</v>
      </c>
      <c r="V351" t="b">
        <v>1</v>
      </c>
      <c r="W351" t="inlineStr">
        <is>
          <t>Balance Sheet!C50:I50</t>
        </is>
      </c>
      <c r="X351">
        <f>R[-1]C[0]+R[-9]C[0]</f>
        <v/>
      </c>
    </row>
    <row r="352">
      <c r="A352" t="inlineStr">
        <is>
          <t>Balance Sheet</t>
        </is>
      </c>
      <c r="B352" t="inlineStr">
        <is>
          <t>I50</t>
        </is>
      </c>
      <c r="C352" t="n">
        <v>50</v>
      </c>
      <c r="D352" t="n">
        <v>9</v>
      </c>
      <c r="E352" t="inlineStr">
        <is>
          <t>Calculation</t>
        </is>
      </c>
      <c r="F352" t="inlineStr">
        <is>
          <t>'=I49+I41</t>
        </is>
      </c>
      <c r="G352" t="n">
        <v>6234.521867210371</v>
      </c>
      <c r="H352" t="inlineStr"/>
      <c r="I352" t="inlineStr">
        <is>
          <t>_-* #,##0_-;\-* #,##0_-;_-* "-"??_-;_-@_-</t>
        </is>
      </c>
      <c r="J352" t="b">
        <v>1</v>
      </c>
      <c r="K352" t="b">
        <v>0</v>
      </c>
      <c r="L352" t="n">
        <v>11</v>
      </c>
      <c r="M352" t="inlineStr">
        <is>
          <t>FF000000</t>
        </is>
      </c>
      <c r="N352" t="inlineStr">
        <is>
          <t>00000000</t>
        </is>
      </c>
      <c r="O352" t="n">
        <v/>
      </c>
      <c r="P352" t="n">
        <v/>
      </c>
      <c r="R352" t="b">
        <v>1</v>
      </c>
      <c r="S352" t="inlineStr">
        <is>
          <t>G000157</t>
        </is>
      </c>
      <c r="T352" t="inlineStr">
        <is>
          <t>Horizontal</t>
        </is>
      </c>
      <c r="U352" t="n">
        <v>7</v>
      </c>
      <c r="V352" t="b">
        <v>1</v>
      </c>
      <c r="W352" t="inlineStr">
        <is>
          <t>Balance Sheet!C50:I50</t>
        </is>
      </c>
      <c r="X352">
        <f>R[-1]C[0]+R[-9]C[0]</f>
        <v/>
      </c>
    </row>
    <row r="353">
      <c r="A353" t="inlineStr">
        <is>
          <t>Balance Sheet</t>
        </is>
      </c>
      <c r="B353" t="inlineStr">
        <is>
          <t>A51</t>
        </is>
      </c>
      <c r="C353" t="n">
        <v>51</v>
      </c>
      <c r="D353" t="n">
        <v>1</v>
      </c>
      <c r="E353" t="inlineStr">
        <is>
          <t>Input</t>
        </is>
      </c>
      <c r="F353" t="n">
        <v/>
      </c>
      <c r="G353" t="inlineStr">
        <is>
          <t>TOTAL-EQUITY AND LIABILITIES</t>
        </is>
      </c>
      <c r="H353" t="inlineStr"/>
      <c r="I353" t="inlineStr">
        <is>
          <t>General</t>
        </is>
      </c>
      <c r="J353" t="b">
        <v>1</v>
      </c>
      <c r="K353" t="b">
        <v>0</v>
      </c>
      <c r="L353" t="n">
        <v>11</v>
      </c>
      <c r="M353" t="inlineStr">
        <is>
          <t>FF000000</t>
        </is>
      </c>
      <c r="N353" t="inlineStr">
        <is>
          <t>00000000</t>
        </is>
      </c>
      <c r="O353" t="n">
        <v/>
      </c>
      <c r="P353" t="n">
        <v/>
      </c>
      <c r="R353" t="b">
        <v>1</v>
      </c>
      <c r="S353" t="n">
        <v/>
      </c>
      <c r="T353" t="n">
        <v/>
      </c>
      <c r="U353" t="n">
        <v/>
      </c>
      <c r="V353" t="b">
        <v>0</v>
      </c>
      <c r="W353" t="inlineStr"/>
      <c r="X353" t="n">
        <v/>
      </c>
    </row>
    <row r="354">
      <c r="A354" t="inlineStr">
        <is>
          <t>Balance Sheet</t>
        </is>
      </c>
      <c r="B354" t="inlineStr">
        <is>
          <t>B51</t>
        </is>
      </c>
      <c r="C354" t="n">
        <v>51</v>
      </c>
      <c r="D354" t="n">
        <v>2</v>
      </c>
      <c r="E354" t="inlineStr">
        <is>
          <t>Input</t>
        </is>
      </c>
      <c r="F354" t="n">
        <v/>
      </c>
      <c r="H354" t="inlineStr"/>
      <c r="I354" t="inlineStr">
        <is>
          <t>General</t>
        </is>
      </c>
      <c r="J354" t="b">
        <v>1</v>
      </c>
      <c r="K354" t="b">
        <v>0</v>
      </c>
      <c r="L354" t="n">
        <v>11</v>
      </c>
      <c r="M354" t="inlineStr">
        <is>
          <t>FF000000</t>
        </is>
      </c>
      <c r="N354" t="inlineStr">
        <is>
          <t>00000000</t>
        </is>
      </c>
      <c r="O354" t="n">
        <v/>
      </c>
      <c r="P354" t="n">
        <v/>
      </c>
      <c r="R354" t="b">
        <v>0</v>
      </c>
      <c r="S354" t="n">
        <v/>
      </c>
      <c r="T354" t="n">
        <v/>
      </c>
      <c r="U354" t="n">
        <v/>
      </c>
      <c r="V354" t="b">
        <v>0</v>
      </c>
      <c r="W354" t="inlineStr"/>
      <c r="X354" t="n">
        <v/>
      </c>
    </row>
    <row r="355">
      <c r="A355" t="inlineStr">
        <is>
          <t>Balance Sheet</t>
        </is>
      </c>
      <c r="B355" t="inlineStr">
        <is>
          <t>C51</t>
        </is>
      </c>
      <c r="C355" t="n">
        <v>51</v>
      </c>
      <c r="D355" t="n">
        <v>3</v>
      </c>
      <c r="E355" t="inlineStr">
        <is>
          <t>Output</t>
        </is>
      </c>
      <c r="F355" t="inlineStr">
        <is>
          <t>'=C50+C36</t>
        </is>
      </c>
      <c r="G355" t="n">
        <v>13393.94</v>
      </c>
      <c r="H355" t="inlineStr"/>
      <c r="I355" t="inlineStr">
        <is>
          <t>_-* #,##0_-;\-* #,##0_-;_-* "-"??_-;_-@_-</t>
        </is>
      </c>
      <c r="J355" t="b">
        <v>1</v>
      </c>
      <c r="K355" t="b">
        <v>0</v>
      </c>
      <c r="L355" t="n">
        <v>11</v>
      </c>
      <c r="M355" t="inlineStr">
        <is>
          <t>FF000000</t>
        </is>
      </c>
      <c r="N355" t="inlineStr">
        <is>
          <t>00000000</t>
        </is>
      </c>
      <c r="O355" t="n">
        <v/>
      </c>
      <c r="P355" t="n">
        <v/>
      </c>
      <c r="R355" t="b">
        <v>1</v>
      </c>
      <c r="S355" t="inlineStr">
        <is>
          <t>G000158</t>
        </is>
      </c>
      <c r="T355" t="inlineStr">
        <is>
          <t>Horizontal</t>
        </is>
      </c>
      <c r="U355" t="n">
        <v>7</v>
      </c>
      <c r="V355" t="b">
        <v>1</v>
      </c>
      <c r="W355" t="inlineStr">
        <is>
          <t>Balance Sheet!C51:I51</t>
        </is>
      </c>
      <c r="X355">
        <f>R[-1]C[0]+R[-15]C[0]</f>
        <v/>
      </c>
    </row>
    <row r="356">
      <c r="A356" t="inlineStr">
        <is>
          <t>Balance Sheet</t>
        </is>
      </c>
      <c r="B356" t="inlineStr">
        <is>
          <t>D51</t>
        </is>
      </c>
      <c r="C356" t="n">
        <v>51</v>
      </c>
      <c r="D356" t="n">
        <v>4</v>
      </c>
      <c r="E356" t="inlineStr">
        <is>
          <t>Output</t>
        </is>
      </c>
      <c r="F356" t="inlineStr">
        <is>
          <t>'=D50+D36</t>
        </is>
      </c>
      <c r="G356" t="n">
        <v>14845.74</v>
      </c>
      <c r="H356" t="inlineStr"/>
      <c r="I356" t="inlineStr">
        <is>
          <t>_-* #,##0_-;\-* #,##0_-;_-* "-"??_-;_-@_-</t>
        </is>
      </c>
      <c r="J356" t="b">
        <v>1</v>
      </c>
      <c r="K356" t="b">
        <v>0</v>
      </c>
      <c r="L356" t="n">
        <v>11</v>
      </c>
      <c r="M356" t="inlineStr">
        <is>
          <t>FF000000</t>
        </is>
      </c>
      <c r="N356" t="inlineStr">
        <is>
          <t>00000000</t>
        </is>
      </c>
      <c r="O356" t="n">
        <v/>
      </c>
      <c r="P356" t="n">
        <v/>
      </c>
      <c r="R356" t="b">
        <v>1</v>
      </c>
      <c r="S356" t="inlineStr">
        <is>
          <t>G000158</t>
        </is>
      </c>
      <c r="T356" t="inlineStr">
        <is>
          <t>Horizontal</t>
        </is>
      </c>
      <c r="U356" t="n">
        <v>7</v>
      </c>
      <c r="V356" t="b">
        <v>1</v>
      </c>
      <c r="W356" t="inlineStr">
        <is>
          <t>Balance Sheet!C51:I51</t>
        </is>
      </c>
      <c r="X356">
        <f>R[-1]C[0]+R[-15]C[0]</f>
        <v/>
      </c>
    </row>
    <row r="357">
      <c r="A357" t="inlineStr">
        <is>
          <t>Balance Sheet</t>
        </is>
      </c>
      <c r="B357" t="inlineStr">
        <is>
          <t>E51</t>
        </is>
      </c>
      <c r="C357" t="n">
        <v>51</v>
      </c>
      <c r="D357" t="n">
        <v>5</v>
      </c>
      <c r="E357" t="inlineStr">
        <is>
          <t>Calculation</t>
        </is>
      </c>
      <c r="F357" t="inlineStr">
        <is>
          <t>'=E50+E36</t>
        </is>
      </c>
      <c r="G357" t="n">
        <v>15503.12896125181</v>
      </c>
      <c r="H357" t="inlineStr"/>
      <c r="I357" t="inlineStr">
        <is>
          <t>_-* #,##0_-;\-* #,##0_-;_-* "-"??_-;_-@_-</t>
        </is>
      </c>
      <c r="J357" t="b">
        <v>1</v>
      </c>
      <c r="K357" t="b">
        <v>0</v>
      </c>
      <c r="L357" t="n">
        <v>11</v>
      </c>
      <c r="M357" t="inlineStr">
        <is>
          <t>FF000000</t>
        </is>
      </c>
      <c r="N357" t="inlineStr">
        <is>
          <t>00000000</t>
        </is>
      </c>
      <c r="O357" t="n">
        <v/>
      </c>
      <c r="P357" t="n">
        <v/>
      </c>
      <c r="R357" t="b">
        <v>1</v>
      </c>
      <c r="S357" t="inlineStr">
        <is>
          <t>G000158</t>
        </is>
      </c>
      <c r="T357" t="inlineStr">
        <is>
          <t>Horizontal</t>
        </is>
      </c>
      <c r="U357" t="n">
        <v>7</v>
      </c>
      <c r="V357" t="b">
        <v>1</v>
      </c>
      <c r="W357" t="inlineStr">
        <is>
          <t>Balance Sheet!C51:I51</t>
        </is>
      </c>
      <c r="X357">
        <f>R[-1]C[0]+R[-15]C[0]</f>
        <v/>
      </c>
    </row>
    <row r="358">
      <c r="A358" t="inlineStr">
        <is>
          <t>Balance Sheet</t>
        </is>
      </c>
      <c r="B358" t="inlineStr">
        <is>
          <t>F51</t>
        </is>
      </c>
      <c r="C358" t="n">
        <v>51</v>
      </c>
      <c r="D358" t="n">
        <v>6</v>
      </c>
      <c r="E358" t="inlineStr">
        <is>
          <t>Calculation</t>
        </is>
      </c>
      <c r="F358" t="inlineStr">
        <is>
          <t>'=F50+F36</t>
        </is>
      </c>
      <c r="G358" t="n">
        <v>16309.10481738334</v>
      </c>
      <c r="H358" t="inlineStr"/>
      <c r="I358" t="inlineStr">
        <is>
          <t>_-* #,##0_-;\-* #,##0_-;_-* "-"??_-;_-@_-</t>
        </is>
      </c>
      <c r="J358" t="b">
        <v>1</v>
      </c>
      <c r="K358" t="b">
        <v>0</v>
      </c>
      <c r="L358" t="n">
        <v>11</v>
      </c>
      <c r="M358" t="inlineStr">
        <is>
          <t>FF000000</t>
        </is>
      </c>
      <c r="N358" t="inlineStr">
        <is>
          <t>00000000</t>
        </is>
      </c>
      <c r="O358" t="n">
        <v/>
      </c>
      <c r="P358" t="n">
        <v/>
      </c>
      <c r="R358" t="b">
        <v>1</v>
      </c>
      <c r="S358" t="inlineStr">
        <is>
          <t>G000158</t>
        </is>
      </c>
      <c r="T358" t="inlineStr">
        <is>
          <t>Horizontal</t>
        </is>
      </c>
      <c r="U358" t="n">
        <v>7</v>
      </c>
      <c r="V358" t="b">
        <v>1</v>
      </c>
      <c r="W358" t="inlineStr">
        <is>
          <t>Balance Sheet!C51:I51</t>
        </is>
      </c>
      <c r="X358">
        <f>R[-1]C[0]+R[-15]C[0]</f>
        <v/>
      </c>
    </row>
    <row r="359">
      <c r="A359" t="inlineStr">
        <is>
          <t>Balance Sheet</t>
        </is>
      </c>
      <c r="B359" t="inlineStr">
        <is>
          <t>G51</t>
        </is>
      </c>
      <c r="C359" t="n">
        <v>51</v>
      </c>
      <c r="D359" t="n">
        <v>7</v>
      </c>
      <c r="E359" t="inlineStr">
        <is>
          <t>Calculation</t>
        </is>
      </c>
      <c r="F359" t="inlineStr">
        <is>
          <t>'=G50+G36</t>
        </is>
      </c>
      <c r="G359" t="n">
        <v>17165.60480813205</v>
      </c>
      <c r="H359" t="inlineStr"/>
      <c r="I359" t="inlineStr">
        <is>
          <t>_-* #,##0_-;\-* #,##0_-;_-* "-"??_-;_-@_-</t>
        </is>
      </c>
      <c r="J359" t="b">
        <v>1</v>
      </c>
      <c r="K359" t="b">
        <v>0</v>
      </c>
      <c r="L359" t="n">
        <v>11</v>
      </c>
      <c r="M359" t="inlineStr">
        <is>
          <t>FF000000</t>
        </is>
      </c>
      <c r="N359" t="inlineStr">
        <is>
          <t>00000000</t>
        </is>
      </c>
      <c r="O359" t="n">
        <v/>
      </c>
      <c r="P359" t="n">
        <v/>
      </c>
      <c r="R359" t="b">
        <v>1</v>
      </c>
      <c r="S359" t="inlineStr">
        <is>
          <t>G000158</t>
        </is>
      </c>
      <c r="T359" t="inlineStr">
        <is>
          <t>Horizontal</t>
        </is>
      </c>
      <c r="U359" t="n">
        <v>7</v>
      </c>
      <c r="V359" t="b">
        <v>1</v>
      </c>
      <c r="W359" t="inlineStr">
        <is>
          <t>Balance Sheet!C51:I51</t>
        </is>
      </c>
      <c r="X359">
        <f>R[-1]C[0]+R[-15]C[0]</f>
        <v/>
      </c>
    </row>
    <row r="360">
      <c r="A360" t="inlineStr">
        <is>
          <t>Balance Sheet</t>
        </is>
      </c>
      <c r="B360" t="inlineStr">
        <is>
          <t>H51</t>
        </is>
      </c>
      <c r="C360" t="n">
        <v>51</v>
      </c>
      <c r="D360" t="n">
        <v>8</v>
      </c>
      <c r="E360" t="inlineStr">
        <is>
          <t>Calculation</t>
        </is>
      </c>
      <c r="F360" t="inlineStr">
        <is>
          <t>'=H50+H36</t>
        </is>
      </c>
      <c r="G360" t="n">
        <v>18070.43239080129</v>
      </c>
      <c r="H360" t="inlineStr"/>
      <c r="I360" t="inlineStr">
        <is>
          <t>_-* #,##0_-;\-* #,##0_-;_-* "-"??_-;_-@_-</t>
        </is>
      </c>
      <c r="J360" t="b">
        <v>1</v>
      </c>
      <c r="K360" t="b">
        <v>0</v>
      </c>
      <c r="L360" t="n">
        <v>11</v>
      </c>
      <c r="M360" t="inlineStr">
        <is>
          <t>FF000000</t>
        </is>
      </c>
      <c r="N360" t="inlineStr">
        <is>
          <t>00000000</t>
        </is>
      </c>
      <c r="O360" t="n">
        <v/>
      </c>
      <c r="P360" t="n">
        <v/>
      </c>
      <c r="R360" t="b">
        <v>1</v>
      </c>
      <c r="S360" t="inlineStr">
        <is>
          <t>G000158</t>
        </is>
      </c>
      <c r="T360" t="inlineStr">
        <is>
          <t>Horizontal</t>
        </is>
      </c>
      <c r="U360" t="n">
        <v>7</v>
      </c>
      <c r="V360" t="b">
        <v>1</v>
      </c>
      <c r="W360" t="inlineStr">
        <is>
          <t>Balance Sheet!C51:I51</t>
        </is>
      </c>
      <c r="X360">
        <f>R[-1]C[0]+R[-15]C[0]</f>
        <v/>
      </c>
    </row>
    <row r="361">
      <c r="A361" t="inlineStr">
        <is>
          <t>Balance Sheet</t>
        </is>
      </c>
      <c r="B361" t="inlineStr">
        <is>
          <t>I51</t>
        </is>
      </c>
      <c r="C361" t="n">
        <v>51</v>
      </c>
      <c r="D361" t="n">
        <v>9</v>
      </c>
      <c r="E361" t="inlineStr">
        <is>
          <t>Calculation</t>
        </is>
      </c>
      <c r="F361" t="inlineStr">
        <is>
          <t>'=I50+I36</t>
        </is>
      </c>
      <c r="G361" t="n">
        <v>19021.28398379115</v>
      </c>
      <c r="H361" t="inlineStr"/>
      <c r="I361" t="inlineStr">
        <is>
          <t>_-* #,##0_-;\-* #,##0_-;_-* "-"??_-;_-@_-</t>
        </is>
      </c>
      <c r="J361" t="b">
        <v>1</v>
      </c>
      <c r="K361" t="b">
        <v>0</v>
      </c>
      <c r="L361" t="n">
        <v>11</v>
      </c>
      <c r="M361" t="inlineStr">
        <is>
          <t>FF000000</t>
        </is>
      </c>
      <c r="N361" t="inlineStr">
        <is>
          <t>00000000</t>
        </is>
      </c>
      <c r="O361" t="n">
        <v/>
      </c>
      <c r="P361" t="n">
        <v/>
      </c>
      <c r="R361" t="b">
        <v>1</v>
      </c>
      <c r="S361" t="inlineStr">
        <is>
          <t>G000158</t>
        </is>
      </c>
      <c r="T361" t="inlineStr">
        <is>
          <t>Horizontal</t>
        </is>
      </c>
      <c r="U361" t="n">
        <v>7</v>
      </c>
      <c r="V361" t="b">
        <v>1</v>
      </c>
      <c r="W361" t="inlineStr">
        <is>
          <t>Balance Sheet!C51:I51</t>
        </is>
      </c>
      <c r="X361">
        <f>R[-1]C[0]+R[-15]C[0]</f>
        <v/>
      </c>
    </row>
    <row r="362">
      <c r="A362" t="inlineStr">
        <is>
          <t>Balance Sheet</t>
        </is>
      </c>
      <c r="B362" t="inlineStr">
        <is>
          <t>E53</t>
        </is>
      </c>
      <c r="C362" t="n">
        <v>53</v>
      </c>
      <c r="D362" t="n">
        <v>5</v>
      </c>
      <c r="E362" t="inlineStr">
        <is>
          <t>Output</t>
        </is>
      </c>
      <c r="F362" t="inlineStr">
        <is>
          <t>'=E51-E30</t>
        </is>
      </c>
      <c r="G362" t="n">
        <v>0.5499999999992724</v>
      </c>
      <c r="H362" t="inlineStr"/>
      <c r="I362" t="inlineStr">
        <is>
          <t>_-* #,##0_-;\-* #,##0_-;_-* "-"??_-;_-@_-</t>
        </is>
      </c>
      <c r="J362" t="b">
        <v>0</v>
      </c>
      <c r="K362" t="b">
        <v>0</v>
      </c>
      <c r="L362" t="n">
        <v>11</v>
      </c>
      <c r="M362" t="inlineStr">
        <is>
          <t>FFFF0000</t>
        </is>
      </c>
      <c r="N362" t="inlineStr">
        <is>
          <t>00000000</t>
        </is>
      </c>
      <c r="O362" t="n">
        <v/>
      </c>
      <c r="P362" t="n">
        <v/>
      </c>
      <c r="R362" t="b">
        <v>1</v>
      </c>
      <c r="S362" t="inlineStr">
        <is>
          <t>G000159</t>
        </is>
      </c>
      <c r="T362" t="inlineStr">
        <is>
          <t>Horizontal</t>
        </is>
      </c>
      <c r="U362" t="n">
        <v>5</v>
      </c>
      <c r="V362" t="b">
        <v>1</v>
      </c>
      <c r="W362" t="inlineStr">
        <is>
          <t>Balance Sheet!E53:I53</t>
        </is>
      </c>
      <c r="X362">
        <f>R[-2]C[0]-R[-23]C[0]</f>
        <v/>
      </c>
    </row>
    <row r="363">
      <c r="A363" t="inlineStr">
        <is>
          <t>Balance Sheet</t>
        </is>
      </c>
      <c r="B363" t="inlineStr">
        <is>
          <t>F53</t>
        </is>
      </c>
      <c r="C363" t="n">
        <v>53</v>
      </c>
      <c r="D363" t="n">
        <v>6</v>
      </c>
      <c r="E363" t="inlineStr">
        <is>
          <t>Output</t>
        </is>
      </c>
      <c r="F363" t="inlineStr">
        <is>
          <t>'=F51-F30</t>
        </is>
      </c>
      <c r="G363" t="n">
        <v>0.5499999999992724</v>
      </c>
      <c r="H363" t="inlineStr"/>
      <c r="I363" t="inlineStr">
        <is>
          <t>_-* #,##0_-;\-* #,##0_-;_-* "-"??_-;_-@_-</t>
        </is>
      </c>
      <c r="J363" t="b">
        <v>0</v>
      </c>
      <c r="K363" t="b">
        <v>0</v>
      </c>
      <c r="L363" t="n">
        <v>11</v>
      </c>
      <c r="M363" t="inlineStr">
        <is>
          <t>FFFF0000</t>
        </is>
      </c>
      <c r="N363" t="inlineStr">
        <is>
          <t>00000000</t>
        </is>
      </c>
      <c r="O363" t="n">
        <v/>
      </c>
      <c r="P363" t="n">
        <v/>
      </c>
      <c r="R363" t="b">
        <v>1</v>
      </c>
      <c r="S363" t="inlineStr">
        <is>
          <t>G000159</t>
        </is>
      </c>
      <c r="T363" t="inlineStr">
        <is>
          <t>Horizontal</t>
        </is>
      </c>
      <c r="U363" t="n">
        <v>5</v>
      </c>
      <c r="V363" t="b">
        <v>1</v>
      </c>
      <c r="W363" t="inlineStr">
        <is>
          <t>Balance Sheet!E53:I53</t>
        </is>
      </c>
      <c r="X363">
        <f>R[-2]C[0]-R[-23]C[0]</f>
        <v/>
      </c>
    </row>
    <row r="364">
      <c r="A364" t="inlineStr">
        <is>
          <t>Balance Sheet</t>
        </is>
      </c>
      <c r="B364" t="inlineStr">
        <is>
          <t>G53</t>
        </is>
      </c>
      <c r="C364" t="n">
        <v>53</v>
      </c>
      <c r="D364" t="n">
        <v>7</v>
      </c>
      <c r="E364" t="inlineStr">
        <is>
          <t>Output</t>
        </is>
      </c>
      <c r="F364" t="inlineStr">
        <is>
          <t>'=G51-G30</t>
        </is>
      </c>
      <c r="G364" t="n">
        <v>0.5499999999992724</v>
      </c>
      <c r="H364" t="inlineStr"/>
      <c r="I364" t="inlineStr">
        <is>
          <t>_-* #,##0_-;\-* #,##0_-;_-* "-"??_-;_-@_-</t>
        </is>
      </c>
      <c r="J364" t="b">
        <v>0</v>
      </c>
      <c r="K364" t="b">
        <v>0</v>
      </c>
      <c r="L364" t="n">
        <v>11</v>
      </c>
      <c r="M364" t="inlineStr">
        <is>
          <t>FFFF0000</t>
        </is>
      </c>
      <c r="N364" t="inlineStr">
        <is>
          <t>00000000</t>
        </is>
      </c>
      <c r="O364" t="n">
        <v/>
      </c>
      <c r="P364" t="n">
        <v/>
      </c>
      <c r="R364" t="b">
        <v>1</v>
      </c>
      <c r="S364" t="inlineStr">
        <is>
          <t>G000159</t>
        </is>
      </c>
      <c r="T364" t="inlineStr">
        <is>
          <t>Horizontal</t>
        </is>
      </c>
      <c r="U364" t="n">
        <v>5</v>
      </c>
      <c r="V364" t="b">
        <v>1</v>
      </c>
      <c r="W364" t="inlineStr">
        <is>
          <t>Balance Sheet!E53:I53</t>
        </is>
      </c>
      <c r="X364">
        <f>R[-2]C[0]-R[-23]C[0]</f>
        <v/>
      </c>
    </row>
    <row r="365">
      <c r="A365" t="inlineStr">
        <is>
          <t>Balance Sheet</t>
        </is>
      </c>
      <c r="B365" t="inlineStr">
        <is>
          <t>H53</t>
        </is>
      </c>
      <c r="C365" t="n">
        <v>53</v>
      </c>
      <c r="D365" t="n">
        <v>8</v>
      </c>
      <c r="E365" t="inlineStr">
        <is>
          <t>Output</t>
        </is>
      </c>
      <c r="F365" t="inlineStr">
        <is>
          <t>'=H51-H30</t>
        </is>
      </c>
      <c r="G365" t="n">
        <v>0.5500000000029104</v>
      </c>
      <c r="H365" t="inlineStr"/>
      <c r="I365" t="inlineStr">
        <is>
          <t>_-* #,##0_-;\-* #,##0_-;_-* "-"??_-;_-@_-</t>
        </is>
      </c>
      <c r="J365" t="b">
        <v>0</v>
      </c>
      <c r="K365" t="b">
        <v>0</v>
      </c>
      <c r="L365" t="n">
        <v>11</v>
      </c>
      <c r="M365" t="inlineStr">
        <is>
          <t>FFFF0000</t>
        </is>
      </c>
      <c r="N365" t="inlineStr">
        <is>
          <t>00000000</t>
        </is>
      </c>
      <c r="O365" t="n">
        <v/>
      </c>
      <c r="P365" t="n">
        <v/>
      </c>
      <c r="R365" t="b">
        <v>1</v>
      </c>
      <c r="S365" t="inlineStr">
        <is>
          <t>G000159</t>
        </is>
      </c>
      <c r="T365" t="inlineStr">
        <is>
          <t>Horizontal</t>
        </is>
      </c>
      <c r="U365" t="n">
        <v>5</v>
      </c>
      <c r="V365" t="b">
        <v>1</v>
      </c>
      <c r="W365" t="inlineStr">
        <is>
          <t>Balance Sheet!E53:I53</t>
        </is>
      </c>
      <c r="X365">
        <f>R[-2]C[0]-R[-23]C[0]</f>
        <v/>
      </c>
    </row>
    <row r="366">
      <c r="A366" t="inlineStr">
        <is>
          <t>Balance Sheet</t>
        </is>
      </c>
      <c r="B366" t="inlineStr">
        <is>
          <t>I53</t>
        </is>
      </c>
      <c r="C366" t="n">
        <v>53</v>
      </c>
      <c r="D366" t="n">
        <v>9</v>
      </c>
      <c r="E366" t="inlineStr">
        <is>
          <t>Output</t>
        </is>
      </c>
      <c r="F366" t="inlineStr">
        <is>
          <t>'=I51-I30</t>
        </is>
      </c>
      <c r="G366" t="n">
        <v>0.5500000000029104</v>
      </c>
      <c r="H366" t="inlineStr"/>
      <c r="I366" t="inlineStr">
        <is>
          <t>_-* #,##0_-;\-* #,##0_-;_-* "-"??_-;_-@_-</t>
        </is>
      </c>
      <c r="J366" t="b">
        <v>0</v>
      </c>
      <c r="K366" t="b">
        <v>0</v>
      </c>
      <c r="L366" t="n">
        <v>11</v>
      </c>
      <c r="M366" t="inlineStr">
        <is>
          <t>FFFF0000</t>
        </is>
      </c>
      <c r="N366" t="inlineStr">
        <is>
          <t>00000000</t>
        </is>
      </c>
      <c r="O366" t="n">
        <v/>
      </c>
      <c r="P366" t="n">
        <v/>
      </c>
      <c r="R366" t="b">
        <v>1</v>
      </c>
      <c r="S366" t="inlineStr">
        <is>
          <t>G000159</t>
        </is>
      </c>
      <c r="T366" t="inlineStr">
        <is>
          <t>Horizontal</t>
        </is>
      </c>
      <c r="U366" t="n">
        <v>5</v>
      </c>
      <c r="V366" t="b">
        <v>1</v>
      </c>
      <c r="W366" t="inlineStr">
        <is>
          <t>Balance Sheet!E53:I53</t>
        </is>
      </c>
      <c r="X366">
        <f>R[-2]C[0]-R[-23]C[0]</f>
        <v/>
      </c>
    </row>
    <row r="367">
      <c r="A367" t="inlineStr">
        <is>
          <t>Balance Sheet</t>
        </is>
      </c>
      <c r="B367" t="inlineStr">
        <is>
          <t>A57</t>
        </is>
      </c>
      <c r="C367" t="n">
        <v>57</v>
      </c>
      <c r="D367" t="n">
        <v>1</v>
      </c>
      <c r="E367" t="inlineStr">
        <is>
          <t>Input</t>
        </is>
      </c>
      <c r="F367" t="n">
        <v/>
      </c>
      <c r="G367" t="inlineStr">
        <is>
          <t>Inventory as % of raw material</t>
        </is>
      </c>
      <c r="H367" t="inlineStr"/>
      <c r="I367" t="inlineStr">
        <is>
          <t>General</t>
        </is>
      </c>
      <c r="J367" t="b">
        <v>0</v>
      </c>
      <c r="K367" t="b">
        <v>0</v>
      </c>
      <c r="L367" t="n">
        <v>11</v>
      </c>
      <c r="M367" t="inlineStr">
        <is>
          <t>FF000000</t>
        </is>
      </c>
      <c r="N367" t="inlineStr">
        <is>
          <t>00000000</t>
        </is>
      </c>
      <c r="O367" t="n">
        <v/>
      </c>
      <c r="P367" t="n">
        <v/>
      </c>
      <c r="R367" t="b">
        <v>1</v>
      </c>
      <c r="S367" t="n">
        <v/>
      </c>
      <c r="T367" t="n">
        <v/>
      </c>
      <c r="U367" t="n">
        <v/>
      </c>
      <c r="V367" t="b">
        <v>0</v>
      </c>
      <c r="W367" t="inlineStr"/>
      <c r="X367" t="n">
        <v/>
      </c>
    </row>
    <row r="368">
      <c r="A368" t="inlineStr">
        <is>
          <t>Balance Sheet</t>
        </is>
      </c>
      <c r="B368" t="inlineStr">
        <is>
          <t>C57</t>
        </is>
      </c>
      <c r="C368" t="n">
        <v>57</v>
      </c>
      <c r="D368" t="n">
        <v>3</v>
      </c>
      <c r="E368" t="inlineStr">
        <is>
          <t>Calculation</t>
        </is>
      </c>
      <c r="F368" t="inlineStr">
        <is>
          <t>'=C18/SUM('Financial Statements'!C4:C7)</t>
        </is>
      </c>
      <c r="G368" t="n">
        <v>0.1710494153929529</v>
      </c>
      <c r="H368" t="inlineStr"/>
      <c r="I368" t="inlineStr">
        <is>
          <t>0%</t>
        </is>
      </c>
      <c r="J368" t="b">
        <v>0</v>
      </c>
      <c r="K368" t="b">
        <v>0</v>
      </c>
      <c r="L368" t="n">
        <v>11</v>
      </c>
      <c r="M368" t="inlineStr">
        <is>
          <t>FF000000</t>
        </is>
      </c>
      <c r="N368" t="inlineStr">
        <is>
          <t>00000000</t>
        </is>
      </c>
      <c r="O368" t="n">
        <v/>
      </c>
      <c r="P368" t="n">
        <v/>
      </c>
      <c r="R368" t="b">
        <v>1</v>
      </c>
      <c r="S368" t="inlineStr">
        <is>
          <t>G000160</t>
        </is>
      </c>
      <c r="T368" t="inlineStr">
        <is>
          <t>Horizontal</t>
        </is>
      </c>
      <c r="U368" t="n">
        <v>2</v>
      </c>
      <c r="V368" t="b">
        <v>1</v>
      </c>
      <c r="W368" t="inlineStr">
        <is>
          <t>Balance Sheet!C57:D57</t>
        </is>
      </c>
      <c r="X368">
        <f>R[-39]C[0]/SUM('Financial Statements'!R[-53]C[0]:R[-50]C[0])</f>
        <v/>
      </c>
    </row>
    <row r="369">
      <c r="A369" t="inlineStr">
        <is>
          <t>Balance Sheet</t>
        </is>
      </c>
      <c r="B369" t="inlineStr">
        <is>
          <t>D57</t>
        </is>
      </c>
      <c r="C369" t="n">
        <v>57</v>
      </c>
      <c r="D369" t="n">
        <v>4</v>
      </c>
      <c r="E369" t="inlineStr">
        <is>
          <t>Calculation</t>
        </is>
      </c>
      <c r="F369" t="inlineStr">
        <is>
          <t>'=D18/SUM('Financial Statements'!D4:D7)</t>
        </is>
      </c>
      <c r="G369" t="n">
        <v>0.1571688615947809</v>
      </c>
      <c r="H369" t="inlineStr"/>
      <c r="I369" t="inlineStr">
        <is>
          <t>0%</t>
        </is>
      </c>
      <c r="J369" t="b">
        <v>0</v>
      </c>
      <c r="K369" t="b">
        <v>0</v>
      </c>
      <c r="L369" t="n">
        <v>11</v>
      </c>
      <c r="M369" t="inlineStr">
        <is>
          <t>FF000000</t>
        </is>
      </c>
      <c r="N369" t="inlineStr">
        <is>
          <t>00000000</t>
        </is>
      </c>
      <c r="O369" t="n">
        <v/>
      </c>
      <c r="P369" t="n">
        <v/>
      </c>
      <c r="R369" t="b">
        <v>1</v>
      </c>
      <c r="S369" t="inlineStr">
        <is>
          <t>G000160</t>
        </is>
      </c>
      <c r="T369" t="inlineStr">
        <is>
          <t>Horizontal</t>
        </is>
      </c>
      <c r="U369" t="n">
        <v>2</v>
      </c>
      <c r="V369" t="b">
        <v>1</v>
      </c>
      <c r="W369" t="inlineStr">
        <is>
          <t>Balance Sheet!C57:D57</t>
        </is>
      </c>
      <c r="X369">
        <f>R[-39]C[0]/SUM('Financial Statements'!R[-53]C[0]:R[-50]C[0])</f>
        <v/>
      </c>
    </row>
    <row r="370">
      <c r="A370" t="inlineStr">
        <is>
          <t>Balance Sheet</t>
        </is>
      </c>
      <c r="B370" t="inlineStr">
        <is>
          <t>E57</t>
        </is>
      </c>
      <c r="C370" t="n">
        <v>57</v>
      </c>
      <c r="D370" t="n">
        <v>5</v>
      </c>
      <c r="E370" t="inlineStr">
        <is>
          <t>Calculation</t>
        </is>
      </c>
      <c r="F370" t="inlineStr">
        <is>
          <t>'=AVERAGE(C57:D57)</t>
        </is>
      </c>
      <c r="G370" t="n">
        <v>0.1641091384938669</v>
      </c>
      <c r="H370" t="inlineStr"/>
      <c r="I370" t="inlineStr">
        <is>
          <t>0%</t>
        </is>
      </c>
      <c r="J370" t="b">
        <v>0</v>
      </c>
      <c r="K370" t="b">
        <v>0</v>
      </c>
      <c r="L370" t="n">
        <v>11</v>
      </c>
      <c r="M370" t="inlineStr">
        <is>
          <t>FF000000</t>
        </is>
      </c>
      <c r="N370" t="inlineStr">
        <is>
          <t>00000000</t>
        </is>
      </c>
      <c r="O370" t="n">
        <v/>
      </c>
      <c r="P370" t="n">
        <v/>
      </c>
      <c r="R370" t="b">
        <v>1</v>
      </c>
      <c r="S370" t="inlineStr">
        <is>
          <t>G000161</t>
        </is>
      </c>
      <c r="T370" t="inlineStr">
        <is>
          <t>Vertical</t>
        </is>
      </c>
      <c r="U370" t="n">
        <v>3</v>
      </c>
      <c r="V370" t="b">
        <v>1</v>
      </c>
      <c r="W370" t="inlineStr">
        <is>
          <t>Balance Sheet!E57:E59</t>
        </is>
      </c>
      <c r="X370">
        <f>AVERAGE(R[0]C[-2]:R[0]C[-1])</f>
        <v/>
      </c>
    </row>
    <row r="371">
      <c r="A371" t="inlineStr">
        <is>
          <t>Balance Sheet</t>
        </is>
      </c>
      <c r="B371" t="inlineStr">
        <is>
          <t>F57</t>
        </is>
      </c>
      <c r="C371" t="n">
        <v>57</v>
      </c>
      <c r="D371" t="n">
        <v>6</v>
      </c>
      <c r="E371" t="inlineStr">
        <is>
          <t>Calculation</t>
        </is>
      </c>
      <c r="F371" t="inlineStr">
        <is>
          <t>'=E57</t>
        </is>
      </c>
      <c r="G371" t="n">
        <v>0.1641091384938669</v>
      </c>
      <c r="H371" t="inlineStr"/>
      <c r="I371" t="inlineStr">
        <is>
          <t>0%</t>
        </is>
      </c>
      <c r="J371" t="b">
        <v>0</v>
      </c>
      <c r="K371" t="b">
        <v>0</v>
      </c>
      <c r="L371" t="n">
        <v>11</v>
      </c>
      <c r="M371" t="inlineStr">
        <is>
          <t>FF000000</t>
        </is>
      </c>
      <c r="N371" t="inlineStr">
        <is>
          <t>00000000</t>
        </is>
      </c>
      <c r="O371" t="n">
        <v/>
      </c>
      <c r="P371" t="n">
        <v/>
      </c>
      <c r="R371" t="b">
        <v>1</v>
      </c>
      <c r="S371" t="inlineStr">
        <is>
          <t>G000142</t>
        </is>
      </c>
      <c r="T371" t="inlineStr">
        <is>
          <t>Horizontal</t>
        </is>
      </c>
      <c r="U371" t="n">
        <v>4</v>
      </c>
      <c r="V371" t="b">
        <v>1</v>
      </c>
      <c r="W371" t="inlineStr">
        <is>
          <t>Balance Sheet!F57:I57</t>
        </is>
      </c>
      <c r="X371">
        <f>R[0]C[-1]</f>
        <v/>
      </c>
    </row>
    <row r="372">
      <c r="A372" t="inlineStr">
        <is>
          <t>Balance Sheet</t>
        </is>
      </c>
      <c r="B372" t="inlineStr">
        <is>
          <t>G57</t>
        </is>
      </c>
      <c r="C372" t="n">
        <v>57</v>
      </c>
      <c r="D372" t="n">
        <v>7</v>
      </c>
      <c r="E372" t="inlineStr">
        <is>
          <t>Calculation</t>
        </is>
      </c>
      <c r="F372" t="inlineStr">
        <is>
          <t>'=F57</t>
        </is>
      </c>
      <c r="G372" t="n">
        <v>0.1641091384938669</v>
      </c>
      <c r="H372" t="inlineStr"/>
      <c r="I372" t="inlineStr">
        <is>
          <t>0%</t>
        </is>
      </c>
      <c r="J372" t="b">
        <v>0</v>
      </c>
      <c r="K372" t="b">
        <v>0</v>
      </c>
      <c r="L372" t="n">
        <v>11</v>
      </c>
      <c r="M372" t="inlineStr">
        <is>
          <t>FF000000</t>
        </is>
      </c>
      <c r="N372" t="inlineStr">
        <is>
          <t>00000000</t>
        </is>
      </c>
      <c r="O372" t="n">
        <v/>
      </c>
      <c r="P372" t="n">
        <v/>
      </c>
      <c r="R372" t="b">
        <v>1</v>
      </c>
      <c r="S372" t="inlineStr">
        <is>
          <t>G000142</t>
        </is>
      </c>
      <c r="T372" t="inlineStr">
        <is>
          <t>Horizontal</t>
        </is>
      </c>
      <c r="U372" t="n">
        <v>4</v>
      </c>
      <c r="V372" t="b">
        <v>1</v>
      </c>
      <c r="W372" t="inlineStr">
        <is>
          <t>Balance Sheet!F57:I57</t>
        </is>
      </c>
      <c r="X372">
        <f>R[0]C[-1]</f>
        <v/>
      </c>
    </row>
    <row r="373">
      <c r="A373" t="inlineStr">
        <is>
          <t>Balance Sheet</t>
        </is>
      </c>
      <c r="B373" t="inlineStr">
        <is>
          <t>H57</t>
        </is>
      </c>
      <c r="C373" t="n">
        <v>57</v>
      </c>
      <c r="D373" t="n">
        <v>8</v>
      </c>
      <c r="E373" t="inlineStr">
        <is>
          <t>Calculation</t>
        </is>
      </c>
      <c r="F373" t="inlineStr">
        <is>
          <t>'=G57</t>
        </is>
      </c>
      <c r="G373" t="n">
        <v>0.1641091384938669</v>
      </c>
      <c r="H373" t="inlineStr"/>
      <c r="I373" t="inlineStr">
        <is>
          <t>0%</t>
        </is>
      </c>
      <c r="J373" t="b">
        <v>0</v>
      </c>
      <c r="K373" t="b">
        <v>0</v>
      </c>
      <c r="L373" t="n">
        <v>11</v>
      </c>
      <c r="M373" t="inlineStr">
        <is>
          <t>FF000000</t>
        </is>
      </c>
      <c r="N373" t="inlineStr">
        <is>
          <t>00000000</t>
        </is>
      </c>
      <c r="O373" t="n">
        <v/>
      </c>
      <c r="P373" t="n">
        <v/>
      </c>
      <c r="R373" t="b">
        <v>1</v>
      </c>
      <c r="S373" t="inlineStr">
        <is>
          <t>G000142</t>
        </is>
      </c>
      <c r="T373" t="inlineStr">
        <is>
          <t>Horizontal</t>
        </is>
      </c>
      <c r="U373" t="n">
        <v>4</v>
      </c>
      <c r="V373" t="b">
        <v>1</v>
      </c>
      <c r="W373" t="inlineStr">
        <is>
          <t>Balance Sheet!F57:I57</t>
        </is>
      </c>
      <c r="X373">
        <f>R[0]C[-1]</f>
        <v/>
      </c>
    </row>
    <row r="374">
      <c r="A374" t="inlineStr">
        <is>
          <t>Balance Sheet</t>
        </is>
      </c>
      <c r="B374" t="inlineStr">
        <is>
          <t>I57</t>
        </is>
      </c>
      <c r="C374" t="n">
        <v>57</v>
      </c>
      <c r="D374" t="n">
        <v>9</v>
      </c>
      <c r="E374" t="inlineStr">
        <is>
          <t>Calculation</t>
        </is>
      </c>
      <c r="F374" t="inlineStr">
        <is>
          <t>'=H57</t>
        </is>
      </c>
      <c r="G374" t="n">
        <v>0.1641091384938669</v>
      </c>
      <c r="H374" t="inlineStr"/>
      <c r="I374" t="inlineStr">
        <is>
          <t>0%</t>
        </is>
      </c>
      <c r="J374" t="b">
        <v>0</v>
      </c>
      <c r="K374" t="b">
        <v>0</v>
      </c>
      <c r="L374" t="n">
        <v>11</v>
      </c>
      <c r="M374" t="inlineStr">
        <is>
          <t>FF000000</t>
        </is>
      </c>
      <c r="N374" t="inlineStr">
        <is>
          <t>00000000</t>
        </is>
      </c>
      <c r="O374" t="n">
        <v/>
      </c>
      <c r="P374" t="n">
        <v/>
      </c>
      <c r="R374" t="b">
        <v>1</v>
      </c>
      <c r="S374" t="inlineStr">
        <is>
          <t>G000142</t>
        </is>
      </c>
      <c r="T374" t="inlineStr">
        <is>
          <t>Horizontal</t>
        </is>
      </c>
      <c r="U374" t="n">
        <v>4</v>
      </c>
      <c r="V374" t="b">
        <v>1</v>
      </c>
      <c r="W374" t="inlineStr">
        <is>
          <t>Balance Sheet!F57:I57</t>
        </is>
      </c>
      <c r="X374">
        <f>R[0]C[-1]</f>
        <v/>
      </c>
    </row>
    <row r="375">
      <c r="A375" t="inlineStr">
        <is>
          <t>Balance Sheet</t>
        </is>
      </c>
      <c r="B375" t="inlineStr">
        <is>
          <t>A58</t>
        </is>
      </c>
      <c r="C375" t="n">
        <v>58</v>
      </c>
      <c r="D375" t="n">
        <v>1</v>
      </c>
      <c r="E375" t="inlineStr">
        <is>
          <t>Input</t>
        </is>
      </c>
      <c r="F375" t="n">
        <v/>
      </c>
      <c r="G375" t="inlineStr">
        <is>
          <t>Trade receivables as % of Sales</t>
        </is>
      </c>
      <c r="H375" t="inlineStr"/>
      <c r="I375" t="inlineStr">
        <is>
          <t>General</t>
        </is>
      </c>
      <c r="J375" t="b">
        <v>0</v>
      </c>
      <c r="K375" t="b">
        <v>0</v>
      </c>
      <c r="L375" t="n">
        <v>11</v>
      </c>
      <c r="M375" t="inlineStr">
        <is>
          <t>FF000000</t>
        </is>
      </c>
      <c r="N375" t="inlineStr">
        <is>
          <t>00000000</t>
        </is>
      </c>
      <c r="O375" t="n">
        <v/>
      </c>
      <c r="P375" t="n">
        <v/>
      </c>
      <c r="R375" t="b">
        <v>1</v>
      </c>
      <c r="S375" t="n">
        <v/>
      </c>
      <c r="T375" t="n">
        <v/>
      </c>
      <c r="U375" t="n">
        <v/>
      </c>
      <c r="V375" t="b">
        <v>0</v>
      </c>
      <c r="W375" t="inlineStr"/>
      <c r="X375" t="n">
        <v/>
      </c>
    </row>
    <row r="376">
      <c r="A376" t="inlineStr">
        <is>
          <t>Balance Sheet</t>
        </is>
      </c>
      <c r="B376" t="inlineStr">
        <is>
          <t>C58</t>
        </is>
      </c>
      <c r="C376" t="n">
        <v>58</v>
      </c>
      <c r="D376" t="n">
        <v>3</v>
      </c>
      <c r="E376" t="inlineStr">
        <is>
          <t>Calculation</t>
        </is>
      </c>
      <c r="F376" t="inlineStr">
        <is>
          <t>'=C21/'Financial Statements'!C2</t>
        </is>
      </c>
      <c r="G376" t="n">
        <v>0.0479814978132143</v>
      </c>
      <c r="H376" t="inlineStr"/>
      <c r="I376" t="inlineStr">
        <is>
          <t>0%</t>
        </is>
      </c>
      <c r="J376" t="b">
        <v>0</v>
      </c>
      <c r="K376" t="b">
        <v>0</v>
      </c>
      <c r="L376" t="n">
        <v>11</v>
      </c>
      <c r="M376" t="inlineStr">
        <is>
          <t>FF000000</t>
        </is>
      </c>
      <c r="N376" t="inlineStr">
        <is>
          <t>00000000</t>
        </is>
      </c>
      <c r="O376" t="n">
        <v/>
      </c>
      <c r="P376" t="n">
        <v/>
      </c>
      <c r="R376" t="b">
        <v>1</v>
      </c>
      <c r="S376" t="inlineStr">
        <is>
          <t>G000162</t>
        </is>
      </c>
      <c r="T376" t="inlineStr">
        <is>
          <t>Horizontal</t>
        </is>
      </c>
      <c r="U376" t="n">
        <v>2</v>
      </c>
      <c r="V376" t="b">
        <v>1</v>
      </c>
      <c r="W376" t="inlineStr">
        <is>
          <t>Balance Sheet!C58:D58</t>
        </is>
      </c>
      <c r="X376">
        <f>R[-37]C[0]/'Financial Statements'!R[-56]C[0]</f>
        <v/>
      </c>
    </row>
    <row r="377">
      <c r="A377" t="inlineStr">
        <is>
          <t>Balance Sheet</t>
        </is>
      </c>
      <c r="B377" t="inlineStr">
        <is>
          <t>D58</t>
        </is>
      </c>
      <c r="C377" t="n">
        <v>58</v>
      </c>
      <c r="D377" t="n">
        <v>4</v>
      </c>
      <c r="E377" t="inlineStr">
        <is>
          <t>Calculation</t>
        </is>
      </c>
      <c r="F377" t="inlineStr">
        <is>
          <t>'=D21/'Financial Statements'!D2</t>
        </is>
      </c>
      <c r="G377" t="n">
        <v>0.04964893786744479</v>
      </c>
      <c r="H377" t="inlineStr"/>
      <c r="I377" t="inlineStr">
        <is>
          <t>0%</t>
        </is>
      </c>
      <c r="J377" t="b">
        <v>0</v>
      </c>
      <c r="K377" t="b">
        <v>0</v>
      </c>
      <c r="L377" t="n">
        <v>11</v>
      </c>
      <c r="M377" t="inlineStr">
        <is>
          <t>FF000000</t>
        </is>
      </c>
      <c r="N377" t="inlineStr">
        <is>
          <t>00000000</t>
        </is>
      </c>
      <c r="O377" t="n">
        <v/>
      </c>
      <c r="P377" t="n">
        <v/>
      </c>
      <c r="R377" t="b">
        <v>1</v>
      </c>
      <c r="S377" t="inlineStr">
        <is>
          <t>G000162</t>
        </is>
      </c>
      <c r="T377" t="inlineStr">
        <is>
          <t>Horizontal</t>
        </is>
      </c>
      <c r="U377" t="n">
        <v>2</v>
      </c>
      <c r="V377" t="b">
        <v>1</v>
      </c>
      <c r="W377" t="inlineStr">
        <is>
          <t>Balance Sheet!C58:D58</t>
        </is>
      </c>
      <c r="X377">
        <f>R[-37]C[0]/'Financial Statements'!R[-56]C[0]</f>
        <v/>
      </c>
    </row>
    <row r="378">
      <c r="A378" t="inlineStr">
        <is>
          <t>Balance Sheet</t>
        </is>
      </c>
      <c r="B378" t="inlineStr">
        <is>
          <t>E58</t>
        </is>
      </c>
      <c r="C378" t="n">
        <v>58</v>
      </c>
      <c r="D378" t="n">
        <v>5</v>
      </c>
      <c r="E378" t="inlineStr">
        <is>
          <t>Calculation</t>
        </is>
      </c>
      <c r="F378" t="inlineStr">
        <is>
          <t>'=AVERAGE(C58:D58)</t>
        </is>
      </c>
      <c r="G378" t="n">
        <v>0.04881521784032954</v>
      </c>
      <c r="H378" t="inlineStr"/>
      <c r="I378" t="inlineStr">
        <is>
          <t>0%</t>
        </is>
      </c>
      <c r="J378" t="b">
        <v>0</v>
      </c>
      <c r="K378" t="b">
        <v>0</v>
      </c>
      <c r="L378" t="n">
        <v>11</v>
      </c>
      <c r="M378" t="inlineStr">
        <is>
          <t>FF000000</t>
        </is>
      </c>
      <c r="N378" t="inlineStr">
        <is>
          <t>00000000</t>
        </is>
      </c>
      <c r="O378" t="n">
        <v/>
      </c>
      <c r="P378" t="n">
        <v/>
      </c>
      <c r="R378" t="b">
        <v>1</v>
      </c>
      <c r="S378" t="inlineStr">
        <is>
          <t>G000161</t>
        </is>
      </c>
      <c r="T378" t="inlineStr">
        <is>
          <t>Vertical</t>
        </is>
      </c>
      <c r="U378" t="n">
        <v>3</v>
      </c>
      <c r="V378" t="b">
        <v>1</v>
      </c>
      <c r="W378" t="inlineStr">
        <is>
          <t>Balance Sheet!E57:E59</t>
        </is>
      </c>
      <c r="X378">
        <f>AVERAGE(R[0]C[-2]:R[0]C[-1])</f>
        <v/>
      </c>
    </row>
    <row r="379">
      <c r="A379" t="inlineStr">
        <is>
          <t>Balance Sheet</t>
        </is>
      </c>
      <c r="B379" t="inlineStr">
        <is>
          <t>F58</t>
        </is>
      </c>
      <c r="C379" t="n">
        <v>58</v>
      </c>
      <c r="D379" t="n">
        <v>6</v>
      </c>
      <c r="E379" t="inlineStr">
        <is>
          <t>Calculation</t>
        </is>
      </c>
      <c r="F379" t="inlineStr">
        <is>
          <t>'=E58</t>
        </is>
      </c>
      <c r="G379" t="n">
        <v>0.04881521784032954</v>
      </c>
      <c r="H379" t="inlineStr"/>
      <c r="I379" t="inlineStr">
        <is>
          <t>0%</t>
        </is>
      </c>
      <c r="J379" t="b">
        <v>0</v>
      </c>
      <c r="K379" t="b">
        <v>0</v>
      </c>
      <c r="L379" t="n">
        <v>11</v>
      </c>
      <c r="M379" t="inlineStr">
        <is>
          <t>FF000000</t>
        </is>
      </c>
      <c r="N379" t="inlineStr">
        <is>
          <t>00000000</t>
        </is>
      </c>
      <c r="O379" t="n">
        <v/>
      </c>
      <c r="P379" t="n">
        <v/>
      </c>
      <c r="R379" t="b">
        <v>1</v>
      </c>
      <c r="S379" t="inlineStr">
        <is>
          <t>G000143</t>
        </is>
      </c>
      <c r="T379" t="inlineStr">
        <is>
          <t>Horizontal</t>
        </is>
      </c>
      <c r="U379" t="n">
        <v>4</v>
      </c>
      <c r="V379" t="b">
        <v>1</v>
      </c>
      <c r="W379" t="inlineStr">
        <is>
          <t>Balance Sheet!F58:I58</t>
        </is>
      </c>
      <c r="X379">
        <f>R[0]C[-1]</f>
        <v/>
      </c>
    </row>
    <row r="380">
      <c r="A380" t="inlineStr">
        <is>
          <t>Balance Sheet</t>
        </is>
      </c>
      <c r="B380" t="inlineStr">
        <is>
          <t>G58</t>
        </is>
      </c>
      <c r="C380" t="n">
        <v>58</v>
      </c>
      <c r="D380" t="n">
        <v>7</v>
      </c>
      <c r="E380" t="inlineStr">
        <is>
          <t>Calculation</t>
        </is>
      </c>
      <c r="F380" t="inlineStr">
        <is>
          <t>'=F58</t>
        </is>
      </c>
      <c r="G380" t="n">
        <v>0.04881521784032954</v>
      </c>
      <c r="H380" t="inlineStr"/>
      <c r="I380" t="inlineStr">
        <is>
          <t>0%</t>
        </is>
      </c>
      <c r="J380" t="b">
        <v>0</v>
      </c>
      <c r="K380" t="b">
        <v>0</v>
      </c>
      <c r="L380" t="n">
        <v>11</v>
      </c>
      <c r="M380" t="inlineStr">
        <is>
          <t>FF000000</t>
        </is>
      </c>
      <c r="N380" t="inlineStr">
        <is>
          <t>00000000</t>
        </is>
      </c>
      <c r="O380" t="n">
        <v/>
      </c>
      <c r="P380" t="n">
        <v/>
      </c>
      <c r="R380" t="b">
        <v>1</v>
      </c>
      <c r="S380" t="inlineStr">
        <is>
          <t>G000143</t>
        </is>
      </c>
      <c r="T380" t="inlineStr">
        <is>
          <t>Horizontal</t>
        </is>
      </c>
      <c r="U380" t="n">
        <v>4</v>
      </c>
      <c r="V380" t="b">
        <v>1</v>
      </c>
      <c r="W380" t="inlineStr">
        <is>
          <t>Balance Sheet!F58:I58</t>
        </is>
      </c>
      <c r="X380">
        <f>R[0]C[-1]</f>
        <v/>
      </c>
    </row>
    <row r="381">
      <c r="A381" t="inlineStr">
        <is>
          <t>Balance Sheet</t>
        </is>
      </c>
      <c r="B381" t="inlineStr">
        <is>
          <t>H58</t>
        </is>
      </c>
      <c r="C381" t="n">
        <v>58</v>
      </c>
      <c r="D381" t="n">
        <v>8</v>
      </c>
      <c r="E381" t="inlineStr">
        <is>
          <t>Calculation</t>
        </is>
      </c>
      <c r="F381" t="inlineStr">
        <is>
          <t>'=G58</t>
        </is>
      </c>
      <c r="G381" t="n">
        <v>0.04881521784032954</v>
      </c>
      <c r="H381" t="inlineStr"/>
      <c r="I381" t="inlineStr">
        <is>
          <t>0%</t>
        </is>
      </c>
      <c r="J381" t="b">
        <v>0</v>
      </c>
      <c r="K381" t="b">
        <v>0</v>
      </c>
      <c r="L381" t="n">
        <v>11</v>
      </c>
      <c r="M381" t="inlineStr">
        <is>
          <t>FF000000</t>
        </is>
      </c>
      <c r="N381" t="inlineStr">
        <is>
          <t>00000000</t>
        </is>
      </c>
      <c r="O381" t="n">
        <v/>
      </c>
      <c r="P381" t="n">
        <v/>
      </c>
      <c r="R381" t="b">
        <v>1</v>
      </c>
      <c r="S381" t="inlineStr">
        <is>
          <t>G000143</t>
        </is>
      </c>
      <c r="T381" t="inlineStr">
        <is>
          <t>Horizontal</t>
        </is>
      </c>
      <c r="U381" t="n">
        <v>4</v>
      </c>
      <c r="V381" t="b">
        <v>1</v>
      </c>
      <c r="W381" t="inlineStr">
        <is>
          <t>Balance Sheet!F58:I58</t>
        </is>
      </c>
      <c r="X381">
        <f>R[0]C[-1]</f>
        <v/>
      </c>
    </row>
    <row r="382">
      <c r="A382" t="inlineStr">
        <is>
          <t>Balance Sheet</t>
        </is>
      </c>
      <c r="B382" t="inlineStr">
        <is>
          <t>I58</t>
        </is>
      </c>
      <c r="C382" t="n">
        <v>58</v>
      </c>
      <c r="D382" t="n">
        <v>9</v>
      </c>
      <c r="E382" t="inlineStr">
        <is>
          <t>Calculation</t>
        </is>
      </c>
      <c r="F382" t="inlineStr">
        <is>
          <t>'=H58</t>
        </is>
      </c>
      <c r="G382" t="n">
        <v>0.04881521784032954</v>
      </c>
      <c r="H382" t="inlineStr"/>
      <c r="I382" t="inlineStr">
        <is>
          <t>0%</t>
        </is>
      </c>
      <c r="J382" t="b">
        <v>0</v>
      </c>
      <c r="K382" t="b">
        <v>0</v>
      </c>
      <c r="L382" t="n">
        <v>11</v>
      </c>
      <c r="M382" t="inlineStr">
        <is>
          <t>FF000000</t>
        </is>
      </c>
      <c r="N382" t="inlineStr">
        <is>
          <t>00000000</t>
        </is>
      </c>
      <c r="O382" t="n">
        <v/>
      </c>
      <c r="P382" t="n">
        <v/>
      </c>
      <c r="R382" t="b">
        <v>1</v>
      </c>
      <c r="S382" t="inlineStr">
        <is>
          <t>G000143</t>
        </is>
      </c>
      <c r="T382" t="inlineStr">
        <is>
          <t>Horizontal</t>
        </is>
      </c>
      <c r="U382" t="n">
        <v>4</v>
      </c>
      <c r="V382" t="b">
        <v>1</v>
      </c>
      <c r="W382" t="inlineStr">
        <is>
          <t>Balance Sheet!F58:I58</t>
        </is>
      </c>
      <c r="X382">
        <f>R[0]C[-1]</f>
        <v/>
      </c>
    </row>
    <row r="383">
      <c r="A383" t="inlineStr">
        <is>
          <t>Balance Sheet</t>
        </is>
      </c>
      <c r="B383" t="inlineStr">
        <is>
          <t>A59</t>
        </is>
      </c>
      <c r="C383" t="n">
        <v>59</v>
      </c>
      <c r="D383" t="n">
        <v>1</v>
      </c>
      <c r="E383" t="inlineStr">
        <is>
          <t>Input</t>
        </is>
      </c>
      <c r="F383" t="n">
        <v/>
      </c>
      <c r="G383" t="inlineStr">
        <is>
          <t>Trade payables as % of raw material</t>
        </is>
      </c>
      <c r="H383" t="inlineStr"/>
      <c r="I383" t="inlineStr">
        <is>
          <t>General</t>
        </is>
      </c>
      <c r="J383" t="b">
        <v>0</v>
      </c>
      <c r="K383" t="b">
        <v>0</v>
      </c>
      <c r="L383" t="n">
        <v>11</v>
      </c>
      <c r="M383" t="inlineStr">
        <is>
          <t>FF000000</t>
        </is>
      </c>
      <c r="N383" t="inlineStr">
        <is>
          <t>00000000</t>
        </is>
      </c>
      <c r="O383" t="n">
        <v/>
      </c>
      <c r="P383" t="n">
        <v/>
      </c>
      <c r="R383" t="b">
        <v>1</v>
      </c>
      <c r="S383" t="n">
        <v/>
      </c>
      <c r="T383" t="n">
        <v/>
      </c>
      <c r="U383" t="n">
        <v/>
      </c>
      <c r="V383" t="b">
        <v>0</v>
      </c>
      <c r="W383" t="inlineStr"/>
      <c r="X383" t="n">
        <v/>
      </c>
    </row>
    <row r="384">
      <c r="A384" t="inlineStr">
        <is>
          <t>Balance Sheet</t>
        </is>
      </c>
      <c r="B384" t="inlineStr">
        <is>
          <t>C59</t>
        </is>
      </c>
      <c r="C384" t="n">
        <v>59</v>
      </c>
      <c r="D384" t="n">
        <v>3</v>
      </c>
      <c r="E384" t="inlineStr">
        <is>
          <t>Calculation</t>
        </is>
      </c>
      <c r="F384" t="inlineStr">
        <is>
          <t>'=C44/SUM('Financial Statements'!C4:C7)</t>
        </is>
      </c>
      <c r="G384" t="n">
        <v>0.1757787893305547</v>
      </c>
      <c r="H384" t="inlineStr"/>
      <c r="I384" t="inlineStr">
        <is>
          <t>0%</t>
        </is>
      </c>
      <c r="J384" t="b">
        <v>0</v>
      </c>
      <c r="K384" t="b">
        <v>0</v>
      </c>
      <c r="L384" t="n">
        <v>11</v>
      </c>
      <c r="M384" t="inlineStr">
        <is>
          <t>FF000000</t>
        </is>
      </c>
      <c r="N384" t="inlineStr">
        <is>
          <t>00000000</t>
        </is>
      </c>
      <c r="O384" t="n">
        <v/>
      </c>
      <c r="P384" t="n">
        <v/>
      </c>
      <c r="R384" t="b">
        <v>1</v>
      </c>
      <c r="S384" t="inlineStr">
        <is>
          <t>G000163</t>
        </is>
      </c>
      <c r="T384" t="inlineStr">
        <is>
          <t>Horizontal</t>
        </is>
      </c>
      <c r="U384" t="n">
        <v>2</v>
      </c>
      <c r="V384" t="b">
        <v>1</v>
      </c>
      <c r="W384" t="inlineStr">
        <is>
          <t>Balance Sheet!C59:D59</t>
        </is>
      </c>
      <c r="X384">
        <f>R[-15]C[0]/SUM('Financial Statements'!R[-55]C[0]:R[-52]C[0])</f>
        <v/>
      </c>
    </row>
    <row r="385">
      <c r="A385" t="inlineStr">
        <is>
          <t>Balance Sheet</t>
        </is>
      </c>
      <c r="B385" t="inlineStr">
        <is>
          <t>D59</t>
        </is>
      </c>
      <c r="C385" t="n">
        <v>59</v>
      </c>
      <c r="D385" t="n">
        <v>4</v>
      </c>
      <c r="E385" t="inlineStr">
        <is>
          <t>Calculation</t>
        </is>
      </c>
      <c r="F385" t="inlineStr">
        <is>
          <t>'=D44/SUM('Financial Statements'!D4:D7)</t>
        </is>
      </c>
      <c r="G385" t="n">
        <v>0.202923910526145</v>
      </c>
      <c r="H385" t="inlineStr"/>
      <c r="I385" t="inlineStr">
        <is>
          <t>0%</t>
        </is>
      </c>
      <c r="J385" t="b">
        <v>0</v>
      </c>
      <c r="K385" t="b">
        <v>0</v>
      </c>
      <c r="L385" t="n">
        <v>11</v>
      </c>
      <c r="M385" t="inlineStr">
        <is>
          <t>FF000000</t>
        </is>
      </c>
      <c r="N385" t="inlineStr">
        <is>
          <t>00000000</t>
        </is>
      </c>
      <c r="O385" t="n">
        <v/>
      </c>
      <c r="P385" t="n">
        <v/>
      </c>
      <c r="R385" t="b">
        <v>1</v>
      </c>
      <c r="S385" t="inlineStr">
        <is>
          <t>G000163</t>
        </is>
      </c>
      <c r="T385" t="inlineStr">
        <is>
          <t>Horizontal</t>
        </is>
      </c>
      <c r="U385" t="n">
        <v>2</v>
      </c>
      <c r="V385" t="b">
        <v>1</v>
      </c>
      <c r="W385" t="inlineStr">
        <is>
          <t>Balance Sheet!C59:D59</t>
        </is>
      </c>
      <c r="X385">
        <f>R[-15]C[0]/SUM('Financial Statements'!R[-55]C[0]:R[-52]C[0])</f>
        <v/>
      </c>
    </row>
    <row r="386">
      <c r="A386" t="inlineStr">
        <is>
          <t>Balance Sheet</t>
        </is>
      </c>
      <c r="B386" t="inlineStr">
        <is>
          <t>E59</t>
        </is>
      </c>
      <c r="C386" t="n">
        <v>59</v>
      </c>
      <c r="D386" t="n">
        <v>5</v>
      </c>
      <c r="E386" t="inlineStr">
        <is>
          <t>Calculation</t>
        </is>
      </c>
      <c r="F386" t="inlineStr">
        <is>
          <t>'=AVERAGE(C59:D59)</t>
        </is>
      </c>
      <c r="G386" t="n">
        <v>0.1893513499283499</v>
      </c>
      <c r="H386" t="inlineStr"/>
      <c r="I386" t="inlineStr">
        <is>
          <t>0%</t>
        </is>
      </c>
      <c r="J386" t="b">
        <v>0</v>
      </c>
      <c r="K386" t="b">
        <v>0</v>
      </c>
      <c r="L386" t="n">
        <v>11</v>
      </c>
      <c r="M386" t="inlineStr">
        <is>
          <t>FF000000</t>
        </is>
      </c>
      <c r="N386" t="inlineStr">
        <is>
          <t>00000000</t>
        </is>
      </c>
      <c r="O386" t="n">
        <v/>
      </c>
      <c r="P386" t="n">
        <v/>
      </c>
      <c r="R386" t="b">
        <v>1</v>
      </c>
      <c r="S386" t="inlineStr">
        <is>
          <t>G000161</t>
        </is>
      </c>
      <c r="T386" t="inlineStr">
        <is>
          <t>Vertical</t>
        </is>
      </c>
      <c r="U386" t="n">
        <v>3</v>
      </c>
      <c r="V386" t="b">
        <v>1</v>
      </c>
      <c r="W386" t="inlineStr">
        <is>
          <t>Balance Sheet!E57:E59</t>
        </is>
      </c>
      <c r="X386">
        <f>AVERAGE(R[0]C[-2]:R[0]C[-1])</f>
        <v/>
      </c>
    </row>
    <row r="387">
      <c r="A387" t="inlineStr">
        <is>
          <t>Balance Sheet</t>
        </is>
      </c>
      <c r="B387" t="inlineStr">
        <is>
          <t>F59</t>
        </is>
      </c>
      <c r="C387" t="n">
        <v>59</v>
      </c>
      <c r="D387" t="n">
        <v>6</v>
      </c>
      <c r="E387" t="inlineStr">
        <is>
          <t>Calculation</t>
        </is>
      </c>
      <c r="F387" t="inlineStr">
        <is>
          <t>'=E59</t>
        </is>
      </c>
      <c r="G387" t="n">
        <v>0.1893513499283499</v>
      </c>
      <c r="H387" t="inlineStr"/>
      <c r="I387" t="inlineStr">
        <is>
          <t>0%</t>
        </is>
      </c>
      <c r="J387" t="b">
        <v>0</v>
      </c>
      <c r="K387" t="b">
        <v>0</v>
      </c>
      <c r="L387" t="n">
        <v>11</v>
      </c>
      <c r="M387" t="inlineStr">
        <is>
          <t>FF000000</t>
        </is>
      </c>
      <c r="N387" t="inlineStr">
        <is>
          <t>00000000</t>
        </is>
      </c>
      <c r="O387" t="n">
        <v/>
      </c>
      <c r="P387" t="n">
        <v/>
      </c>
      <c r="R387" t="b">
        <v>1</v>
      </c>
      <c r="S387" t="inlineStr">
        <is>
          <t>G000144</t>
        </is>
      </c>
      <c r="T387" t="inlineStr">
        <is>
          <t>Horizontal</t>
        </is>
      </c>
      <c r="U387" t="n">
        <v>4</v>
      </c>
      <c r="V387" t="b">
        <v>1</v>
      </c>
      <c r="W387" t="inlineStr">
        <is>
          <t>Balance Sheet!F59:I59</t>
        </is>
      </c>
      <c r="X387">
        <f>R[0]C[-1]</f>
        <v/>
      </c>
    </row>
    <row r="388">
      <c r="A388" t="inlineStr">
        <is>
          <t>Balance Sheet</t>
        </is>
      </c>
      <c r="B388" t="inlineStr">
        <is>
          <t>G59</t>
        </is>
      </c>
      <c r="C388" t="n">
        <v>59</v>
      </c>
      <c r="D388" t="n">
        <v>7</v>
      </c>
      <c r="E388" t="inlineStr">
        <is>
          <t>Calculation</t>
        </is>
      </c>
      <c r="F388" t="inlineStr">
        <is>
          <t>'=F59</t>
        </is>
      </c>
      <c r="G388" t="n">
        <v>0.1893513499283499</v>
      </c>
      <c r="H388" t="inlineStr"/>
      <c r="I388" t="inlineStr">
        <is>
          <t>0%</t>
        </is>
      </c>
      <c r="J388" t="b">
        <v>0</v>
      </c>
      <c r="K388" t="b">
        <v>0</v>
      </c>
      <c r="L388" t="n">
        <v>11</v>
      </c>
      <c r="M388" t="inlineStr">
        <is>
          <t>FF000000</t>
        </is>
      </c>
      <c r="N388" t="inlineStr">
        <is>
          <t>00000000</t>
        </is>
      </c>
      <c r="O388" t="n">
        <v/>
      </c>
      <c r="P388" t="n">
        <v/>
      </c>
      <c r="R388" t="b">
        <v>1</v>
      </c>
      <c r="S388" t="inlineStr">
        <is>
          <t>G000144</t>
        </is>
      </c>
      <c r="T388" t="inlineStr">
        <is>
          <t>Horizontal</t>
        </is>
      </c>
      <c r="U388" t="n">
        <v>4</v>
      </c>
      <c r="V388" t="b">
        <v>1</v>
      </c>
      <c r="W388" t="inlineStr">
        <is>
          <t>Balance Sheet!F59:I59</t>
        </is>
      </c>
      <c r="X388">
        <f>R[0]C[-1]</f>
        <v/>
      </c>
    </row>
    <row r="389">
      <c r="A389" t="inlineStr">
        <is>
          <t>Balance Sheet</t>
        </is>
      </c>
      <c r="B389" t="inlineStr">
        <is>
          <t>H59</t>
        </is>
      </c>
      <c r="C389" t="n">
        <v>59</v>
      </c>
      <c r="D389" t="n">
        <v>8</v>
      </c>
      <c r="E389" t="inlineStr">
        <is>
          <t>Calculation</t>
        </is>
      </c>
      <c r="F389" t="inlineStr">
        <is>
          <t>'=G59</t>
        </is>
      </c>
      <c r="G389" t="n">
        <v>0.1893513499283499</v>
      </c>
      <c r="H389" t="inlineStr"/>
      <c r="I389" t="inlineStr">
        <is>
          <t>0%</t>
        </is>
      </c>
      <c r="J389" t="b">
        <v>0</v>
      </c>
      <c r="K389" t="b">
        <v>0</v>
      </c>
      <c r="L389" t="n">
        <v>11</v>
      </c>
      <c r="M389" t="inlineStr">
        <is>
          <t>FF000000</t>
        </is>
      </c>
      <c r="N389" t="inlineStr">
        <is>
          <t>00000000</t>
        </is>
      </c>
      <c r="O389" t="n">
        <v/>
      </c>
      <c r="P389" t="n">
        <v/>
      </c>
      <c r="R389" t="b">
        <v>1</v>
      </c>
      <c r="S389" t="inlineStr">
        <is>
          <t>G000144</t>
        </is>
      </c>
      <c r="T389" t="inlineStr">
        <is>
          <t>Horizontal</t>
        </is>
      </c>
      <c r="U389" t="n">
        <v>4</v>
      </c>
      <c r="V389" t="b">
        <v>1</v>
      </c>
      <c r="W389" t="inlineStr">
        <is>
          <t>Balance Sheet!F59:I59</t>
        </is>
      </c>
      <c r="X389">
        <f>R[0]C[-1]</f>
        <v/>
      </c>
    </row>
    <row r="390">
      <c r="A390" t="inlineStr">
        <is>
          <t>Balance Sheet</t>
        </is>
      </c>
      <c r="B390" t="inlineStr">
        <is>
          <t>I59</t>
        </is>
      </c>
      <c r="C390" t="n">
        <v>59</v>
      </c>
      <c r="D390" t="n">
        <v>9</v>
      </c>
      <c r="E390" t="inlineStr">
        <is>
          <t>Calculation</t>
        </is>
      </c>
      <c r="F390" t="inlineStr">
        <is>
          <t>'=H59</t>
        </is>
      </c>
      <c r="G390" t="n">
        <v>0.1893513499283499</v>
      </c>
      <c r="H390" t="inlineStr"/>
      <c r="I390" t="inlineStr">
        <is>
          <t>0%</t>
        </is>
      </c>
      <c r="J390" t="b">
        <v>0</v>
      </c>
      <c r="K390" t="b">
        <v>0</v>
      </c>
      <c r="L390" t="n">
        <v>11</v>
      </c>
      <c r="M390" t="inlineStr">
        <is>
          <t>FF000000</t>
        </is>
      </c>
      <c r="N390" t="inlineStr">
        <is>
          <t>00000000</t>
        </is>
      </c>
      <c r="O390" t="n">
        <v/>
      </c>
      <c r="P390" t="n">
        <v/>
      </c>
      <c r="R390" t="b">
        <v>1</v>
      </c>
      <c r="S390" t="inlineStr">
        <is>
          <t>G000144</t>
        </is>
      </c>
      <c r="T390" t="inlineStr">
        <is>
          <t>Horizontal</t>
        </is>
      </c>
      <c r="U390" t="n">
        <v>4</v>
      </c>
      <c r="V390" t="b">
        <v>1</v>
      </c>
      <c r="W390" t="inlineStr">
        <is>
          <t>Balance Sheet!F59:I59</t>
        </is>
      </c>
      <c r="X390">
        <f>R[0]C[-1]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DCF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inlineStr">
        <is>
          <t>2018 F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Values must be of type &lt;class 'str'&gt;</t>
        </is>
      </c>
      <c r="N2" t="inlineStr">
        <is>
          <t>Values must be of type &lt;class 'str'&gt;</t>
        </is>
      </c>
      <c r="O2" t="inlineStr">
        <is>
          <t>center</t>
        </is>
      </c>
      <c r="P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DCF</t>
        </is>
      </c>
      <c r="B3" t="inlineStr">
        <is>
          <t>C1</t>
        </is>
      </c>
      <c r="C3" t="n">
        <v>1</v>
      </c>
      <c r="D3" t="n">
        <v>3</v>
      </c>
      <c r="E3" t="inlineStr">
        <is>
          <t>Input</t>
        </is>
      </c>
      <c r="F3" t="n">
        <v/>
      </c>
      <c r="G3" t="inlineStr">
        <is>
          <t>2019 F</t>
        </is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Values must be of type &lt;class 'str'&gt;</t>
        </is>
      </c>
      <c r="N3" t="inlineStr">
        <is>
          <t>Values must be of type &lt;class 'str'&gt;</t>
        </is>
      </c>
      <c r="O3" t="inlineStr">
        <is>
          <t>center</t>
        </is>
      </c>
      <c r="P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DCF</t>
        </is>
      </c>
      <c r="B4" t="inlineStr">
        <is>
          <t>D1</t>
        </is>
      </c>
      <c r="C4" t="n">
        <v>1</v>
      </c>
      <c r="D4" t="n">
        <v>4</v>
      </c>
      <c r="E4" t="inlineStr">
        <is>
          <t>Input</t>
        </is>
      </c>
      <c r="F4" t="n">
        <v/>
      </c>
      <c r="G4" t="inlineStr">
        <is>
          <t>2020 F</t>
        </is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Values must be of type &lt;class 'str'&gt;</t>
        </is>
      </c>
      <c r="N4" t="inlineStr">
        <is>
          <t>Values must be of type &lt;class 'str'&gt;</t>
        </is>
      </c>
      <c r="O4" t="inlineStr">
        <is>
          <t>center</t>
        </is>
      </c>
      <c r="P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DCF</t>
        </is>
      </c>
      <c r="B5" t="inlineStr">
        <is>
          <t>E1</t>
        </is>
      </c>
      <c r="C5" t="n">
        <v>1</v>
      </c>
      <c r="D5" t="n">
        <v>5</v>
      </c>
      <c r="E5" t="inlineStr">
        <is>
          <t>Input</t>
        </is>
      </c>
      <c r="F5" t="n">
        <v/>
      </c>
      <c r="G5" t="inlineStr">
        <is>
          <t>2021 F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Values must be of type &lt;class 'str'&gt;</t>
        </is>
      </c>
      <c r="N5" t="inlineStr">
        <is>
          <t>Values must be of type &lt;class 'str'&gt;</t>
        </is>
      </c>
      <c r="O5" t="inlineStr">
        <is>
          <t>center</t>
        </is>
      </c>
      <c r="P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DCF</t>
        </is>
      </c>
      <c r="B6" t="inlineStr">
        <is>
          <t>F1</t>
        </is>
      </c>
      <c r="C6" t="n">
        <v>1</v>
      </c>
      <c r="D6" t="n">
        <v>6</v>
      </c>
      <c r="E6" t="inlineStr">
        <is>
          <t>Input</t>
        </is>
      </c>
      <c r="F6" t="n">
        <v/>
      </c>
      <c r="G6" t="inlineStr">
        <is>
          <t>2022 F</t>
        </is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Values must be of type &lt;class 'str'&gt;</t>
        </is>
      </c>
      <c r="N6" t="inlineStr">
        <is>
          <t>Values must be of type &lt;class 'str'&gt;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DCF</t>
        </is>
      </c>
      <c r="B7" t="inlineStr">
        <is>
          <t>A2</t>
        </is>
      </c>
      <c r="C7" t="n">
        <v>2</v>
      </c>
      <c r="D7" t="n">
        <v>1</v>
      </c>
      <c r="E7" t="inlineStr">
        <is>
          <t>Input</t>
        </is>
      </c>
      <c r="F7" t="n">
        <v/>
      </c>
      <c r="G7" t="inlineStr">
        <is>
          <t>EBIT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FF000000</t>
        </is>
      </c>
      <c r="N7" t="inlineStr">
        <is>
          <t>00000000</t>
        </is>
      </c>
      <c r="O7" t="n">
        <v/>
      </c>
      <c r="P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DCF</t>
        </is>
      </c>
      <c r="B8" t="inlineStr">
        <is>
          <t>B2</t>
        </is>
      </c>
      <c r="C8" t="n">
        <v>2</v>
      </c>
      <c r="D8" t="n">
        <v>2</v>
      </c>
      <c r="E8" t="inlineStr">
        <is>
          <t>Calculation</t>
        </is>
      </c>
      <c r="F8" t="inlineStr">
        <is>
          <t>'='Financial Statements'!E12</t>
        </is>
      </c>
      <c r="G8" t="n">
        <v>1391.326062337152</v>
      </c>
      <c r="H8" t="inlineStr"/>
      <c r="I8" t="inlineStr">
        <is>
          <t>#,##0</t>
        </is>
      </c>
      <c r="J8" t="b">
        <v>0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P8" t="n">
        <v/>
      </c>
      <c r="R8" t="b">
        <v>1</v>
      </c>
      <c r="S8" t="inlineStr">
        <is>
          <t>G000164</t>
        </is>
      </c>
      <c r="T8" t="inlineStr">
        <is>
          <t>Horizontal</t>
        </is>
      </c>
      <c r="U8" t="n">
        <v>5</v>
      </c>
      <c r="V8" t="b">
        <v>1</v>
      </c>
      <c r="W8" t="inlineStr">
        <is>
          <t>DCF!B2:F2</t>
        </is>
      </c>
      <c r="X8">
        <f>'Financial Statements'!R[10]C[3]</f>
        <v/>
      </c>
    </row>
    <row r="9">
      <c r="A9" t="inlineStr">
        <is>
          <t>DCF</t>
        </is>
      </c>
      <c r="B9" t="inlineStr">
        <is>
          <t>C2</t>
        </is>
      </c>
      <c r="C9" t="n">
        <v>2</v>
      </c>
      <c r="D9" t="n">
        <v>3</v>
      </c>
      <c r="E9" t="inlineStr">
        <is>
          <t>Calculation</t>
        </is>
      </c>
      <c r="F9" t="inlineStr">
        <is>
          <t>'='Financial Statements'!F12</t>
        </is>
      </c>
      <c r="G9" t="n">
        <v>1480.060203128183</v>
      </c>
      <c r="H9" t="inlineStr"/>
      <c r="I9" t="inlineStr">
        <is>
          <t>#,##0</t>
        </is>
      </c>
      <c r="J9" t="b">
        <v>0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P9" t="n">
        <v/>
      </c>
      <c r="R9" t="b">
        <v>1</v>
      </c>
      <c r="S9" t="inlineStr">
        <is>
          <t>G000164</t>
        </is>
      </c>
      <c r="T9" t="inlineStr">
        <is>
          <t>Horizontal</t>
        </is>
      </c>
      <c r="U9" t="n">
        <v>5</v>
      </c>
      <c r="V9" t="b">
        <v>1</v>
      </c>
      <c r="W9" t="inlineStr">
        <is>
          <t>DCF!B2:F2</t>
        </is>
      </c>
      <c r="X9">
        <f>'Financial Statements'!R[10]C[3]</f>
        <v/>
      </c>
    </row>
    <row r="10">
      <c r="A10" t="inlineStr">
        <is>
          <t>DCF</t>
        </is>
      </c>
      <c r="B10" t="inlineStr">
        <is>
          <t>D2</t>
        </is>
      </c>
      <c r="C10" t="n">
        <v>2</v>
      </c>
      <c r="D10" t="n">
        <v>4</v>
      </c>
      <c r="E10" t="inlineStr">
        <is>
          <t>Calculation</t>
        </is>
      </c>
      <c r="F10" t="inlineStr">
        <is>
          <t>'='Financial Statements'!G12</t>
        </is>
      </c>
      <c r="G10" t="n">
        <v>1562.595461845554</v>
      </c>
      <c r="H10" t="inlineStr"/>
      <c r="I10" t="inlineStr">
        <is>
          <t>#,##0</t>
        </is>
      </c>
      <c r="J10" t="b">
        <v>0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P10" t="n">
        <v/>
      </c>
      <c r="R10" t="b">
        <v>1</v>
      </c>
      <c r="S10" t="inlineStr">
        <is>
          <t>G000164</t>
        </is>
      </c>
      <c r="T10" t="inlineStr">
        <is>
          <t>Horizontal</t>
        </is>
      </c>
      <c r="U10" t="n">
        <v>5</v>
      </c>
      <c r="V10" t="b">
        <v>1</v>
      </c>
      <c r="W10" t="inlineStr">
        <is>
          <t>DCF!B2:F2</t>
        </is>
      </c>
      <c r="X10">
        <f>'Financial Statements'!R[10]C[3]</f>
        <v/>
      </c>
    </row>
    <row r="11">
      <c r="A11" t="inlineStr">
        <is>
          <t>DCF</t>
        </is>
      </c>
      <c r="B11" t="inlineStr">
        <is>
          <t>E2</t>
        </is>
      </c>
      <c r="C11" t="n">
        <v>2</v>
      </c>
      <c r="D11" t="n">
        <v>5</v>
      </c>
      <c r="E11" t="inlineStr">
        <is>
          <t>Calculation</t>
        </is>
      </c>
      <c r="F11" t="inlineStr">
        <is>
          <t>'='Financial Statements'!H12</t>
        </is>
      </c>
      <c r="G11" t="n">
        <v>1638.723529632292</v>
      </c>
      <c r="H11" t="inlineStr"/>
      <c r="I11" t="inlineStr">
        <is>
          <t>#,##0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1</v>
      </c>
      <c r="S11" t="inlineStr">
        <is>
          <t>G000164</t>
        </is>
      </c>
      <c r="T11" t="inlineStr">
        <is>
          <t>Horizontal</t>
        </is>
      </c>
      <c r="U11" t="n">
        <v>5</v>
      </c>
      <c r="V11" t="b">
        <v>1</v>
      </c>
      <c r="W11" t="inlineStr">
        <is>
          <t>DCF!B2:F2</t>
        </is>
      </c>
      <c r="X11">
        <f>'Financial Statements'!R[10]C[3]</f>
        <v/>
      </c>
    </row>
    <row r="12">
      <c r="A12" t="inlineStr">
        <is>
          <t>DCF</t>
        </is>
      </c>
      <c r="B12" t="inlineStr">
        <is>
          <t>F2</t>
        </is>
      </c>
      <c r="C12" t="n">
        <v>2</v>
      </c>
      <c r="D12" t="n">
        <v>6</v>
      </c>
      <c r="E12" t="inlineStr">
        <is>
          <t>Calculation</t>
        </is>
      </c>
      <c r="F12" t="inlineStr">
        <is>
          <t>'='Financial Statements'!I12</t>
        </is>
      </c>
      <c r="G12" t="n">
        <v>1708.101360099694</v>
      </c>
      <c r="H12" t="inlineStr"/>
      <c r="I12" t="inlineStr">
        <is>
          <t>#,##0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1</v>
      </c>
      <c r="S12" t="inlineStr">
        <is>
          <t>G000164</t>
        </is>
      </c>
      <c r="T12" t="inlineStr">
        <is>
          <t>Horizontal</t>
        </is>
      </c>
      <c r="U12" t="n">
        <v>5</v>
      </c>
      <c r="V12" t="b">
        <v>1</v>
      </c>
      <c r="W12" t="inlineStr">
        <is>
          <t>DCF!B2:F2</t>
        </is>
      </c>
      <c r="X12">
        <f>'Financial Statements'!R[10]C[3]</f>
        <v/>
      </c>
    </row>
    <row r="13">
      <c r="A13" t="inlineStr">
        <is>
          <t>DCF</t>
        </is>
      </c>
      <c r="B13" t="inlineStr">
        <is>
          <t>A3</t>
        </is>
      </c>
      <c r="C13" t="n">
        <v>3</v>
      </c>
      <c r="D13" t="n">
        <v>1</v>
      </c>
      <c r="E13" t="inlineStr">
        <is>
          <t>Input</t>
        </is>
      </c>
      <c r="F13" t="n">
        <v/>
      </c>
      <c r="G13" t="inlineStr">
        <is>
          <t>Less: Tax on EBIT</t>
        </is>
      </c>
      <c r="H13" t="inlineStr"/>
      <c r="I13" t="inlineStr">
        <is>
          <t>General</t>
        </is>
      </c>
      <c r="J13" t="b">
        <v>0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DCF</t>
        </is>
      </c>
      <c r="B14" t="inlineStr">
        <is>
          <t>B3</t>
        </is>
      </c>
      <c r="C14" t="n">
        <v>3</v>
      </c>
      <c r="D14" t="n">
        <v>2</v>
      </c>
      <c r="E14" t="inlineStr">
        <is>
          <t>Calculation</t>
        </is>
      </c>
      <c r="F14" t="inlineStr">
        <is>
          <t>'=B2*'Financial Statements'!E16</t>
        </is>
      </c>
      <c r="G14" t="n">
        <v>381.4911916079781</v>
      </c>
      <c r="H14" t="inlineStr"/>
      <c r="I14" t="inlineStr">
        <is>
          <t>0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1</v>
      </c>
      <c r="S14" t="inlineStr">
        <is>
          <t>G000165</t>
        </is>
      </c>
      <c r="T14" t="inlineStr">
        <is>
          <t>Horizontal</t>
        </is>
      </c>
      <c r="U14" t="n">
        <v>5</v>
      </c>
      <c r="V14" t="b">
        <v>1</v>
      </c>
      <c r="W14" t="inlineStr">
        <is>
          <t>DCF!B3:F3</t>
        </is>
      </c>
      <c r="X14">
        <f>R[-1]C[0]*'Financial Statements'!R[13]C[3]</f>
        <v/>
      </c>
    </row>
    <row r="15">
      <c r="A15" t="inlineStr">
        <is>
          <t>DCF</t>
        </is>
      </c>
      <c r="B15" t="inlineStr">
        <is>
          <t>C3</t>
        </is>
      </c>
      <c r="C15" t="n">
        <v>3</v>
      </c>
      <c r="D15" t="n">
        <v>3</v>
      </c>
      <c r="E15" t="inlineStr">
        <is>
          <t>Calculation</t>
        </is>
      </c>
      <c r="F15" t="inlineStr">
        <is>
          <t>'=C2*'Financial Statements'!F16</t>
        </is>
      </c>
      <c r="G15" t="n">
        <v>405.8214287989766</v>
      </c>
      <c r="H15" t="inlineStr"/>
      <c r="I15" t="inlineStr">
        <is>
          <t>0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1</v>
      </c>
      <c r="S15" t="inlineStr">
        <is>
          <t>G000165</t>
        </is>
      </c>
      <c r="T15" t="inlineStr">
        <is>
          <t>Horizontal</t>
        </is>
      </c>
      <c r="U15" t="n">
        <v>5</v>
      </c>
      <c r="V15" t="b">
        <v>1</v>
      </c>
      <c r="W15" t="inlineStr">
        <is>
          <t>DCF!B3:F3</t>
        </is>
      </c>
      <c r="X15">
        <f>R[-1]C[0]*'Financial Statements'!R[13]C[3]</f>
        <v/>
      </c>
    </row>
    <row r="16">
      <c r="A16" t="inlineStr">
        <is>
          <t>DCF</t>
        </is>
      </c>
      <c r="B16" t="inlineStr">
        <is>
          <t>D3</t>
        </is>
      </c>
      <c r="C16" t="n">
        <v>3</v>
      </c>
      <c r="D16" t="n">
        <v>4</v>
      </c>
      <c r="E16" t="inlineStr">
        <is>
          <t>Calculation</t>
        </is>
      </c>
      <c r="F16" t="inlineStr">
        <is>
          <t>'=D2*'Financial Statements'!G16</t>
        </is>
      </c>
      <c r="G16" t="n">
        <v>428.4519789267241</v>
      </c>
      <c r="H16" t="inlineStr"/>
      <c r="I16" t="inlineStr">
        <is>
          <t>0</t>
        </is>
      </c>
      <c r="J16" t="b">
        <v>0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P16" t="n">
        <v/>
      </c>
      <c r="R16" t="b">
        <v>1</v>
      </c>
      <c r="S16" t="inlineStr">
        <is>
          <t>G000165</t>
        </is>
      </c>
      <c r="T16" t="inlineStr">
        <is>
          <t>Horizontal</t>
        </is>
      </c>
      <c r="U16" t="n">
        <v>5</v>
      </c>
      <c r="V16" t="b">
        <v>1</v>
      </c>
      <c r="W16" t="inlineStr">
        <is>
          <t>DCF!B3:F3</t>
        </is>
      </c>
      <c r="X16">
        <f>R[-1]C[0]*'Financial Statements'!R[13]C[3]</f>
        <v/>
      </c>
    </row>
    <row r="17">
      <c r="A17" t="inlineStr">
        <is>
          <t>DCF</t>
        </is>
      </c>
      <c r="B17" t="inlineStr">
        <is>
          <t>E3</t>
        </is>
      </c>
      <c r="C17" t="n">
        <v>3</v>
      </c>
      <c r="D17" t="n">
        <v>5</v>
      </c>
      <c r="E17" t="inlineStr">
        <is>
          <t>Calculation</t>
        </is>
      </c>
      <c r="F17" t="inlineStr">
        <is>
          <t>'=E2*'Financial Statements'!H16</t>
        </is>
      </c>
      <c r="G17" t="n">
        <v>449.3257252619223</v>
      </c>
      <c r="H17" t="inlineStr"/>
      <c r="I17" t="inlineStr">
        <is>
          <t>0</t>
        </is>
      </c>
      <c r="J17" t="b">
        <v>0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P17" t="n">
        <v/>
      </c>
      <c r="R17" t="b">
        <v>1</v>
      </c>
      <c r="S17" t="inlineStr">
        <is>
          <t>G000165</t>
        </is>
      </c>
      <c r="T17" t="inlineStr">
        <is>
          <t>Horizontal</t>
        </is>
      </c>
      <c r="U17" t="n">
        <v>5</v>
      </c>
      <c r="V17" t="b">
        <v>1</v>
      </c>
      <c r="W17" t="inlineStr">
        <is>
          <t>DCF!B3:F3</t>
        </is>
      </c>
      <c r="X17">
        <f>R[-1]C[0]*'Financial Statements'!R[13]C[3]</f>
        <v/>
      </c>
    </row>
    <row r="18">
      <c r="A18" t="inlineStr">
        <is>
          <t>DCF</t>
        </is>
      </c>
      <c r="B18" t="inlineStr">
        <is>
          <t>F3</t>
        </is>
      </c>
      <c r="C18" t="n">
        <v>3</v>
      </c>
      <c r="D18" t="n">
        <v>6</v>
      </c>
      <c r="E18" t="inlineStr">
        <is>
          <t>Calculation</t>
        </is>
      </c>
      <c r="F18" t="inlineStr">
        <is>
          <t>'=F2*'Financial Statements'!I16</t>
        </is>
      </c>
      <c r="G18" t="n">
        <v>468.3486070526408</v>
      </c>
      <c r="H18" t="inlineStr"/>
      <c r="I18" t="inlineStr">
        <is>
          <t>0</t>
        </is>
      </c>
      <c r="J18" t="b">
        <v>0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P18" t="n">
        <v/>
      </c>
      <c r="R18" t="b">
        <v>1</v>
      </c>
      <c r="S18" t="inlineStr">
        <is>
          <t>G000165</t>
        </is>
      </c>
      <c r="T18" t="inlineStr">
        <is>
          <t>Horizontal</t>
        </is>
      </c>
      <c r="U18" t="n">
        <v>5</v>
      </c>
      <c r="V18" t="b">
        <v>1</v>
      </c>
      <c r="W18" t="inlineStr">
        <is>
          <t>DCF!B3:F3</t>
        </is>
      </c>
      <c r="X18">
        <f>R[-1]C[0]*'Financial Statements'!R[13]C[3]</f>
        <v/>
      </c>
    </row>
    <row r="19">
      <c r="A19" t="inlineStr">
        <is>
          <t>DCF</t>
        </is>
      </c>
      <c r="B19" t="inlineStr">
        <is>
          <t>A4</t>
        </is>
      </c>
      <c r="C19" t="n">
        <v>4</v>
      </c>
      <c r="D19" t="n">
        <v>1</v>
      </c>
      <c r="E19" t="inlineStr">
        <is>
          <t>Input</t>
        </is>
      </c>
      <c r="F19" t="n">
        <v/>
      </c>
      <c r="G19" t="inlineStr">
        <is>
          <t>Debt free earning</t>
        </is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P19" t="n">
        <v/>
      </c>
      <c r="R19" t="b">
        <v>1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DCF</t>
        </is>
      </c>
      <c r="B20" t="inlineStr">
        <is>
          <t>B4</t>
        </is>
      </c>
      <c r="C20" t="n">
        <v>4</v>
      </c>
      <c r="D20" t="n">
        <v>2</v>
      </c>
      <c r="E20" t="inlineStr">
        <is>
          <t>Calculation</t>
        </is>
      </c>
      <c r="F20" t="inlineStr">
        <is>
          <t>'=B2-B3</t>
        </is>
      </c>
      <c r="G20" t="n">
        <v>1009.834870729173</v>
      </c>
      <c r="H20" t="inlineStr"/>
      <c r="I20" t="inlineStr">
        <is>
          <t>#,##0</t>
        </is>
      </c>
      <c r="J20" t="b">
        <v>0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P20" t="n">
        <v/>
      </c>
      <c r="R20" t="b">
        <v>1</v>
      </c>
      <c r="S20" t="inlineStr">
        <is>
          <t>G000166</t>
        </is>
      </c>
      <c r="T20" t="inlineStr">
        <is>
          <t>Horizontal</t>
        </is>
      </c>
      <c r="U20" t="n">
        <v>5</v>
      </c>
      <c r="V20" t="b">
        <v>1</v>
      </c>
      <c r="W20" t="inlineStr">
        <is>
          <t>DCF!B4:F4</t>
        </is>
      </c>
      <c r="X20">
        <f>R[-2]C[0]-R[-1]C[0]</f>
        <v/>
      </c>
    </row>
    <row r="21">
      <c r="A21" t="inlineStr">
        <is>
          <t>DCF</t>
        </is>
      </c>
      <c r="B21" t="inlineStr">
        <is>
          <t>C4</t>
        </is>
      </c>
      <c r="C21" t="n">
        <v>4</v>
      </c>
      <c r="D21" t="n">
        <v>3</v>
      </c>
      <c r="E21" t="inlineStr">
        <is>
          <t>Calculation</t>
        </is>
      </c>
      <c r="F21" t="inlineStr">
        <is>
          <t>'=C2-C3</t>
        </is>
      </c>
      <c r="G21" t="n">
        <v>1074.238774329207</v>
      </c>
      <c r="H21" t="inlineStr"/>
      <c r="I21" t="inlineStr">
        <is>
          <t>#,##0</t>
        </is>
      </c>
      <c r="J21" t="b">
        <v>0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P21" t="n">
        <v/>
      </c>
      <c r="R21" t="b">
        <v>1</v>
      </c>
      <c r="S21" t="inlineStr">
        <is>
          <t>G000166</t>
        </is>
      </c>
      <c r="T21" t="inlineStr">
        <is>
          <t>Horizontal</t>
        </is>
      </c>
      <c r="U21" t="n">
        <v>5</v>
      </c>
      <c r="V21" t="b">
        <v>1</v>
      </c>
      <c r="W21" t="inlineStr">
        <is>
          <t>DCF!B4:F4</t>
        </is>
      </c>
      <c r="X21">
        <f>R[-2]C[0]-R[-1]C[0]</f>
        <v/>
      </c>
    </row>
    <row r="22">
      <c r="A22" t="inlineStr">
        <is>
          <t>DCF</t>
        </is>
      </c>
      <c r="B22" t="inlineStr">
        <is>
          <t>D4</t>
        </is>
      </c>
      <c r="C22" t="n">
        <v>4</v>
      </c>
      <c r="D22" t="n">
        <v>4</v>
      </c>
      <c r="E22" t="inlineStr">
        <is>
          <t>Calculation</t>
        </is>
      </c>
      <c r="F22" t="inlineStr">
        <is>
          <t>'=D2-D3</t>
        </is>
      </c>
      <c r="G22" t="n">
        <v>1134.14348291883</v>
      </c>
      <c r="H22" t="inlineStr"/>
      <c r="I22" t="inlineStr">
        <is>
          <t>#,##0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P22" t="n">
        <v/>
      </c>
      <c r="R22" t="b">
        <v>1</v>
      </c>
      <c r="S22" t="inlineStr">
        <is>
          <t>G000166</t>
        </is>
      </c>
      <c r="T22" t="inlineStr">
        <is>
          <t>Horizontal</t>
        </is>
      </c>
      <c r="U22" t="n">
        <v>5</v>
      </c>
      <c r="V22" t="b">
        <v>1</v>
      </c>
      <c r="W22" t="inlineStr">
        <is>
          <t>DCF!B4:F4</t>
        </is>
      </c>
      <c r="X22">
        <f>R[-2]C[0]-R[-1]C[0]</f>
        <v/>
      </c>
    </row>
    <row r="23">
      <c r="A23" t="inlineStr">
        <is>
          <t>DCF</t>
        </is>
      </c>
      <c r="B23" t="inlineStr">
        <is>
          <t>E4</t>
        </is>
      </c>
      <c r="C23" t="n">
        <v>4</v>
      </c>
      <c r="D23" t="n">
        <v>5</v>
      </c>
      <c r="E23" t="inlineStr">
        <is>
          <t>Calculation</t>
        </is>
      </c>
      <c r="F23" t="inlineStr">
        <is>
          <t>'=E2-E3</t>
        </is>
      </c>
      <c r="G23" t="n">
        <v>1189.39780437037</v>
      </c>
      <c r="H23" t="inlineStr"/>
      <c r="I23" t="inlineStr">
        <is>
          <t>#,##0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P23" t="n">
        <v/>
      </c>
      <c r="R23" t="b">
        <v>1</v>
      </c>
      <c r="S23" t="inlineStr">
        <is>
          <t>G000166</t>
        </is>
      </c>
      <c r="T23" t="inlineStr">
        <is>
          <t>Horizontal</t>
        </is>
      </c>
      <c r="U23" t="n">
        <v>5</v>
      </c>
      <c r="V23" t="b">
        <v>1</v>
      </c>
      <c r="W23" t="inlineStr">
        <is>
          <t>DCF!B4:F4</t>
        </is>
      </c>
      <c r="X23">
        <f>R[-2]C[0]-R[-1]C[0]</f>
        <v/>
      </c>
    </row>
    <row r="24">
      <c r="A24" t="inlineStr">
        <is>
          <t>DCF</t>
        </is>
      </c>
      <c r="B24" t="inlineStr">
        <is>
          <t>F4</t>
        </is>
      </c>
      <c r="C24" t="n">
        <v>4</v>
      </c>
      <c r="D24" t="n">
        <v>6</v>
      </c>
      <c r="E24" t="inlineStr">
        <is>
          <t>Calculation</t>
        </is>
      </c>
      <c r="F24" t="inlineStr">
        <is>
          <t>'=F2-F3</t>
        </is>
      </c>
      <c r="G24" t="n">
        <v>1239.752753047054</v>
      </c>
      <c r="H24" t="inlineStr"/>
      <c r="I24" t="inlineStr">
        <is>
          <t>#,##0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P24" t="n">
        <v/>
      </c>
      <c r="R24" t="b">
        <v>1</v>
      </c>
      <c r="S24" t="inlineStr">
        <is>
          <t>G000166</t>
        </is>
      </c>
      <c r="T24" t="inlineStr">
        <is>
          <t>Horizontal</t>
        </is>
      </c>
      <c r="U24" t="n">
        <v>5</v>
      </c>
      <c r="V24" t="b">
        <v>1</v>
      </c>
      <c r="W24" t="inlineStr">
        <is>
          <t>DCF!B4:F4</t>
        </is>
      </c>
      <c r="X24">
        <f>R[-2]C[0]-R[-1]C[0]</f>
        <v/>
      </c>
    </row>
    <row r="25">
      <c r="A25" t="inlineStr">
        <is>
          <t>DCF</t>
        </is>
      </c>
      <c r="B25" t="inlineStr">
        <is>
          <t>A6</t>
        </is>
      </c>
      <c r="C25" t="n">
        <v>6</v>
      </c>
      <c r="D25" t="n">
        <v>1</v>
      </c>
      <c r="E25" t="inlineStr">
        <is>
          <t>Input</t>
        </is>
      </c>
      <c r="F25" t="n">
        <v/>
      </c>
      <c r="G25" t="inlineStr">
        <is>
          <t>Add: Dep &amp; Ammo</t>
        </is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DCF</t>
        </is>
      </c>
      <c r="B26" t="inlineStr">
        <is>
          <t>B6</t>
        </is>
      </c>
      <c r="C26" t="n">
        <v>6</v>
      </c>
      <c r="D26" t="n">
        <v>2</v>
      </c>
      <c r="E26" t="inlineStr">
        <is>
          <t>Calculation</t>
        </is>
      </c>
      <c r="F26" t="inlineStr">
        <is>
          <t>'='Financial Statements'!E11</t>
        </is>
      </c>
      <c r="G26" t="n">
        <v>582.6373910172789</v>
      </c>
      <c r="H26" t="inlineStr"/>
      <c r="I26" t="inlineStr">
        <is>
          <t>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P26" t="n">
        <v/>
      </c>
      <c r="R26" t="b">
        <v>1</v>
      </c>
      <c r="S26" t="inlineStr">
        <is>
          <t>G000167</t>
        </is>
      </c>
      <c r="T26" t="inlineStr">
        <is>
          <t>Horizontal</t>
        </is>
      </c>
      <c r="U26" t="n">
        <v>5</v>
      </c>
      <c r="V26" t="b">
        <v>1</v>
      </c>
      <c r="W26" t="inlineStr">
        <is>
          <t>DCF!B6:F6</t>
        </is>
      </c>
      <c r="X26">
        <f>'Financial Statements'!R[5]C[3]</f>
        <v/>
      </c>
    </row>
    <row r="27">
      <c r="A27" t="inlineStr">
        <is>
          <t>DCF</t>
        </is>
      </c>
      <c r="B27" t="inlineStr">
        <is>
          <t>C6</t>
        </is>
      </c>
      <c r="C27" t="n">
        <v>6</v>
      </c>
      <c r="D27" t="n">
        <v>3</v>
      </c>
      <c r="E27" t="inlineStr">
        <is>
          <t>Calculation</t>
        </is>
      </c>
      <c r="F27" t="inlineStr">
        <is>
          <t>'='Financial Statements'!F11</t>
        </is>
      </c>
      <c r="G27" t="n">
        <v>566.0919764667541</v>
      </c>
      <c r="H27" t="inlineStr"/>
      <c r="I27" t="inlineStr">
        <is>
          <t>0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P27" t="n">
        <v/>
      </c>
      <c r="R27" t="b">
        <v>1</v>
      </c>
      <c r="S27" t="inlineStr">
        <is>
          <t>G000167</t>
        </is>
      </c>
      <c r="T27" t="inlineStr">
        <is>
          <t>Horizontal</t>
        </is>
      </c>
      <c r="U27" t="n">
        <v>5</v>
      </c>
      <c r="V27" t="b">
        <v>1</v>
      </c>
      <c r="W27" t="inlineStr">
        <is>
          <t>DCF!B6:F6</t>
        </is>
      </c>
      <c r="X27">
        <f>'Financial Statements'!R[5]C[3]</f>
        <v/>
      </c>
    </row>
    <row r="28">
      <c r="A28" t="inlineStr">
        <is>
          <t>DCF</t>
        </is>
      </c>
      <c r="B28" t="inlineStr">
        <is>
          <t>D6</t>
        </is>
      </c>
      <c r="C28" t="n">
        <v>6</v>
      </c>
      <c r="D28" t="n">
        <v>4</v>
      </c>
      <c r="E28" t="inlineStr">
        <is>
          <t>Calculation</t>
        </is>
      </c>
      <c r="F28" t="inlineStr">
        <is>
          <t>'='Financial Statements'!G11</t>
        </is>
      </c>
      <c r="G28" t="n">
        <v>554.0982951837184</v>
      </c>
      <c r="H28" t="inlineStr"/>
      <c r="I28" t="inlineStr">
        <is>
          <t>0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P28" t="n">
        <v/>
      </c>
      <c r="R28" t="b">
        <v>1</v>
      </c>
      <c r="S28" t="inlineStr">
        <is>
          <t>G000167</t>
        </is>
      </c>
      <c r="T28" t="inlineStr">
        <is>
          <t>Horizontal</t>
        </is>
      </c>
      <c r="U28" t="n">
        <v>5</v>
      </c>
      <c r="V28" t="b">
        <v>1</v>
      </c>
      <c r="W28" t="inlineStr">
        <is>
          <t>DCF!B6:F6</t>
        </is>
      </c>
      <c r="X28">
        <f>'Financial Statements'!R[5]C[3]</f>
        <v/>
      </c>
    </row>
    <row r="29">
      <c r="A29" t="inlineStr">
        <is>
          <t>DCF</t>
        </is>
      </c>
      <c r="B29" t="inlineStr">
        <is>
          <t>E6</t>
        </is>
      </c>
      <c r="C29" t="n">
        <v>6</v>
      </c>
      <c r="D29" t="n">
        <v>5</v>
      </c>
      <c r="E29" t="inlineStr">
        <is>
          <t>Calculation</t>
        </is>
      </c>
      <c r="F29" t="inlineStr">
        <is>
          <t>'='Financial Statements'!H11</t>
        </is>
      </c>
      <c r="G29" t="n">
        <v>546.3229136890859</v>
      </c>
      <c r="H29" t="inlineStr"/>
      <c r="I29" t="inlineStr">
        <is>
          <t>0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P29" t="n">
        <v/>
      </c>
      <c r="R29" t="b">
        <v>1</v>
      </c>
      <c r="S29" t="inlineStr">
        <is>
          <t>G000167</t>
        </is>
      </c>
      <c r="T29" t="inlineStr">
        <is>
          <t>Horizontal</t>
        </is>
      </c>
      <c r="U29" t="n">
        <v>5</v>
      </c>
      <c r="V29" t="b">
        <v>1</v>
      </c>
      <c r="W29" t="inlineStr">
        <is>
          <t>DCF!B6:F6</t>
        </is>
      </c>
      <c r="X29">
        <f>'Financial Statements'!R[5]C[3]</f>
        <v/>
      </c>
    </row>
    <row r="30">
      <c r="A30" t="inlineStr">
        <is>
          <t>DCF</t>
        </is>
      </c>
      <c r="B30" t="inlineStr">
        <is>
          <t>F6</t>
        </is>
      </c>
      <c r="C30" t="n">
        <v>6</v>
      </c>
      <c r="D30" t="n">
        <v>6</v>
      </c>
      <c r="E30" t="inlineStr">
        <is>
          <t>Calculation</t>
        </is>
      </c>
      <c r="F30" t="inlineStr">
        <is>
          <t>'='Financial Statements'!I11</t>
        </is>
      </c>
      <c r="G30" t="n">
        <v>542.5072518919166</v>
      </c>
      <c r="H30" t="inlineStr"/>
      <c r="I30" t="inlineStr">
        <is>
          <t>0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P30" t="n">
        <v/>
      </c>
      <c r="R30" t="b">
        <v>1</v>
      </c>
      <c r="S30" t="inlineStr">
        <is>
          <t>G000167</t>
        </is>
      </c>
      <c r="T30" t="inlineStr">
        <is>
          <t>Horizontal</t>
        </is>
      </c>
      <c r="U30" t="n">
        <v>5</v>
      </c>
      <c r="V30" t="b">
        <v>1</v>
      </c>
      <c r="W30" t="inlineStr">
        <is>
          <t>DCF!B6:F6</t>
        </is>
      </c>
      <c r="X30">
        <f>'Financial Statements'!R[5]C[3]</f>
        <v/>
      </c>
    </row>
    <row r="31">
      <c r="A31" t="inlineStr">
        <is>
          <t>DCF</t>
        </is>
      </c>
      <c r="B31" t="inlineStr">
        <is>
          <t>A7</t>
        </is>
      </c>
      <c r="C31" t="n">
        <v>7</v>
      </c>
      <c r="D31" t="n">
        <v>1</v>
      </c>
      <c r="E31" t="inlineStr">
        <is>
          <t>Input</t>
        </is>
      </c>
      <c r="F31" t="n">
        <v/>
      </c>
      <c r="G31" t="inlineStr">
        <is>
          <t>Less: Capex</t>
        </is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DCF</t>
        </is>
      </c>
      <c r="B32" t="inlineStr">
        <is>
          <t>B7</t>
        </is>
      </c>
      <c r="C32" t="n">
        <v>7</v>
      </c>
      <c r="D32" t="n">
        <v>2</v>
      </c>
      <c r="E32" t="inlineStr">
        <is>
          <t>Calculation</t>
        </is>
      </c>
      <c r="F32" t="inlineStr">
        <is>
          <t>'=-'Asset schedule'!P2</t>
        </is>
      </c>
      <c r="G32" t="n">
        <v>-406.8404430379748</v>
      </c>
      <c r="H32" t="inlineStr"/>
      <c r="I32" t="inlineStr">
        <is>
          <t>0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P32" t="n">
        <v/>
      </c>
      <c r="R32" t="b">
        <v>1</v>
      </c>
      <c r="S32" t="inlineStr">
        <is>
          <t>G000168</t>
        </is>
      </c>
      <c r="T32" t="inlineStr">
        <is>
          <t>Horizontal</t>
        </is>
      </c>
      <c r="U32" t="n">
        <v>5</v>
      </c>
      <c r="V32" t="b">
        <v>1</v>
      </c>
      <c r="W32" t="inlineStr">
        <is>
          <t>DCF!B7:F7</t>
        </is>
      </c>
      <c r="X32">
        <f>-'Asset schedule'!R[-5]C[14]</f>
        <v/>
      </c>
    </row>
    <row r="33">
      <c r="A33" t="inlineStr">
        <is>
          <t>DCF</t>
        </is>
      </c>
      <c r="B33" t="inlineStr">
        <is>
          <t>C7</t>
        </is>
      </c>
      <c r="C33" t="n">
        <v>7</v>
      </c>
      <c r="D33" t="n">
        <v>3</v>
      </c>
      <c r="E33" t="inlineStr">
        <is>
          <t>Calculation</t>
        </is>
      </c>
      <c r="F33" t="inlineStr">
        <is>
          <t>'=-'Asset schedule'!Q2</t>
        </is>
      </c>
      <c r="G33" t="n">
        <v>-437.730180379747</v>
      </c>
      <c r="H33" t="inlineStr"/>
      <c r="I33" t="inlineStr">
        <is>
          <t>0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P33" t="n">
        <v/>
      </c>
      <c r="R33" t="b">
        <v>1</v>
      </c>
      <c r="S33" t="inlineStr">
        <is>
          <t>G000168</t>
        </is>
      </c>
      <c r="T33" t="inlineStr">
        <is>
          <t>Horizontal</t>
        </is>
      </c>
      <c r="U33" t="n">
        <v>5</v>
      </c>
      <c r="V33" t="b">
        <v>1</v>
      </c>
      <c r="W33" t="inlineStr">
        <is>
          <t>DCF!B7:F7</t>
        </is>
      </c>
      <c r="X33">
        <f>-'Asset schedule'!R[-5]C[14]</f>
        <v/>
      </c>
    </row>
    <row r="34">
      <c r="A34" t="inlineStr">
        <is>
          <t>DCF</t>
        </is>
      </c>
      <c r="B34" t="inlineStr">
        <is>
          <t>D7</t>
        </is>
      </c>
      <c r="C34" t="n">
        <v>7</v>
      </c>
      <c r="D34" t="n">
        <v>4</v>
      </c>
      <c r="E34" t="inlineStr">
        <is>
          <t>Calculation</t>
        </is>
      </c>
      <c r="F34" t="inlineStr">
        <is>
          <t>'=-'Asset schedule'!R2</t>
        </is>
      </c>
      <c r="G34" t="n">
        <v>-470.6917903481014</v>
      </c>
      <c r="H34" t="inlineStr"/>
      <c r="I34" t="inlineStr">
        <is>
          <t>0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P34" t="n">
        <v/>
      </c>
      <c r="R34" t="b">
        <v>1</v>
      </c>
      <c r="S34" t="inlineStr">
        <is>
          <t>G000168</t>
        </is>
      </c>
      <c r="T34" t="inlineStr">
        <is>
          <t>Horizontal</t>
        </is>
      </c>
      <c r="U34" t="n">
        <v>5</v>
      </c>
      <c r="V34" t="b">
        <v>1</v>
      </c>
      <c r="W34" t="inlineStr">
        <is>
          <t>DCF!B7:F7</t>
        </is>
      </c>
      <c r="X34">
        <f>-'Asset schedule'!R[-5]C[14]</f>
        <v/>
      </c>
    </row>
    <row r="35">
      <c r="A35" t="inlineStr">
        <is>
          <t>DCF</t>
        </is>
      </c>
      <c r="B35" t="inlineStr">
        <is>
          <t>E7</t>
        </is>
      </c>
      <c r="C35" t="n">
        <v>7</v>
      </c>
      <c r="D35" t="n">
        <v>5</v>
      </c>
      <c r="E35" t="inlineStr">
        <is>
          <t>Calculation</t>
        </is>
      </c>
      <c r="F35" t="inlineStr">
        <is>
          <t>'=-'Asset schedule'!S2</t>
        </is>
      </c>
      <c r="G35" t="n">
        <v>-505.8552358623419</v>
      </c>
      <c r="H35" t="inlineStr"/>
      <c r="I35" t="inlineStr">
        <is>
          <t>0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P35" t="n">
        <v/>
      </c>
      <c r="R35" t="b">
        <v>1</v>
      </c>
      <c r="S35" t="inlineStr">
        <is>
          <t>G000168</t>
        </is>
      </c>
      <c r="T35" t="inlineStr">
        <is>
          <t>Horizontal</t>
        </is>
      </c>
      <c r="U35" t="n">
        <v>5</v>
      </c>
      <c r="V35" t="b">
        <v>1</v>
      </c>
      <c r="W35" t="inlineStr">
        <is>
          <t>DCF!B7:F7</t>
        </is>
      </c>
      <c r="X35">
        <f>-'Asset schedule'!R[-5]C[14]</f>
        <v/>
      </c>
    </row>
    <row r="36">
      <c r="A36" t="inlineStr">
        <is>
          <t>DCF</t>
        </is>
      </c>
      <c r="B36" t="inlineStr">
        <is>
          <t>F7</t>
        </is>
      </c>
      <c r="C36" t="n">
        <v>7</v>
      </c>
      <c r="D36" t="n">
        <v>6</v>
      </c>
      <c r="E36" t="inlineStr">
        <is>
          <t>Calculation</t>
        </is>
      </c>
      <c r="F36" t="inlineStr">
        <is>
          <t>'=-'Asset schedule'!T2</t>
        </is>
      </c>
      <c r="G36" t="n">
        <v>-543.3582964521364</v>
      </c>
      <c r="H36" t="inlineStr"/>
      <c r="I36" t="inlineStr">
        <is>
          <t>0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P36" t="n">
        <v/>
      </c>
      <c r="R36" t="b">
        <v>1</v>
      </c>
      <c r="S36" t="inlineStr">
        <is>
          <t>G000168</t>
        </is>
      </c>
      <c r="T36" t="inlineStr">
        <is>
          <t>Horizontal</t>
        </is>
      </c>
      <c r="U36" t="n">
        <v>5</v>
      </c>
      <c r="V36" t="b">
        <v>1</v>
      </c>
      <c r="W36" t="inlineStr">
        <is>
          <t>DCF!B7:F7</t>
        </is>
      </c>
      <c r="X36">
        <f>-'Asset schedule'!R[-5]C[14]</f>
        <v/>
      </c>
    </row>
    <row r="37">
      <c r="A37" t="inlineStr">
        <is>
          <t>DCF</t>
        </is>
      </c>
      <c r="B37" t="inlineStr">
        <is>
          <t>A8</t>
        </is>
      </c>
      <c r="C37" t="n">
        <v>8</v>
      </c>
      <c r="D37" t="n">
        <v>1</v>
      </c>
      <c r="E37" t="inlineStr">
        <is>
          <t>Input</t>
        </is>
      </c>
      <c r="F37" t="n">
        <v/>
      </c>
      <c r="G37" t="inlineStr">
        <is>
          <t>Add/Less: Change in WC</t>
        </is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P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DCF</t>
        </is>
      </c>
      <c r="B38" t="inlineStr">
        <is>
          <t>B8</t>
        </is>
      </c>
      <c r="C38" t="n">
        <v>8</v>
      </c>
      <c r="D38" t="n">
        <v>2</v>
      </c>
      <c r="E38" t="inlineStr">
        <is>
          <t>Calculation</t>
        </is>
      </c>
      <c r="F38" t="inlineStr">
        <is>
          <t>'='Financial Statements'!O18+'Financial Statements'!O19+'Financial Statements'!O20</t>
        </is>
      </c>
      <c r="G38" t="n">
        <v>-199.5603195533827</v>
      </c>
      <c r="H38" t="inlineStr"/>
      <c r="I38" t="inlineStr">
        <is>
          <t>0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P38" t="n">
        <v/>
      </c>
      <c r="R38" t="b">
        <v>1</v>
      </c>
      <c r="S38" t="inlineStr">
        <is>
          <t>G000169</t>
        </is>
      </c>
      <c r="T38" t="inlineStr">
        <is>
          <t>Horizontal</t>
        </is>
      </c>
      <c r="U38" t="n">
        <v>5</v>
      </c>
      <c r="V38" t="b">
        <v>1</v>
      </c>
      <c r="W38" t="inlineStr">
        <is>
          <t>DCF!B8:F8</t>
        </is>
      </c>
      <c r="X38">
        <f>'Financial Statements'!R[10]C[13]+'Financial Statements'!R[11]C[13]+'Financial Statements'!R[12]C[13]</f>
        <v/>
      </c>
    </row>
    <row r="39">
      <c r="A39" t="inlineStr">
        <is>
          <t>DCF</t>
        </is>
      </c>
      <c r="B39" t="inlineStr">
        <is>
          <t>C8</t>
        </is>
      </c>
      <c r="C39" t="n">
        <v>8</v>
      </c>
      <c r="D39" t="n">
        <v>3</v>
      </c>
      <c r="E39" t="inlineStr">
        <is>
          <t>Calculation</t>
        </is>
      </c>
      <c r="F39" t="inlineStr">
        <is>
          <t>'='Financial Statements'!P18+'Financial Statements'!P19+'Financial Statements'!P20</t>
        </is>
      </c>
      <c r="G39" t="n">
        <v>-32.70455084038326</v>
      </c>
      <c r="H39" t="inlineStr"/>
      <c r="I39" t="inlineStr">
        <is>
          <t>0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P39" t="n">
        <v/>
      </c>
      <c r="R39" t="b">
        <v>1</v>
      </c>
      <c r="S39" t="inlineStr">
        <is>
          <t>G000169</t>
        </is>
      </c>
      <c r="T39" t="inlineStr">
        <is>
          <t>Horizontal</t>
        </is>
      </c>
      <c r="U39" t="n">
        <v>5</v>
      </c>
      <c r="V39" t="b">
        <v>1</v>
      </c>
      <c r="W39" t="inlineStr">
        <is>
          <t>DCF!B8:F8</t>
        </is>
      </c>
      <c r="X39">
        <f>'Financial Statements'!R[10]C[13]+'Financial Statements'!R[11]C[13]+'Financial Statements'!R[12]C[13]</f>
        <v/>
      </c>
    </row>
    <row r="40">
      <c r="A40" t="inlineStr">
        <is>
          <t>DCF</t>
        </is>
      </c>
      <c r="B40" t="inlineStr">
        <is>
          <t>D8</t>
        </is>
      </c>
      <c r="C40" t="n">
        <v>8</v>
      </c>
      <c r="D40" t="n">
        <v>4</v>
      </c>
      <c r="E40" t="inlineStr">
        <is>
          <t>Calculation</t>
        </is>
      </c>
      <c r="F40" t="inlineStr">
        <is>
          <t>'='Financial Statements'!Q18+'Financial Statements'!Q19+'Financial Statements'!Q20</t>
        </is>
      </c>
      <c r="G40" t="n">
        <v>-34.73435014514769</v>
      </c>
      <c r="H40" t="inlineStr"/>
      <c r="I40" t="inlineStr">
        <is>
          <t>0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P40" t="n">
        <v/>
      </c>
      <c r="R40" t="b">
        <v>1</v>
      </c>
      <c r="S40" t="inlineStr">
        <is>
          <t>G000169</t>
        </is>
      </c>
      <c r="T40" t="inlineStr">
        <is>
          <t>Horizontal</t>
        </is>
      </c>
      <c r="U40" t="n">
        <v>5</v>
      </c>
      <c r="V40" t="b">
        <v>1</v>
      </c>
      <c r="W40" t="inlineStr">
        <is>
          <t>DCF!B8:F8</t>
        </is>
      </c>
      <c r="X40">
        <f>'Financial Statements'!R[10]C[13]+'Financial Statements'!R[11]C[13]+'Financial Statements'!R[12]C[13]</f>
        <v/>
      </c>
    </row>
    <row r="41">
      <c r="A41" t="inlineStr">
        <is>
          <t>DCF</t>
        </is>
      </c>
      <c r="B41" t="inlineStr">
        <is>
          <t>E8</t>
        </is>
      </c>
      <c r="C41" t="n">
        <v>8</v>
      </c>
      <c r="D41" t="n">
        <v>5</v>
      </c>
      <c r="E41" t="inlineStr">
        <is>
          <t>Calculation</t>
        </is>
      </c>
      <c r="F41" t="inlineStr">
        <is>
          <t>'='Financial Statements'!R18+'Financial Statements'!R19+'Financial Statements'!R20</t>
        </is>
      </c>
      <c r="G41" t="n">
        <v>-36.88040650426797</v>
      </c>
      <c r="H41" t="inlineStr"/>
      <c r="I41" t="inlineStr">
        <is>
          <t>0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P41" t="n">
        <v/>
      </c>
      <c r="R41" t="b">
        <v>1</v>
      </c>
      <c r="S41" t="inlineStr">
        <is>
          <t>G000169</t>
        </is>
      </c>
      <c r="T41" t="inlineStr">
        <is>
          <t>Horizontal</t>
        </is>
      </c>
      <c r="U41" t="n">
        <v>5</v>
      </c>
      <c r="V41" t="b">
        <v>1</v>
      </c>
      <c r="W41" t="inlineStr">
        <is>
          <t>DCF!B8:F8</t>
        </is>
      </c>
      <c r="X41">
        <f>'Financial Statements'!R[10]C[13]+'Financial Statements'!R[11]C[13]+'Financial Statements'!R[12]C[13]</f>
        <v/>
      </c>
    </row>
    <row r="42">
      <c r="A42" t="inlineStr">
        <is>
          <t>DCF</t>
        </is>
      </c>
      <c r="B42" t="inlineStr">
        <is>
          <t>F8</t>
        </is>
      </c>
      <c r="C42" t="n">
        <v>8</v>
      </c>
      <c r="D42" t="n">
        <v>6</v>
      </c>
      <c r="E42" t="inlineStr">
        <is>
          <t>Calculation</t>
        </is>
      </c>
      <c r="F42" t="inlineStr">
        <is>
          <t>'='Financial Statements'!S18+'Financial Statements'!S19+'Financial Statements'!S20</t>
        </is>
      </c>
      <c r="G42" t="n">
        <v>-39.14902304996701</v>
      </c>
      <c r="H42" t="inlineStr"/>
      <c r="I42" t="inlineStr">
        <is>
          <t>0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inlineStr">
        <is>
          <t>G000169</t>
        </is>
      </c>
      <c r="T42" t="inlineStr">
        <is>
          <t>Horizontal</t>
        </is>
      </c>
      <c r="U42" t="n">
        <v>5</v>
      </c>
      <c r="V42" t="b">
        <v>1</v>
      </c>
      <c r="W42" t="inlineStr">
        <is>
          <t>DCF!B8:F8</t>
        </is>
      </c>
      <c r="X42">
        <f>'Financial Statements'!R[10]C[13]+'Financial Statements'!R[11]C[13]+'Financial Statements'!R[12]C[13]</f>
        <v/>
      </c>
    </row>
    <row r="43">
      <c r="A43" t="inlineStr">
        <is>
          <t>DCF</t>
        </is>
      </c>
      <c r="B43" t="inlineStr">
        <is>
          <t>A9</t>
        </is>
      </c>
      <c r="C43" t="n">
        <v>9</v>
      </c>
      <c r="D43" t="n">
        <v>1</v>
      </c>
      <c r="E43" t="inlineStr">
        <is>
          <t>Input</t>
        </is>
      </c>
      <c r="F43" t="n">
        <v/>
      </c>
      <c r="G43" t="inlineStr">
        <is>
          <t>FCFF</t>
        </is>
      </c>
      <c r="H43" t="inlineStr"/>
      <c r="I43" t="inlineStr">
        <is>
          <t>General</t>
        </is>
      </c>
      <c r="J43" t="b">
        <v>1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DCF</t>
        </is>
      </c>
      <c r="B44" t="inlineStr">
        <is>
          <t>B9</t>
        </is>
      </c>
      <c r="C44" t="n">
        <v>9</v>
      </c>
      <c r="D44" t="n">
        <v>2</v>
      </c>
      <c r="E44" t="inlineStr">
        <is>
          <t>Calculation</t>
        </is>
      </c>
      <c r="F44" t="inlineStr">
        <is>
          <t>'=SUM(B4:B8)</t>
        </is>
      </c>
      <c r="G44" t="n">
        <v>986.0714991550949</v>
      </c>
      <c r="H44" t="inlineStr"/>
      <c r="I44" t="inlineStr">
        <is>
          <t>0</t>
        </is>
      </c>
      <c r="J44" t="b">
        <v>1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inlineStr">
        <is>
          <t>G000170</t>
        </is>
      </c>
      <c r="T44" t="inlineStr">
        <is>
          <t>Horizontal</t>
        </is>
      </c>
      <c r="U44" t="n">
        <v>5</v>
      </c>
      <c r="V44" t="b">
        <v>1</v>
      </c>
      <c r="W44" t="inlineStr">
        <is>
          <t>DCF!B9:F9</t>
        </is>
      </c>
      <c r="X44">
        <f>SUM(R[-5]C[0]:R[-1]C[0])</f>
        <v/>
      </c>
    </row>
    <row r="45">
      <c r="A45" t="inlineStr">
        <is>
          <t>DCF</t>
        </is>
      </c>
      <c r="B45" t="inlineStr">
        <is>
          <t>C9</t>
        </is>
      </c>
      <c r="C45" t="n">
        <v>9</v>
      </c>
      <c r="D45" t="n">
        <v>3</v>
      </c>
      <c r="E45" t="inlineStr">
        <is>
          <t>Calculation</t>
        </is>
      </c>
      <c r="F45" t="inlineStr">
        <is>
          <t>'=SUM(C4:C8)</t>
        </is>
      </c>
      <c r="G45" t="n">
        <v>1169.89601957583</v>
      </c>
      <c r="H45" t="inlineStr"/>
      <c r="I45" t="inlineStr">
        <is>
          <t>0</t>
        </is>
      </c>
      <c r="J45" t="b">
        <v>1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inlineStr">
        <is>
          <t>G000170</t>
        </is>
      </c>
      <c r="T45" t="inlineStr">
        <is>
          <t>Horizontal</t>
        </is>
      </c>
      <c r="U45" t="n">
        <v>5</v>
      </c>
      <c r="V45" t="b">
        <v>1</v>
      </c>
      <c r="W45" t="inlineStr">
        <is>
          <t>DCF!B9:F9</t>
        </is>
      </c>
      <c r="X45">
        <f>SUM(R[-5]C[0]:R[-1]C[0])</f>
        <v/>
      </c>
    </row>
    <row r="46">
      <c r="A46" t="inlineStr">
        <is>
          <t>DCF</t>
        </is>
      </c>
      <c r="B46" t="inlineStr">
        <is>
          <t>D9</t>
        </is>
      </c>
      <c r="C46" t="n">
        <v>9</v>
      </c>
      <c r="D46" t="n">
        <v>4</v>
      </c>
      <c r="E46" t="inlineStr">
        <is>
          <t>Calculation</t>
        </is>
      </c>
      <c r="F46" t="inlineStr">
        <is>
          <t>'=SUM(D4:D8)</t>
        </is>
      </c>
      <c r="G46" t="n">
        <v>1182.815637609299</v>
      </c>
      <c r="H46" t="inlineStr"/>
      <c r="I46" t="inlineStr">
        <is>
          <t>0</t>
        </is>
      </c>
      <c r="J46" t="b">
        <v>1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inlineStr">
        <is>
          <t>G000170</t>
        </is>
      </c>
      <c r="T46" t="inlineStr">
        <is>
          <t>Horizontal</t>
        </is>
      </c>
      <c r="U46" t="n">
        <v>5</v>
      </c>
      <c r="V46" t="b">
        <v>1</v>
      </c>
      <c r="W46" t="inlineStr">
        <is>
          <t>DCF!B9:F9</t>
        </is>
      </c>
      <c r="X46">
        <f>SUM(R[-5]C[0]:R[-1]C[0])</f>
        <v/>
      </c>
    </row>
    <row r="47">
      <c r="A47" t="inlineStr">
        <is>
          <t>DCF</t>
        </is>
      </c>
      <c r="B47" t="inlineStr">
        <is>
          <t>E9</t>
        </is>
      </c>
      <c r="C47" t="n">
        <v>9</v>
      </c>
      <c r="D47" t="n">
        <v>5</v>
      </c>
      <c r="E47" t="inlineStr">
        <is>
          <t>Calculation</t>
        </is>
      </c>
      <c r="F47" t="inlineStr">
        <is>
          <t>'=SUM(E4:E8)</t>
        </is>
      </c>
      <c r="G47" t="n">
        <v>1192.985075692846</v>
      </c>
      <c r="H47" t="inlineStr"/>
      <c r="I47" t="inlineStr">
        <is>
          <t>0</t>
        </is>
      </c>
      <c r="J47" t="b">
        <v>1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inlineStr">
        <is>
          <t>G000170</t>
        </is>
      </c>
      <c r="T47" t="inlineStr">
        <is>
          <t>Horizontal</t>
        </is>
      </c>
      <c r="U47" t="n">
        <v>5</v>
      </c>
      <c r="V47" t="b">
        <v>1</v>
      </c>
      <c r="W47" t="inlineStr">
        <is>
          <t>DCF!B9:F9</t>
        </is>
      </c>
      <c r="X47">
        <f>SUM(R[-5]C[0]:R[-1]C[0])</f>
        <v/>
      </c>
    </row>
    <row r="48">
      <c r="A48" t="inlineStr">
        <is>
          <t>DCF</t>
        </is>
      </c>
      <c r="B48" t="inlineStr">
        <is>
          <t>F9</t>
        </is>
      </c>
      <c r="C48" t="n">
        <v>9</v>
      </c>
      <c r="D48" t="n">
        <v>6</v>
      </c>
      <c r="E48" t="inlineStr">
        <is>
          <t>Calculation</t>
        </is>
      </c>
      <c r="F48" t="inlineStr">
        <is>
          <t>'=SUM(F4:F8)</t>
        </is>
      </c>
      <c r="G48" t="n">
        <v>1199.752685436867</v>
      </c>
      <c r="H48" t="inlineStr"/>
      <c r="I48" t="inlineStr">
        <is>
          <t>0</t>
        </is>
      </c>
      <c r="J48" t="b">
        <v>1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inlineStr">
        <is>
          <t>G000170</t>
        </is>
      </c>
      <c r="T48" t="inlineStr">
        <is>
          <t>Horizontal</t>
        </is>
      </c>
      <c r="U48" t="n">
        <v>5</v>
      </c>
      <c r="V48" t="b">
        <v>1</v>
      </c>
      <c r="W48" t="inlineStr">
        <is>
          <t>DCF!B9:F9</t>
        </is>
      </c>
      <c r="X48">
        <f>SUM(R[-5]C[0]:R[-1]C[0])</f>
        <v/>
      </c>
    </row>
    <row r="49">
      <c r="A49" t="inlineStr">
        <is>
          <t>DCF</t>
        </is>
      </c>
      <c r="B49" t="inlineStr">
        <is>
          <t>A10</t>
        </is>
      </c>
      <c r="C49" t="n">
        <v>10</v>
      </c>
      <c r="D49" t="n">
        <v>1</v>
      </c>
      <c r="E49" t="inlineStr">
        <is>
          <t>Input</t>
        </is>
      </c>
      <c r="F49" t="n">
        <v/>
      </c>
      <c r="G49" t="inlineStr">
        <is>
          <t>Terminal value</t>
        </is>
      </c>
      <c r="H49" t="inlineStr"/>
      <c r="I49" t="inlineStr">
        <is>
          <t>General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DCF</t>
        </is>
      </c>
      <c r="B50" t="inlineStr">
        <is>
          <t>B10</t>
        </is>
      </c>
      <c r="C50" t="n">
        <v>10</v>
      </c>
      <c r="D50" t="n">
        <v>2</v>
      </c>
      <c r="E50" t="inlineStr">
        <is>
          <t>Input</t>
        </is>
      </c>
      <c r="F50" t="n">
        <v/>
      </c>
      <c r="H50" t="inlineStr"/>
      <c r="I50" t="inlineStr">
        <is>
          <t>General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0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DCF</t>
        </is>
      </c>
      <c r="B51" t="inlineStr">
        <is>
          <t>C10</t>
        </is>
      </c>
      <c r="C51" t="n">
        <v>10</v>
      </c>
      <c r="D51" t="n">
        <v>3</v>
      </c>
      <c r="E51" t="inlineStr">
        <is>
          <t>Input</t>
        </is>
      </c>
      <c r="F51" t="n">
        <v/>
      </c>
      <c r="H51" t="inlineStr"/>
      <c r="I51" t="inlineStr">
        <is>
          <t>General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0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DCF</t>
        </is>
      </c>
      <c r="B52" t="inlineStr">
        <is>
          <t>D10</t>
        </is>
      </c>
      <c r="C52" t="n">
        <v>10</v>
      </c>
      <c r="D52" t="n">
        <v>4</v>
      </c>
      <c r="E52" t="inlineStr">
        <is>
          <t>Input</t>
        </is>
      </c>
      <c r="F52" t="n">
        <v/>
      </c>
      <c r="H52" t="inlineStr"/>
      <c r="I52" t="inlineStr">
        <is>
          <t>General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0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DCF</t>
        </is>
      </c>
      <c r="B53" t="inlineStr">
        <is>
          <t>E10</t>
        </is>
      </c>
      <c r="C53" t="n">
        <v>10</v>
      </c>
      <c r="D53" t="n">
        <v>5</v>
      </c>
      <c r="E53" t="inlineStr">
        <is>
          <t>Input</t>
        </is>
      </c>
      <c r="F53" t="n">
        <v/>
      </c>
      <c r="H53" t="inlineStr"/>
      <c r="I53" t="inlineStr">
        <is>
          <t>General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0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DCF</t>
        </is>
      </c>
      <c r="B54" t="inlineStr">
        <is>
          <t>F10</t>
        </is>
      </c>
      <c r="C54" t="n">
        <v>10</v>
      </c>
      <c r="D54" t="n">
        <v>6</v>
      </c>
      <c r="E54" t="inlineStr">
        <is>
          <t>Calculation</t>
        </is>
      </c>
      <c r="F54" t="inlineStr">
        <is>
          <t>'=F9*(1+B27)/(H21-B27)</t>
        </is>
      </c>
      <c r="G54" t="n">
        <v>11152.95574540723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>
        <f>R[-1]C[0]*(1+R[17]C[-4])/(R[11]C[2]-R[17]C[-4])</f>
        <v/>
      </c>
    </row>
    <row r="55">
      <c r="A55" t="inlineStr">
        <is>
          <t>DCF</t>
        </is>
      </c>
      <c r="B55" t="inlineStr">
        <is>
          <t>G10</t>
        </is>
      </c>
      <c r="C55" t="n">
        <v>10</v>
      </c>
      <c r="D55" t="n">
        <v>7</v>
      </c>
      <c r="E55" t="inlineStr">
        <is>
          <t>Input</t>
        </is>
      </c>
      <c r="F55" t="n">
        <v/>
      </c>
      <c r="G55" t="inlineStr">
        <is>
          <t>FCC*(1+g)/(WACC-g)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DCF</t>
        </is>
      </c>
      <c r="B56" t="inlineStr">
        <is>
          <t>A11</t>
        </is>
      </c>
      <c r="C56" t="n">
        <v>11</v>
      </c>
      <c r="D56" t="n">
        <v>1</v>
      </c>
      <c r="E56" t="inlineStr">
        <is>
          <t>Input</t>
        </is>
      </c>
      <c r="F56" t="n">
        <v/>
      </c>
      <c r="G56" t="inlineStr">
        <is>
          <t>FCFF after TV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DCF</t>
        </is>
      </c>
      <c r="B57" t="inlineStr">
        <is>
          <t>B11</t>
        </is>
      </c>
      <c r="C57" t="n">
        <v>11</v>
      </c>
      <c r="D57" t="n">
        <v>2</v>
      </c>
      <c r="E57" t="inlineStr">
        <is>
          <t>Calculation</t>
        </is>
      </c>
      <c r="F57" t="inlineStr">
        <is>
          <t>'=SUM(B9:B10)</t>
        </is>
      </c>
      <c r="G57" t="n">
        <v>986.0714991550949</v>
      </c>
      <c r="H57" t="inlineStr"/>
      <c r="I57" t="inlineStr">
        <is>
          <t>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inlineStr">
        <is>
          <t>G000171</t>
        </is>
      </c>
      <c r="T57" t="inlineStr">
        <is>
          <t>Horizontal</t>
        </is>
      </c>
      <c r="U57" t="n">
        <v>5</v>
      </c>
      <c r="V57" t="b">
        <v>1</v>
      </c>
      <c r="W57" t="inlineStr">
        <is>
          <t>DCF!B11:F11</t>
        </is>
      </c>
      <c r="X57">
        <f>SUM(R[-2]C[0]:R[-1]C[0])</f>
        <v/>
      </c>
    </row>
    <row r="58">
      <c r="A58" t="inlineStr">
        <is>
          <t>DCF</t>
        </is>
      </c>
      <c r="B58" t="inlineStr">
        <is>
          <t>C11</t>
        </is>
      </c>
      <c r="C58" t="n">
        <v>11</v>
      </c>
      <c r="D58" t="n">
        <v>3</v>
      </c>
      <c r="E58" t="inlineStr">
        <is>
          <t>Calculation</t>
        </is>
      </c>
      <c r="F58" t="inlineStr">
        <is>
          <t>'=SUM(C9:C10)</t>
        </is>
      </c>
      <c r="G58" t="n">
        <v>1169.89601957583</v>
      </c>
      <c r="H58" t="inlineStr"/>
      <c r="I58" t="inlineStr">
        <is>
          <t>0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inlineStr">
        <is>
          <t>G000171</t>
        </is>
      </c>
      <c r="T58" t="inlineStr">
        <is>
          <t>Horizontal</t>
        </is>
      </c>
      <c r="U58" t="n">
        <v>5</v>
      </c>
      <c r="V58" t="b">
        <v>1</v>
      </c>
      <c r="W58" t="inlineStr">
        <is>
          <t>DCF!B11:F11</t>
        </is>
      </c>
      <c r="X58">
        <f>SUM(R[-2]C[0]:R[-1]C[0])</f>
        <v/>
      </c>
    </row>
    <row r="59">
      <c r="A59" t="inlineStr">
        <is>
          <t>DCF</t>
        </is>
      </c>
      <c r="B59" t="inlineStr">
        <is>
          <t>D11</t>
        </is>
      </c>
      <c r="C59" t="n">
        <v>11</v>
      </c>
      <c r="D59" t="n">
        <v>4</v>
      </c>
      <c r="E59" t="inlineStr">
        <is>
          <t>Calculation</t>
        </is>
      </c>
      <c r="F59" t="inlineStr">
        <is>
          <t>'=SUM(D9:D10)</t>
        </is>
      </c>
      <c r="G59" t="n">
        <v>1182.815637609299</v>
      </c>
      <c r="H59" t="inlineStr"/>
      <c r="I59" t="inlineStr">
        <is>
          <t>0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inlineStr">
        <is>
          <t>G000171</t>
        </is>
      </c>
      <c r="T59" t="inlineStr">
        <is>
          <t>Horizontal</t>
        </is>
      </c>
      <c r="U59" t="n">
        <v>5</v>
      </c>
      <c r="V59" t="b">
        <v>1</v>
      </c>
      <c r="W59" t="inlineStr">
        <is>
          <t>DCF!B11:F11</t>
        </is>
      </c>
      <c r="X59">
        <f>SUM(R[-2]C[0]:R[-1]C[0])</f>
        <v/>
      </c>
    </row>
    <row r="60">
      <c r="A60" t="inlineStr">
        <is>
          <t>DCF</t>
        </is>
      </c>
      <c r="B60" t="inlineStr">
        <is>
          <t>E11</t>
        </is>
      </c>
      <c r="C60" t="n">
        <v>11</v>
      </c>
      <c r="D60" t="n">
        <v>5</v>
      </c>
      <c r="E60" t="inlineStr">
        <is>
          <t>Calculation</t>
        </is>
      </c>
      <c r="F60" t="inlineStr">
        <is>
          <t>'=SUM(E9:E10)</t>
        </is>
      </c>
      <c r="G60" t="n">
        <v>1192.985075692846</v>
      </c>
      <c r="H60" t="inlineStr"/>
      <c r="I60" t="inlineStr">
        <is>
          <t>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inlineStr">
        <is>
          <t>G000171</t>
        </is>
      </c>
      <c r="T60" t="inlineStr">
        <is>
          <t>Horizontal</t>
        </is>
      </c>
      <c r="U60" t="n">
        <v>5</v>
      </c>
      <c r="V60" t="b">
        <v>1</v>
      </c>
      <c r="W60" t="inlineStr">
        <is>
          <t>DCF!B11:F11</t>
        </is>
      </c>
      <c r="X60">
        <f>SUM(R[-2]C[0]:R[-1]C[0])</f>
        <v/>
      </c>
    </row>
    <row r="61">
      <c r="A61" t="inlineStr">
        <is>
          <t>DCF</t>
        </is>
      </c>
      <c r="B61" t="inlineStr">
        <is>
          <t>F11</t>
        </is>
      </c>
      <c r="C61" t="n">
        <v>11</v>
      </c>
      <c r="D61" t="n">
        <v>6</v>
      </c>
      <c r="E61" t="inlineStr">
        <is>
          <t>Calculation</t>
        </is>
      </c>
      <c r="F61" t="inlineStr">
        <is>
          <t>'=SUM(F9:F10)</t>
        </is>
      </c>
      <c r="G61" t="n">
        <v>12352.7084308441</v>
      </c>
      <c r="H61" t="inlineStr"/>
      <c r="I61" t="inlineStr">
        <is>
          <t>0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inlineStr">
        <is>
          <t>G000171</t>
        </is>
      </c>
      <c r="T61" t="inlineStr">
        <is>
          <t>Horizontal</t>
        </is>
      </c>
      <c r="U61" t="n">
        <v>5</v>
      </c>
      <c r="V61" t="b">
        <v>1</v>
      </c>
      <c r="W61" t="inlineStr">
        <is>
          <t>DCF!B11:F11</t>
        </is>
      </c>
      <c r="X61">
        <f>SUM(R[-2]C[0]:R[-1]C[0])</f>
        <v/>
      </c>
    </row>
    <row r="62">
      <c r="A62" t="inlineStr">
        <is>
          <t>DCF</t>
        </is>
      </c>
      <c r="B62" t="inlineStr">
        <is>
          <t>A14</t>
        </is>
      </c>
      <c r="C62" t="n">
        <v>14</v>
      </c>
      <c r="D62" t="n">
        <v>1</v>
      </c>
      <c r="E62" t="inlineStr">
        <is>
          <t>Input</t>
        </is>
      </c>
      <c r="F62" t="n">
        <v/>
      </c>
      <c r="G62" t="inlineStr">
        <is>
          <t>Cost of Debt</t>
        </is>
      </c>
      <c r="H62" t="inlineStr"/>
      <c r="I62" t="inlineStr">
        <is>
          <t>General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DCF</t>
        </is>
      </c>
      <c r="B63" t="inlineStr">
        <is>
          <t>B14</t>
        </is>
      </c>
      <c r="C63" t="n">
        <v>14</v>
      </c>
      <c r="D63" t="n">
        <v>2</v>
      </c>
      <c r="E63" t="inlineStr">
        <is>
          <t>Input</t>
        </is>
      </c>
      <c r="F63" t="n">
        <v/>
      </c>
      <c r="G63" t="n">
        <v>0</v>
      </c>
      <c r="H63" t="inlineStr"/>
      <c r="I63" t="inlineStr">
        <is>
          <t>0%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DCF</t>
        </is>
      </c>
      <c r="B64" t="inlineStr">
        <is>
          <t>A15</t>
        </is>
      </c>
      <c r="C64" t="n">
        <v>15</v>
      </c>
      <c r="D64" t="n">
        <v>1</v>
      </c>
      <c r="E64" t="inlineStr">
        <is>
          <t>Input</t>
        </is>
      </c>
      <c r="F64" t="n">
        <v/>
      </c>
      <c r="G64" t="inlineStr">
        <is>
          <t>Cost of Equity</t>
        </is>
      </c>
      <c r="H64" t="inlineStr"/>
      <c r="I64" t="inlineStr">
        <is>
          <t>General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DCF</t>
        </is>
      </c>
      <c r="B65" t="inlineStr">
        <is>
          <t>B15</t>
        </is>
      </c>
      <c r="C65" t="n">
        <v>15</v>
      </c>
      <c r="D65" t="n">
        <v>2</v>
      </c>
      <c r="E65" t="inlineStr">
        <is>
          <t>Calculation</t>
        </is>
      </c>
      <c r="F65" t="inlineStr">
        <is>
          <t>'=B17+B18*(B19-B17)</t>
        </is>
      </c>
      <c r="G65" t="n">
        <v>0.1407998</v>
      </c>
      <c r="H65" t="inlineStr"/>
      <c r="I65" t="inlineStr">
        <is>
          <t>0%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>
        <f>R[2]C[0]+R[3]C[0]*(R[4]C[0]-R[2]C[0])</f>
        <v/>
      </c>
    </row>
    <row r="66">
      <c r="A66" t="inlineStr">
        <is>
          <t>DCF</t>
        </is>
      </c>
      <c r="B66" t="inlineStr">
        <is>
          <t>C15</t>
        </is>
      </c>
      <c r="C66" t="n">
        <v>15</v>
      </c>
      <c r="D66" t="n">
        <v>3</v>
      </c>
      <c r="E66" t="inlineStr">
        <is>
          <t>Input</t>
        </is>
      </c>
      <c r="F66" t="n">
        <v/>
      </c>
      <c r="G66" t="inlineStr">
        <is>
          <t>CAPM=</t>
        </is>
      </c>
      <c r="H66" t="inlineStr"/>
      <c r="I66" t="inlineStr">
        <is>
          <t>General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DCF</t>
        </is>
      </c>
      <c r="B67" t="inlineStr">
        <is>
          <t>D15</t>
        </is>
      </c>
      <c r="C67" t="n">
        <v>15</v>
      </c>
      <c r="D67" t="n">
        <v>4</v>
      </c>
      <c r="E67" t="inlineStr">
        <is>
          <t>Input</t>
        </is>
      </c>
      <c r="F67" t="n">
        <v/>
      </c>
      <c r="G67" t="inlineStr">
        <is>
          <t>Rf+B(Rm-Rf)</t>
        </is>
      </c>
      <c r="H67" t="inlineStr"/>
      <c r="I67" t="inlineStr">
        <is>
          <t>General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DCF</t>
        </is>
      </c>
      <c r="B68" t="inlineStr">
        <is>
          <t>A17</t>
        </is>
      </c>
      <c r="C68" t="n">
        <v>17</v>
      </c>
      <c r="D68" t="n">
        <v>1</v>
      </c>
      <c r="E68" t="inlineStr">
        <is>
          <t>Input</t>
        </is>
      </c>
      <c r="F68" t="n">
        <v/>
      </c>
      <c r="G68" t="inlineStr">
        <is>
          <t>Rf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DCF</t>
        </is>
      </c>
      <c r="B69" t="inlineStr">
        <is>
          <t>B17</t>
        </is>
      </c>
      <c r="C69" t="n">
        <v>17</v>
      </c>
      <c r="D69" t="n">
        <v>2</v>
      </c>
      <c r="E69" t="inlineStr">
        <is>
          <t>Input</t>
        </is>
      </c>
      <c r="F69" t="n">
        <v/>
      </c>
      <c r="G69" t="n">
        <v>0.078</v>
      </c>
      <c r="H69" t="inlineStr"/>
      <c r="I69" t="inlineStr">
        <is>
          <t>0.00%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DCF</t>
        </is>
      </c>
      <c r="B70" t="inlineStr">
        <is>
          <t>C17</t>
        </is>
      </c>
      <c r="C70" t="n">
        <v>17</v>
      </c>
      <c r="D70" t="n">
        <v>3</v>
      </c>
      <c r="E70" t="inlineStr">
        <is>
          <t>Input</t>
        </is>
      </c>
      <c r="F70" t="n">
        <v/>
      </c>
      <c r="G70" t="inlineStr">
        <is>
          <t>10 year govt bond</t>
        </is>
      </c>
      <c r="H70" t="inlineStr"/>
      <c r="I70" t="inlineStr">
        <is>
          <t>General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DCF</t>
        </is>
      </c>
      <c r="B71" t="inlineStr">
        <is>
          <t>A18</t>
        </is>
      </c>
      <c r="C71" t="n">
        <v>18</v>
      </c>
      <c r="D71" t="n">
        <v>1</v>
      </c>
      <c r="E71" t="inlineStr">
        <is>
          <t>Input</t>
        </is>
      </c>
      <c r="F71" t="n">
        <v/>
      </c>
      <c r="G71" t="inlineStr">
        <is>
          <t>B</t>
        </is>
      </c>
      <c r="H71" t="inlineStr"/>
      <c r="I71" t="inlineStr">
        <is>
          <t>General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DCF</t>
        </is>
      </c>
      <c r="B72" t="inlineStr">
        <is>
          <t>B18</t>
        </is>
      </c>
      <c r="C72" t="n">
        <v>18</v>
      </c>
      <c r="D72" t="n">
        <v>2</v>
      </c>
      <c r="E72" t="inlineStr">
        <is>
          <t>Input</t>
        </is>
      </c>
      <c r="F72" t="n">
        <v/>
      </c>
      <c r="G72" t="n">
        <v>1.0129</v>
      </c>
      <c r="H72" t="inlineStr"/>
      <c r="I72" t="inlineStr">
        <is>
          <t>General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DCF</t>
        </is>
      </c>
      <c r="B73" t="inlineStr">
        <is>
          <t>C18</t>
        </is>
      </c>
      <c r="C73" t="n">
        <v>18</v>
      </c>
      <c r="D73" t="n">
        <v>3</v>
      </c>
      <c r="E73" t="inlineStr">
        <is>
          <t>Input</t>
        </is>
      </c>
      <c r="F73" t="n">
        <v/>
      </c>
      <c r="G73" t="inlineStr">
        <is>
          <t>B=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DCF</t>
        </is>
      </c>
      <c r="B74" t="inlineStr">
        <is>
          <t>D18</t>
        </is>
      </c>
      <c r="C74" t="n">
        <v>18</v>
      </c>
      <c r="D74" t="n">
        <v>4</v>
      </c>
      <c r="E74" t="inlineStr">
        <is>
          <t>Input</t>
        </is>
      </c>
      <c r="F74" t="n">
        <v/>
      </c>
      <c r="G74" t="inlineStr">
        <is>
          <t>Covar(Rm,Re)/Var Rm</t>
        </is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DCF</t>
        </is>
      </c>
      <c r="B75" t="inlineStr">
        <is>
          <t>A19</t>
        </is>
      </c>
      <c r="C75" t="n">
        <v>19</v>
      </c>
      <c r="D75" t="n">
        <v>1</v>
      </c>
      <c r="E75" t="inlineStr">
        <is>
          <t>Input</t>
        </is>
      </c>
      <c r="F75" t="n">
        <v/>
      </c>
      <c r="G75" t="inlineStr">
        <is>
          <t>Rm</t>
        </is>
      </c>
      <c r="H75" t="inlineStr"/>
      <c r="I75" t="inlineStr">
        <is>
          <t>General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DCF</t>
        </is>
      </c>
      <c r="B76" t="inlineStr">
        <is>
          <t>B19</t>
        </is>
      </c>
      <c r="C76" t="n">
        <v>19</v>
      </c>
      <c r="D76" t="n">
        <v>2</v>
      </c>
      <c r="E76" t="inlineStr">
        <is>
          <t>Input</t>
        </is>
      </c>
      <c r="F76" t="n">
        <v/>
      </c>
      <c r="G76" t="n">
        <v>0.14</v>
      </c>
      <c r="H76" t="inlineStr"/>
      <c r="I76" t="inlineStr">
        <is>
          <t>0%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DCF</t>
        </is>
      </c>
      <c r="B77" t="inlineStr">
        <is>
          <t>C19</t>
        </is>
      </c>
      <c r="C77" t="n">
        <v>19</v>
      </c>
      <c r="D77" t="n">
        <v>3</v>
      </c>
      <c r="E77" t="inlineStr">
        <is>
          <t>Input</t>
        </is>
      </c>
      <c r="F77" t="n">
        <v/>
      </c>
      <c r="G77" t="inlineStr">
        <is>
          <t>CAGR of market return of 8 years</t>
        </is>
      </c>
      <c r="H77" t="inlineStr"/>
      <c r="I77" t="inlineStr">
        <is>
          <t>General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DCF</t>
        </is>
      </c>
      <c r="B78" t="inlineStr">
        <is>
          <t>A21</t>
        </is>
      </c>
      <c r="C78" t="n">
        <v>21</v>
      </c>
      <c r="D78" t="n">
        <v>1</v>
      </c>
      <c r="E78" t="inlineStr">
        <is>
          <t>Input</t>
        </is>
      </c>
      <c r="F78" t="n">
        <v/>
      </c>
      <c r="G78" t="inlineStr">
        <is>
          <t>Debt</t>
        </is>
      </c>
      <c r="H78" t="inlineStr"/>
      <c r="I78" t="inlineStr">
        <is>
          <t>General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DCF</t>
        </is>
      </c>
      <c r="B79" t="inlineStr">
        <is>
          <t>B21</t>
        </is>
      </c>
      <c r="C79" t="n">
        <v>21</v>
      </c>
      <c r="D79" t="n">
        <v>2</v>
      </c>
      <c r="E79" t="inlineStr">
        <is>
          <t>Input</t>
        </is>
      </c>
      <c r="F79" t="n">
        <v/>
      </c>
      <c r="G79" t="n">
        <v>0</v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DCF</t>
        </is>
      </c>
      <c r="B80" t="inlineStr">
        <is>
          <t>D21</t>
        </is>
      </c>
      <c r="C80" t="n">
        <v>21</v>
      </c>
      <c r="D80" t="n">
        <v>4</v>
      </c>
      <c r="E80" t="inlineStr">
        <is>
          <t>Input</t>
        </is>
      </c>
      <c r="F80" t="n">
        <v/>
      </c>
      <c r="G80" t="inlineStr">
        <is>
          <t>Wd</t>
        </is>
      </c>
      <c r="H80" t="inlineStr"/>
      <c r="I80" t="inlineStr">
        <is>
          <t>General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DCF</t>
        </is>
      </c>
      <c r="B81" t="inlineStr">
        <is>
          <t>E21</t>
        </is>
      </c>
      <c r="C81" t="n">
        <v>21</v>
      </c>
      <c r="D81" t="n">
        <v>5</v>
      </c>
      <c r="E81" t="inlineStr">
        <is>
          <t>Calculation</t>
        </is>
      </c>
      <c r="F81" t="inlineStr">
        <is>
          <t>'=B21/(B21+B22)</t>
        </is>
      </c>
      <c r="G81" t="n">
        <v>0</v>
      </c>
      <c r="H81" t="inlineStr"/>
      <c r="I81" t="inlineStr">
        <is>
          <t>_-* #,##0_-;\-* #,##0_-;_-* "-"??_-;_-@_-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P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>
        <f>R[0]C[-3]/(R[0]C[-3]+R[1]C[-3])</f>
        <v/>
      </c>
    </row>
    <row r="82">
      <c r="A82" t="inlineStr">
        <is>
          <t>DCF</t>
        </is>
      </c>
      <c r="B82" t="inlineStr">
        <is>
          <t>G21</t>
        </is>
      </c>
      <c r="C82" t="n">
        <v>21</v>
      </c>
      <c r="D82" t="n">
        <v>7</v>
      </c>
      <c r="E82" t="inlineStr">
        <is>
          <t>Input</t>
        </is>
      </c>
      <c r="F82" t="n">
        <v/>
      </c>
      <c r="G82" t="inlineStr">
        <is>
          <t>WACC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DCF</t>
        </is>
      </c>
      <c r="B83" t="inlineStr">
        <is>
          <t>H21</t>
        </is>
      </c>
      <c r="C83" t="n">
        <v>21</v>
      </c>
      <c r="D83" t="n">
        <v>8</v>
      </c>
      <c r="E83" t="inlineStr">
        <is>
          <t>Calculation</t>
        </is>
      </c>
      <c r="F83" t="inlineStr">
        <is>
          <t>'=B15*E22+B14*E21*(1-'Financial Statements'!D16)</t>
        </is>
      </c>
      <c r="G83" t="n">
        <v>0.1407998</v>
      </c>
      <c r="H83" t="inlineStr"/>
      <c r="I83" t="inlineStr">
        <is>
          <t>0%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>
        <f>R[-6]C[-6]*R[1]C[-3]+R[-7]C[-6]*R[0]C[-3]*(1-'Financial Statements'!R[-5]C[-4])</f>
        <v/>
      </c>
    </row>
    <row r="84">
      <c r="A84" t="inlineStr">
        <is>
          <t>DCF</t>
        </is>
      </c>
      <c r="B84" t="inlineStr">
        <is>
          <t>A22</t>
        </is>
      </c>
      <c r="C84" t="n">
        <v>22</v>
      </c>
      <c r="D84" t="n">
        <v>1</v>
      </c>
      <c r="E84" t="inlineStr">
        <is>
          <t>Input</t>
        </is>
      </c>
      <c r="F84" t="n">
        <v/>
      </c>
      <c r="G84" t="inlineStr">
        <is>
          <t>Equity</t>
        </is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DCF</t>
        </is>
      </c>
      <c r="B85" t="inlineStr">
        <is>
          <t>B22</t>
        </is>
      </c>
      <c r="C85" t="n">
        <v>22</v>
      </c>
      <c r="D85" t="n">
        <v>2</v>
      </c>
      <c r="E85" t="inlineStr">
        <is>
          <t>Calculation</t>
        </is>
      </c>
      <c r="F85" t="inlineStr">
        <is>
          <t>'=B24*B25</t>
        </is>
      </c>
      <c r="G85" t="n">
        <v>27310.415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>
        <f>R[2]C[0]*R[3]C[0]</f>
        <v/>
      </c>
    </row>
    <row r="86">
      <c r="A86" t="inlineStr">
        <is>
          <t>DCF</t>
        </is>
      </c>
      <c r="B86" t="inlineStr">
        <is>
          <t>D22</t>
        </is>
      </c>
      <c r="C86" t="n">
        <v>22</v>
      </c>
      <c r="D86" t="n">
        <v>4</v>
      </c>
      <c r="E86" t="inlineStr">
        <is>
          <t>Input</t>
        </is>
      </c>
      <c r="F86" t="n">
        <v/>
      </c>
      <c r="G86" t="inlineStr">
        <is>
          <t>We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DCF</t>
        </is>
      </c>
      <c r="B87" t="inlineStr">
        <is>
          <t>E22</t>
        </is>
      </c>
      <c r="C87" t="n">
        <v>22</v>
      </c>
      <c r="D87" t="n">
        <v>5</v>
      </c>
      <c r="E87" t="inlineStr">
        <is>
          <t>Calculation</t>
        </is>
      </c>
      <c r="F87" t="inlineStr">
        <is>
          <t>'=B22/(B21+B22)</t>
        </is>
      </c>
      <c r="G87" t="n">
        <v>1</v>
      </c>
      <c r="H87" t="inlineStr"/>
      <c r="I87" t="inlineStr">
        <is>
          <t>0%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>
        <f>R[0]C[-3]/(R[-1]C[-3]+R[0]C[-3])</f>
        <v/>
      </c>
    </row>
    <row r="88">
      <c r="A88" t="inlineStr">
        <is>
          <t>DCF</t>
        </is>
      </c>
      <c r="B88" t="inlineStr">
        <is>
          <t>G23</t>
        </is>
      </c>
      <c r="C88" t="n">
        <v>23</v>
      </c>
      <c r="D88" t="n">
        <v>7</v>
      </c>
      <c r="E88" t="inlineStr">
        <is>
          <t>Input</t>
        </is>
      </c>
      <c r="F88" t="n">
        <v/>
      </c>
      <c r="G88" t="inlineStr">
        <is>
          <t>EV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DCF</t>
        </is>
      </c>
      <c r="B89" t="inlineStr">
        <is>
          <t>H23</t>
        </is>
      </c>
      <c r="C89" t="n">
        <v>23</v>
      </c>
      <c r="D89" t="n">
        <v>8</v>
      </c>
      <c r="E89" t="inlineStr">
        <is>
          <t>Calculation</t>
        </is>
      </c>
      <c r="F89" t="inlineStr">
        <is>
          <t>'=NPV(H21,B11:F11)</t>
        </is>
      </c>
      <c r="G89" t="n">
        <v>9657.508522725955</v>
      </c>
      <c r="H89" t="inlineStr"/>
      <c r="I89" t="inlineStr">
        <is>
          <t>"£"#,##0;[Red]\-"£"#,##0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>
        <f>NPV(R[-2]C[0],R[-12]C[-6]:R[-12]C[-2])</f>
        <v/>
      </c>
    </row>
    <row r="90">
      <c r="A90" t="inlineStr">
        <is>
          <t>DCF</t>
        </is>
      </c>
      <c r="B90" t="inlineStr">
        <is>
          <t>I23</t>
        </is>
      </c>
      <c r="C90" t="n">
        <v>23</v>
      </c>
      <c r="D90" t="n">
        <v>9</v>
      </c>
      <c r="E90" t="inlineStr">
        <is>
          <t>Input</t>
        </is>
      </c>
      <c r="F90" t="n">
        <v/>
      </c>
      <c r="G90" t="inlineStr">
        <is>
          <t>Eq+debt-cash</t>
        </is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DCF</t>
        </is>
      </c>
      <c r="B91" t="inlineStr">
        <is>
          <t>A24</t>
        </is>
      </c>
      <c r="C91" t="n">
        <v>24</v>
      </c>
      <c r="D91" t="n">
        <v>1</v>
      </c>
      <c r="E91" t="inlineStr">
        <is>
          <t>Input</t>
        </is>
      </c>
      <c r="F91" t="n">
        <v/>
      </c>
      <c r="G91" t="inlineStr">
        <is>
          <t>CMP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DCF</t>
        </is>
      </c>
      <c r="B92" t="inlineStr">
        <is>
          <t>B24</t>
        </is>
      </c>
      <c r="C92" t="n">
        <v>24</v>
      </c>
      <c r="D92" t="n">
        <v>2</v>
      </c>
      <c r="E92" t="inlineStr">
        <is>
          <t>Input</t>
        </is>
      </c>
      <c r="F92" t="n">
        <v/>
      </c>
      <c r="G92" t="n">
        <v>1460.45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DCF</t>
        </is>
      </c>
      <c r="B93" t="inlineStr">
        <is>
          <t>G24</t>
        </is>
      </c>
      <c r="C93" t="n">
        <v>24</v>
      </c>
      <c r="D93" t="n">
        <v>7</v>
      </c>
      <c r="E93" t="inlineStr">
        <is>
          <t>Input</t>
        </is>
      </c>
      <c r="F93" t="n">
        <v/>
      </c>
      <c r="G93" t="inlineStr">
        <is>
          <t>Cash</t>
        </is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DCF</t>
        </is>
      </c>
      <c r="B94" t="inlineStr">
        <is>
          <t>H24</t>
        </is>
      </c>
      <c r="C94" t="n">
        <v>24</v>
      </c>
      <c r="D94" t="n">
        <v>8</v>
      </c>
      <c r="E94" t="inlineStr">
        <is>
          <t>Calculation</t>
        </is>
      </c>
      <c r="F94" t="inlineStr">
        <is>
          <t>'='Balance Sheet'!D22</t>
        </is>
      </c>
      <c r="G94" t="n">
        <v>2559.66</v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P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>
        <f>'Balance Sheet'!R[-2]C[-4]</f>
        <v/>
      </c>
    </row>
    <row r="95">
      <c r="A95" t="inlineStr">
        <is>
          <t>DCF</t>
        </is>
      </c>
      <c r="B95" t="inlineStr">
        <is>
          <t>A25</t>
        </is>
      </c>
      <c r="C95" t="n">
        <v>25</v>
      </c>
      <c r="D95" t="n">
        <v>1</v>
      </c>
      <c r="E95" t="inlineStr">
        <is>
          <t>Input</t>
        </is>
      </c>
      <c r="F95" t="n">
        <v/>
      </c>
      <c r="G95" t="inlineStr">
        <is>
          <t>Shares outstanding</t>
        </is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DCF</t>
        </is>
      </c>
      <c r="B96" t="inlineStr">
        <is>
          <t>B25</t>
        </is>
      </c>
      <c r="C96" t="n">
        <v>25</v>
      </c>
      <c r="D96" t="n">
        <v>2</v>
      </c>
      <c r="E96" t="inlineStr">
        <is>
          <t>Input</t>
        </is>
      </c>
      <c r="F96" t="n">
        <v/>
      </c>
      <c r="G96" t="n">
        <v>18.7</v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DCF</t>
        </is>
      </c>
      <c r="B97" t="inlineStr">
        <is>
          <t>G25</t>
        </is>
      </c>
      <c r="C97" t="n">
        <v>25</v>
      </c>
      <c r="D97" t="n">
        <v>7</v>
      </c>
      <c r="E97" t="inlineStr">
        <is>
          <t>Input</t>
        </is>
      </c>
      <c r="F97" t="n">
        <v/>
      </c>
      <c r="G97" t="inlineStr">
        <is>
          <t>Eq</t>
        </is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DCF</t>
        </is>
      </c>
      <c r="B98" t="inlineStr">
        <is>
          <t>H25</t>
        </is>
      </c>
      <c r="C98" t="n">
        <v>25</v>
      </c>
      <c r="D98" t="n">
        <v>8</v>
      </c>
      <c r="E98" t="inlineStr">
        <is>
          <t>Calculation</t>
        </is>
      </c>
      <c r="F98" t="inlineStr">
        <is>
          <t>'=H23+H24</t>
        </is>
      </c>
      <c r="G98" t="n">
        <v>12217.16852272595</v>
      </c>
      <c r="H98" t="inlineStr"/>
      <c r="I98" t="inlineStr">
        <is>
          <t>0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>
        <f>R[-2]C[0]+R[-1]C[0]</f>
        <v/>
      </c>
    </row>
    <row r="99">
      <c r="A99" t="inlineStr">
        <is>
          <t>DCF</t>
        </is>
      </c>
      <c r="B99" t="inlineStr">
        <is>
          <t>A27</t>
        </is>
      </c>
      <c r="C99" t="n">
        <v>27</v>
      </c>
      <c r="D99" t="n">
        <v>1</v>
      </c>
      <c r="E99" t="inlineStr">
        <is>
          <t>Input</t>
        </is>
      </c>
      <c r="F99" t="n">
        <v/>
      </c>
      <c r="G99" t="inlineStr">
        <is>
          <t>G (India's long term GDP growth)</t>
        </is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DCF</t>
        </is>
      </c>
      <c r="B100" t="inlineStr">
        <is>
          <t>B27</t>
        </is>
      </c>
      <c r="C100" t="n">
        <v>27</v>
      </c>
      <c r="D100" t="n">
        <v>2</v>
      </c>
      <c r="E100" t="inlineStr">
        <is>
          <t>Input</t>
        </is>
      </c>
      <c r="F100" t="n">
        <v/>
      </c>
      <c r="G100" t="n">
        <v>0.03</v>
      </c>
      <c r="H100" t="inlineStr"/>
      <c r="I100" t="inlineStr">
        <is>
          <t>0%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DCF</t>
        </is>
      </c>
      <c r="B101" t="inlineStr">
        <is>
          <t>G27</t>
        </is>
      </c>
      <c r="C101" t="n">
        <v>27</v>
      </c>
      <c r="D101" t="n">
        <v>7</v>
      </c>
      <c r="E101" t="inlineStr">
        <is>
          <t>Input</t>
        </is>
      </c>
      <c r="F101" t="n">
        <v/>
      </c>
      <c r="G101" t="inlineStr">
        <is>
          <t>Intrinsic value</t>
        </is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DCF</t>
        </is>
      </c>
      <c r="B102" t="inlineStr">
        <is>
          <t>H27</t>
        </is>
      </c>
      <c r="C102" t="n">
        <v>27</v>
      </c>
      <c r="D102" t="n">
        <v>8</v>
      </c>
      <c r="E102" t="inlineStr">
        <is>
          <t>Calculation</t>
        </is>
      </c>
      <c r="F102" t="inlineStr">
        <is>
          <t>'=H25/B25</t>
        </is>
      </c>
      <c r="G102" t="n">
        <v>653.3245199318693</v>
      </c>
      <c r="H102" t="inlineStr"/>
      <c r="I102" t="inlineStr">
        <is>
          <t>0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>
        <f>R[-2]C[0]/R[-2]C[-6]</f>
        <v/>
      </c>
    </row>
    <row r="103">
      <c r="A103" t="inlineStr">
        <is>
          <t>DCF</t>
        </is>
      </c>
      <c r="B103" t="inlineStr">
        <is>
          <t>B29</t>
        </is>
      </c>
      <c r="C103" t="n">
        <v>29</v>
      </c>
      <c r="D103" t="n">
        <v>2</v>
      </c>
      <c r="E103" t="inlineStr">
        <is>
          <t>Input</t>
        </is>
      </c>
      <c r="F103" t="n">
        <v/>
      </c>
      <c r="H103" t="inlineStr"/>
      <c r="I103" t="inlineStr">
        <is>
          <t>_-* #,##0.00_-;\-* #,##0.00_-;_-*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P103" t="n">
        <v/>
      </c>
      <c r="R103" t="b">
        <v>0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DCF</t>
        </is>
      </c>
      <c r="B104" t="inlineStr">
        <is>
          <t>B32</t>
        </is>
      </c>
      <c r="C104" t="n">
        <v>32</v>
      </c>
      <c r="D104" t="n">
        <v>2</v>
      </c>
      <c r="E104" t="inlineStr">
        <is>
          <t>Input</t>
        </is>
      </c>
      <c r="F104" t="n">
        <v/>
      </c>
      <c r="G104" t="inlineStr">
        <is>
          <t>2018 F</t>
        </is>
      </c>
      <c r="H104" t="inlineStr"/>
      <c r="I104" t="inlineStr">
        <is>
          <t>General</t>
        </is>
      </c>
      <c r="J104" t="b">
        <v>1</v>
      </c>
      <c r="K104" t="b">
        <v>0</v>
      </c>
      <c r="L104" t="n">
        <v>11</v>
      </c>
      <c r="M104" t="inlineStr">
        <is>
          <t>Values must be of type &lt;class 'str'&gt;</t>
        </is>
      </c>
      <c r="N104" t="inlineStr">
        <is>
          <t>Values must be of type &lt;class 'str'&gt;</t>
        </is>
      </c>
      <c r="O104" t="inlineStr">
        <is>
          <t>center</t>
        </is>
      </c>
      <c r="P104" t="inlineStr">
        <is>
          <t>center</t>
        </is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DCF</t>
        </is>
      </c>
      <c r="B105" t="inlineStr">
        <is>
          <t>C32</t>
        </is>
      </c>
      <c r="C105" t="n">
        <v>32</v>
      </c>
      <c r="D105" t="n">
        <v>3</v>
      </c>
      <c r="E105" t="inlineStr">
        <is>
          <t>Input</t>
        </is>
      </c>
      <c r="F105" t="n">
        <v/>
      </c>
      <c r="H105" t="inlineStr"/>
      <c r="I105" t="inlineStr">
        <is>
          <t>General</t>
        </is>
      </c>
      <c r="J105" t="b">
        <v>1</v>
      </c>
      <c r="K105" t="b">
        <v>0</v>
      </c>
      <c r="L105" t="n">
        <v>11</v>
      </c>
      <c r="M105" t="inlineStr">
        <is>
          <t>Values must be of type &lt;class 'str'&gt;</t>
        </is>
      </c>
      <c r="N105" t="inlineStr">
        <is>
          <t>Values must be of type &lt;class 'str'&gt;</t>
        </is>
      </c>
      <c r="O105" t="inlineStr">
        <is>
          <t>center</t>
        </is>
      </c>
      <c r="P105" t="inlineStr">
        <is>
          <t>center</t>
        </is>
      </c>
      <c r="R105" t="b">
        <v>0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DCF</t>
        </is>
      </c>
      <c r="B106" t="inlineStr">
        <is>
          <t>D32</t>
        </is>
      </c>
      <c r="C106" t="n">
        <v>32</v>
      </c>
      <c r="D106" t="n">
        <v>4</v>
      </c>
      <c r="E106" t="inlineStr">
        <is>
          <t>Input</t>
        </is>
      </c>
      <c r="F106" t="n">
        <v/>
      </c>
      <c r="H106" t="inlineStr"/>
      <c r="I106" t="inlineStr">
        <is>
          <t>General</t>
        </is>
      </c>
      <c r="J106" t="b">
        <v>1</v>
      </c>
      <c r="K106" t="b">
        <v>0</v>
      </c>
      <c r="L106" t="n">
        <v>11</v>
      </c>
      <c r="M106" t="inlineStr">
        <is>
          <t>Values must be of type &lt;class 'str'&gt;</t>
        </is>
      </c>
      <c r="N106" t="inlineStr">
        <is>
          <t>Values must be of type &lt;class 'str'&gt;</t>
        </is>
      </c>
      <c r="O106" t="inlineStr">
        <is>
          <t>center</t>
        </is>
      </c>
      <c r="P106" t="inlineStr">
        <is>
          <t>center</t>
        </is>
      </c>
      <c r="R106" t="b">
        <v>0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DCF</t>
        </is>
      </c>
      <c r="B107" t="inlineStr">
        <is>
          <t>E32</t>
        </is>
      </c>
      <c r="C107" t="n">
        <v>32</v>
      </c>
      <c r="D107" t="n">
        <v>5</v>
      </c>
      <c r="E107" t="inlineStr">
        <is>
          <t>Input</t>
        </is>
      </c>
      <c r="F107" t="n">
        <v/>
      </c>
      <c r="H107" t="inlineStr"/>
      <c r="I107" t="inlineStr">
        <is>
          <t>General</t>
        </is>
      </c>
      <c r="J107" t="b">
        <v>1</v>
      </c>
      <c r="K107" t="b">
        <v>0</v>
      </c>
      <c r="L107" t="n">
        <v>11</v>
      </c>
      <c r="M107" t="inlineStr">
        <is>
          <t>Values must be of type &lt;class 'str'&gt;</t>
        </is>
      </c>
      <c r="N107" t="inlineStr">
        <is>
          <t>Values must be of type &lt;class 'str'&gt;</t>
        </is>
      </c>
      <c r="O107" t="inlineStr">
        <is>
          <t>center</t>
        </is>
      </c>
      <c r="P107" t="inlineStr">
        <is>
          <t>center</t>
        </is>
      </c>
      <c r="R107" t="b">
        <v>0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DCF</t>
        </is>
      </c>
      <c r="B108" t="inlineStr">
        <is>
          <t>F32</t>
        </is>
      </c>
      <c r="C108" t="n">
        <v>32</v>
      </c>
      <c r="D108" t="n">
        <v>6</v>
      </c>
      <c r="E108" t="inlineStr">
        <is>
          <t>Input</t>
        </is>
      </c>
      <c r="F108" t="n">
        <v/>
      </c>
      <c r="H108" t="inlineStr"/>
      <c r="I108" t="inlineStr">
        <is>
          <t>General</t>
        </is>
      </c>
      <c r="J108" t="b">
        <v>1</v>
      </c>
      <c r="K108" t="b">
        <v>0</v>
      </c>
      <c r="L108" t="n">
        <v>11</v>
      </c>
      <c r="M108" t="inlineStr">
        <is>
          <t>Values must be of type &lt;class 'str'&gt;</t>
        </is>
      </c>
      <c r="N108" t="inlineStr">
        <is>
          <t>Values must be of type &lt;class 'str'&gt;</t>
        </is>
      </c>
      <c r="O108" t="inlineStr">
        <is>
          <t>center</t>
        </is>
      </c>
      <c r="P108" t="inlineStr">
        <is>
          <t>center</t>
        </is>
      </c>
      <c r="R108" t="b">
        <v>0</v>
      </c>
      <c r="S108" t="n">
        <v/>
      </c>
      <c r="T108" t="n">
        <v/>
      </c>
      <c r="U108" t="n">
        <v/>
      </c>
      <c r="V108" t="b">
        <v>0</v>
      </c>
      <c r="W108" t="inlineStr"/>
      <c r="X108" t="n">
        <v/>
      </c>
    </row>
    <row r="109">
      <c r="A109" t="inlineStr">
        <is>
          <t>DCF</t>
        </is>
      </c>
      <c r="B109" t="inlineStr">
        <is>
          <t>I32</t>
        </is>
      </c>
      <c r="C109" t="n">
        <v>32</v>
      </c>
      <c r="D109" t="n">
        <v>9</v>
      </c>
      <c r="E109" t="inlineStr">
        <is>
          <t>Output</t>
        </is>
      </c>
      <c r="F109" t="inlineStr">
        <is>
          <t>'=H27</t>
        </is>
      </c>
      <c r="G109" t="n">
        <v>653.3245199318693</v>
      </c>
      <c r="H109" t="inlineStr"/>
      <c r="I109" t="inlineStr">
        <is>
          <t>0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n">
        <v/>
      </c>
      <c r="T109" t="n">
        <v/>
      </c>
      <c r="U109" t="n">
        <v/>
      </c>
      <c r="V109" t="b">
        <v>0</v>
      </c>
      <c r="W109" t="inlineStr"/>
      <c r="X109">
        <f>R[-5]C[-1]</f>
        <v/>
      </c>
    </row>
    <row r="110">
      <c r="A110" t="inlineStr">
        <is>
          <t>DCF</t>
        </is>
      </c>
      <c r="B110" t="inlineStr">
        <is>
          <t>J32</t>
        </is>
      </c>
      <c r="C110" t="n">
        <v>32</v>
      </c>
      <c r="D110" t="n">
        <v>10</v>
      </c>
      <c r="E110" t="inlineStr">
        <is>
          <t>Input</t>
        </is>
      </c>
      <c r="F110" t="n">
        <v/>
      </c>
      <c r="G110" t="n">
        <v>0.12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n">
        <v/>
      </c>
      <c r="T110" t="n">
        <v/>
      </c>
      <c r="U110" t="n">
        <v/>
      </c>
      <c r="V110" t="b">
        <v>0</v>
      </c>
      <c r="W110" t="inlineStr"/>
      <c r="X110" t="n">
        <v/>
      </c>
    </row>
    <row r="111">
      <c r="A111" t="inlineStr">
        <is>
          <t>DCF</t>
        </is>
      </c>
      <c r="B111" t="inlineStr">
        <is>
          <t>K32</t>
        </is>
      </c>
      <c r="C111" t="n">
        <v>32</v>
      </c>
      <c r="D111" t="n">
        <v>11</v>
      </c>
      <c r="E111" t="inlineStr">
        <is>
          <t>Input</t>
        </is>
      </c>
      <c r="F111" t="n">
        <v/>
      </c>
      <c r="G111" t="n">
        <v>0.13</v>
      </c>
      <c r="H111" t="inlineStr"/>
      <c r="I111" t="inlineStr">
        <is>
          <t>0%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n">
        <v/>
      </c>
      <c r="T111" t="n">
        <v/>
      </c>
      <c r="U111" t="n">
        <v/>
      </c>
      <c r="V111" t="b">
        <v>0</v>
      </c>
      <c r="W111" t="inlineStr"/>
      <c r="X111" t="n">
        <v/>
      </c>
    </row>
    <row r="112">
      <c r="A112" t="inlineStr">
        <is>
          <t>DCF</t>
        </is>
      </c>
      <c r="B112" t="inlineStr">
        <is>
          <t>L32</t>
        </is>
      </c>
      <c r="C112" t="n">
        <v>32</v>
      </c>
      <c r="D112" t="n">
        <v>12</v>
      </c>
      <c r="E112" t="inlineStr">
        <is>
          <t>Input</t>
        </is>
      </c>
      <c r="F112" t="n">
        <v/>
      </c>
      <c r="G112" t="n">
        <v>0.14</v>
      </c>
      <c r="H112" t="inlineStr"/>
      <c r="I112" t="inlineStr">
        <is>
          <t>0%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DCF</t>
        </is>
      </c>
      <c r="B113" t="inlineStr">
        <is>
          <t>M32</t>
        </is>
      </c>
      <c r="C113" t="n">
        <v>32</v>
      </c>
      <c r="D113" t="n">
        <v>13</v>
      </c>
      <c r="E113" t="inlineStr">
        <is>
          <t>Input</t>
        </is>
      </c>
      <c r="F113" t="n">
        <v/>
      </c>
      <c r="G113" t="n">
        <v>0.15</v>
      </c>
      <c r="H113" t="inlineStr"/>
      <c r="I113" t="inlineStr">
        <is>
          <t>0%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n">
        <v/>
      </c>
      <c r="T113" t="n">
        <v/>
      </c>
      <c r="U113" t="n">
        <v/>
      </c>
      <c r="V113" t="b">
        <v>0</v>
      </c>
      <c r="W113" t="inlineStr"/>
      <c r="X113" t="n">
        <v/>
      </c>
    </row>
    <row r="114">
      <c r="A114" t="inlineStr">
        <is>
          <t>DCF</t>
        </is>
      </c>
      <c r="B114" t="inlineStr">
        <is>
          <t>N32</t>
        </is>
      </c>
      <c r="C114" t="n">
        <v>32</v>
      </c>
      <c r="D114" t="n">
        <v>14</v>
      </c>
      <c r="E114" t="inlineStr">
        <is>
          <t>Input</t>
        </is>
      </c>
      <c r="F114" t="n">
        <v/>
      </c>
      <c r="G114" t="n">
        <v>0.16</v>
      </c>
      <c r="H114" t="inlineStr"/>
      <c r="I114" t="inlineStr">
        <is>
          <t>0%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n">
        <v/>
      </c>
      <c r="T114" t="n">
        <v/>
      </c>
      <c r="U114" t="n">
        <v/>
      </c>
      <c r="V114" t="b">
        <v>0</v>
      </c>
      <c r="W114" t="inlineStr"/>
      <c r="X114" t="n">
        <v/>
      </c>
    </row>
    <row r="115">
      <c r="A115" t="inlineStr">
        <is>
          <t>DCF</t>
        </is>
      </c>
      <c r="B115" t="inlineStr">
        <is>
          <t>O32</t>
        </is>
      </c>
      <c r="C115" t="n">
        <v>32</v>
      </c>
      <c r="D115" t="n">
        <v>15</v>
      </c>
      <c r="E115" t="inlineStr">
        <is>
          <t>Input</t>
        </is>
      </c>
      <c r="F115" t="n">
        <v/>
      </c>
      <c r="G115" t="n">
        <v>0.17</v>
      </c>
      <c r="H115" t="inlineStr"/>
      <c r="I115" t="inlineStr">
        <is>
          <t>0%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n">
        <v/>
      </c>
      <c r="T115" t="n">
        <v/>
      </c>
      <c r="U115" t="n">
        <v/>
      </c>
      <c r="V115" t="b">
        <v>0</v>
      </c>
      <c r="W115" t="inlineStr"/>
      <c r="X115" t="n">
        <v/>
      </c>
    </row>
    <row r="116">
      <c r="A116" t="inlineStr">
        <is>
          <t>DCF</t>
        </is>
      </c>
      <c r="B116" t="inlineStr">
        <is>
          <t>A33</t>
        </is>
      </c>
      <c r="C116" t="n">
        <v>33</v>
      </c>
      <c r="D116" t="n">
        <v>1</v>
      </c>
      <c r="E116" t="inlineStr">
        <is>
          <t>Input</t>
        </is>
      </c>
      <c r="F116" t="n">
        <v/>
      </c>
      <c r="G116" t="inlineStr">
        <is>
          <t>Revenue growth</t>
        </is>
      </c>
      <c r="H116" t="inlineStr"/>
      <c r="I116" t="inlineStr">
        <is>
          <t>General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n">
        <v/>
      </c>
      <c r="T116" t="n">
        <v/>
      </c>
      <c r="U116" t="n">
        <v/>
      </c>
      <c r="V116" t="b">
        <v>0</v>
      </c>
      <c r="W116" t="inlineStr"/>
      <c r="X116" t="n">
        <v/>
      </c>
    </row>
    <row r="117">
      <c r="A117" t="inlineStr">
        <is>
          <t>DCF</t>
        </is>
      </c>
      <c r="B117" t="inlineStr">
        <is>
          <t>B33</t>
        </is>
      </c>
      <c r="C117" t="n">
        <v>33</v>
      </c>
      <c r="D117" t="n">
        <v>2</v>
      </c>
      <c r="E117" t="inlineStr">
        <is>
          <t>Input</t>
        </is>
      </c>
      <c r="F117" t="n">
        <v/>
      </c>
      <c r="G117" t="n">
        <v>0.05</v>
      </c>
      <c r="H117" t="inlineStr"/>
      <c r="I117" t="inlineStr">
        <is>
          <t>0%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n">
        <v/>
      </c>
      <c r="T117" t="n">
        <v/>
      </c>
      <c r="U117" t="n">
        <v/>
      </c>
      <c r="V117" t="b">
        <v>0</v>
      </c>
      <c r="W117" t="inlineStr"/>
      <c r="X117" t="n">
        <v/>
      </c>
    </row>
    <row r="118">
      <c r="A118" t="inlineStr">
        <is>
          <t>DCF</t>
        </is>
      </c>
      <c r="B118" t="inlineStr">
        <is>
          <t>C33</t>
        </is>
      </c>
      <c r="C118" t="n">
        <v>33</v>
      </c>
      <c r="D118" t="n">
        <v>3</v>
      </c>
      <c r="E118" t="inlineStr">
        <is>
          <t>Input</t>
        </is>
      </c>
      <c r="F118" t="n">
        <v/>
      </c>
      <c r="H118" t="inlineStr"/>
      <c r="I118" t="inlineStr">
        <is>
          <t>0%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0</v>
      </c>
      <c r="S118" t="n">
        <v/>
      </c>
      <c r="T118" t="n">
        <v/>
      </c>
      <c r="U118" t="n">
        <v/>
      </c>
      <c r="V118" t="b">
        <v>0</v>
      </c>
      <c r="W118" t="inlineStr"/>
      <c r="X118" t="n">
        <v/>
      </c>
    </row>
    <row r="119">
      <c r="A119" t="inlineStr">
        <is>
          <t>DCF</t>
        </is>
      </c>
      <c r="B119" t="inlineStr">
        <is>
          <t>D33</t>
        </is>
      </c>
      <c r="C119" t="n">
        <v>33</v>
      </c>
      <c r="D119" t="n">
        <v>4</v>
      </c>
      <c r="E119" t="inlineStr">
        <is>
          <t>Input</t>
        </is>
      </c>
      <c r="F119" t="n">
        <v/>
      </c>
      <c r="H119" t="inlineStr"/>
      <c r="I119" t="inlineStr">
        <is>
          <t>0%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0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DCF</t>
        </is>
      </c>
      <c r="B120" t="inlineStr">
        <is>
          <t>E33</t>
        </is>
      </c>
      <c r="C120" t="n">
        <v>33</v>
      </c>
      <c r="D120" t="n">
        <v>5</v>
      </c>
      <c r="E120" t="inlineStr">
        <is>
          <t>Input</t>
        </is>
      </c>
      <c r="F120" t="n">
        <v/>
      </c>
      <c r="H120" t="inlineStr"/>
      <c r="I120" t="inlineStr">
        <is>
          <t>0%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0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DCF</t>
        </is>
      </c>
      <c r="B121" t="inlineStr">
        <is>
          <t>F33</t>
        </is>
      </c>
      <c r="C121" t="n">
        <v>33</v>
      </c>
      <c r="D121" t="n">
        <v>6</v>
      </c>
      <c r="E121" t="inlineStr">
        <is>
          <t>Input</t>
        </is>
      </c>
      <c r="F121" t="n">
        <v/>
      </c>
      <c r="H121" t="inlineStr"/>
      <c r="I121" t="inlineStr">
        <is>
          <t>0%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0</v>
      </c>
      <c r="S121" t="n">
        <v/>
      </c>
      <c r="T121" t="n">
        <v/>
      </c>
      <c r="U121" t="n">
        <v/>
      </c>
      <c r="V121" t="b">
        <v>0</v>
      </c>
      <c r="W121" t="inlineStr"/>
      <c r="X121" t="n">
        <v/>
      </c>
    </row>
    <row r="122">
      <c r="A122" t="inlineStr">
        <is>
          <t>DCF</t>
        </is>
      </c>
      <c r="B122" t="inlineStr">
        <is>
          <t>I33</t>
        </is>
      </c>
      <c r="C122" t="n">
        <v>33</v>
      </c>
      <c r="D122" t="n">
        <v>9</v>
      </c>
      <c r="E122" t="inlineStr">
        <is>
          <t>Input</t>
        </is>
      </c>
      <c r="F122" t="n">
        <v/>
      </c>
      <c r="G122" t="n">
        <v>0.05</v>
      </c>
      <c r="H122" t="inlineStr"/>
      <c r="I122" t="inlineStr">
        <is>
          <t>0%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n">
        <v/>
      </c>
      <c r="T122" t="n">
        <v/>
      </c>
      <c r="U122" t="n">
        <v/>
      </c>
      <c r="V122" t="b">
        <v>0</v>
      </c>
      <c r="W122" t="inlineStr"/>
      <c r="X122" t="n">
        <v/>
      </c>
    </row>
    <row r="123">
      <c r="A123" t="inlineStr">
        <is>
          <t>DCF</t>
        </is>
      </c>
      <c r="B123" t="inlineStr">
        <is>
          <t>J33</t>
        </is>
      </c>
      <c r="C123" t="n">
        <v>33</v>
      </c>
      <c r="D123" t="n">
        <v>10</v>
      </c>
      <c r="E123" t="inlineStr">
        <is>
          <t>Output</t>
        </is>
      </c>
      <c r="F123" t="inlineStr">
        <is>
          <t>__SPECIAL_FORMULA__</t>
        </is>
      </c>
      <c r="G123" t="n">
        <v>772.4391085312169</v>
      </c>
      <c r="H123" t="inlineStr"/>
      <c r="I123" t="inlineStr">
        <is>
          <t>0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n">
        <v/>
      </c>
      <c r="T123" t="n">
        <v/>
      </c>
      <c r="U123" t="n">
        <v/>
      </c>
      <c r="V123" t="b">
        <v>0</v>
      </c>
      <c r="W123" t="inlineStr"/>
      <c r="X123" t="n">
        <v/>
      </c>
    </row>
    <row r="124">
      <c r="A124" t="inlineStr">
        <is>
          <t>DCF</t>
        </is>
      </c>
      <c r="B124" t="inlineStr">
        <is>
          <t>K33</t>
        </is>
      </c>
      <c r="C124" t="n">
        <v>33</v>
      </c>
      <c r="D124" t="n">
        <v>11</v>
      </c>
      <c r="E124" t="inlineStr">
        <is>
          <t>Input</t>
        </is>
      </c>
      <c r="F124" t="n">
        <v/>
      </c>
      <c r="G124" t="n">
        <v>708.9961709554921</v>
      </c>
      <c r="H124" t="inlineStr"/>
      <c r="I124" t="inlineStr">
        <is>
          <t>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n">
        <v/>
      </c>
      <c r="T124" t="n">
        <v/>
      </c>
      <c r="U124" t="n">
        <v/>
      </c>
      <c r="V124" t="b">
        <v>0</v>
      </c>
      <c r="W124" t="inlineStr"/>
      <c r="X124" t="n">
        <v/>
      </c>
    </row>
    <row r="125">
      <c r="A125" t="inlineStr">
        <is>
          <t>DCF</t>
        </is>
      </c>
      <c r="B125" t="inlineStr">
        <is>
          <t>L33</t>
        </is>
      </c>
      <c r="C125" t="n">
        <v>33</v>
      </c>
      <c r="D125" t="n">
        <v>12</v>
      </c>
      <c r="E125" t="inlineStr">
        <is>
          <t>Input</t>
        </is>
      </c>
      <c r="F125" t="n">
        <v/>
      </c>
      <c r="G125" t="n">
        <v>657.0731650073975</v>
      </c>
      <c r="H125" t="inlineStr"/>
      <c r="I125" t="inlineStr">
        <is>
          <t>0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n">
        <v/>
      </c>
      <c r="T125" t="n">
        <v/>
      </c>
      <c r="U125" t="n">
        <v/>
      </c>
      <c r="V125" t="b">
        <v>0</v>
      </c>
      <c r="W125" t="inlineStr"/>
      <c r="X125" t="n">
        <v/>
      </c>
    </row>
    <row r="126">
      <c r="A126" t="inlineStr">
        <is>
          <t>DCF</t>
        </is>
      </c>
      <c r="B126" t="inlineStr">
        <is>
          <t>M33</t>
        </is>
      </c>
      <c r="C126" t="n">
        <v>33</v>
      </c>
      <c r="D126" t="n">
        <v>13</v>
      </c>
      <c r="E126" t="inlineStr">
        <is>
          <t>Input</t>
        </is>
      </c>
      <c r="F126" t="n">
        <v/>
      </c>
      <c r="G126" t="n">
        <v>613.7909418820219</v>
      </c>
      <c r="H126" t="inlineStr"/>
      <c r="I126" t="inlineStr">
        <is>
          <t>0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DCF</t>
        </is>
      </c>
      <c r="B127" t="inlineStr">
        <is>
          <t>N33</t>
        </is>
      </c>
      <c r="C127" t="n">
        <v>33</v>
      </c>
      <c r="D127" t="n">
        <v>14</v>
      </c>
      <c r="E127" t="inlineStr">
        <is>
          <t>Input</t>
        </is>
      </c>
      <c r="F127" t="n">
        <v/>
      </c>
      <c r="G127" t="n">
        <v>577.156197456516</v>
      </c>
      <c r="H127" t="inlineStr"/>
      <c r="I127" t="inlineStr">
        <is>
          <t>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n">
        <v/>
      </c>
      <c r="T127" t="n">
        <v/>
      </c>
      <c r="U127" t="n">
        <v/>
      </c>
      <c r="V127" t="b">
        <v>0</v>
      </c>
      <c r="W127" t="inlineStr"/>
      <c r="X127" t="n">
        <v/>
      </c>
    </row>
    <row r="128">
      <c r="A128" t="inlineStr">
        <is>
          <t>DCF</t>
        </is>
      </c>
      <c r="B128" t="inlineStr">
        <is>
          <t>O33</t>
        </is>
      </c>
      <c r="C128" t="n">
        <v>33</v>
      </c>
      <c r="D128" t="n">
        <v>15</v>
      </c>
      <c r="E128" t="inlineStr">
        <is>
          <t>Input</t>
        </is>
      </c>
      <c r="F128" t="n">
        <v/>
      </c>
      <c r="G128" t="n">
        <v>545.7451021432338</v>
      </c>
      <c r="H128" t="inlineStr"/>
      <c r="I128" t="inlineStr">
        <is>
          <t>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n">
        <v/>
      </c>
      <c r="T128" t="n">
        <v/>
      </c>
      <c r="U128" t="n">
        <v/>
      </c>
      <c r="V128" t="b">
        <v>0</v>
      </c>
      <c r="W128" t="inlineStr"/>
      <c r="X128" t="n">
        <v/>
      </c>
    </row>
    <row r="129">
      <c r="A129" t="inlineStr">
        <is>
          <t>DCF</t>
        </is>
      </c>
      <c r="B129" t="inlineStr">
        <is>
          <t>I34</t>
        </is>
      </c>
      <c r="C129" t="n">
        <v>34</v>
      </c>
      <c r="D129" t="n">
        <v>9</v>
      </c>
      <c r="E129" t="inlineStr">
        <is>
          <t>Calculation</t>
        </is>
      </c>
      <c r="F129" t="inlineStr">
        <is>
          <t>'=I33+1%</t>
        </is>
      </c>
      <c r="G129" t="n">
        <v>0.06</v>
      </c>
      <c r="H129" t="inlineStr"/>
      <c r="I129" t="inlineStr">
        <is>
          <t>0%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G000172</t>
        </is>
      </c>
      <c r="T129" t="inlineStr">
        <is>
          <t>Vertical</t>
        </is>
      </c>
      <c r="U129" t="n">
        <v>5</v>
      </c>
      <c r="V129" t="b">
        <v>1</v>
      </c>
      <c r="W129" t="inlineStr">
        <is>
          <t>DCF!I34:I38</t>
        </is>
      </c>
      <c r="X129">
        <f>R[-1]C[0]+1%</f>
        <v/>
      </c>
    </row>
    <row r="130">
      <c r="A130" t="inlineStr">
        <is>
          <t>DCF</t>
        </is>
      </c>
      <c r="B130" t="inlineStr">
        <is>
          <t>J34</t>
        </is>
      </c>
      <c r="C130" t="n">
        <v>34</v>
      </c>
      <c r="D130" t="n">
        <v>10</v>
      </c>
      <c r="E130" t="inlineStr">
        <is>
          <t>Input</t>
        </is>
      </c>
      <c r="F130" t="n">
        <v/>
      </c>
      <c r="G130" t="n">
        <v>793.0856659073795</v>
      </c>
      <c r="H130" t="inlineStr"/>
      <c r="I130" t="inlineStr">
        <is>
          <t>0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n">
        <v/>
      </c>
      <c r="T130" t="n">
        <v/>
      </c>
      <c r="U130" t="n">
        <v/>
      </c>
      <c r="V130" t="b">
        <v>0</v>
      </c>
      <c r="W130" t="inlineStr"/>
      <c r="X130" t="n">
        <v/>
      </c>
    </row>
    <row r="131">
      <c r="A131" t="inlineStr">
        <is>
          <t>DCF</t>
        </is>
      </c>
      <c r="B131" t="inlineStr">
        <is>
          <t>K34</t>
        </is>
      </c>
      <c r="C131" t="n">
        <v>34</v>
      </c>
      <c r="D131" t="n">
        <v>11</v>
      </c>
      <c r="E131" t="inlineStr">
        <is>
          <t>Input</t>
        </is>
      </c>
      <c r="F131" t="n">
        <v/>
      </c>
      <c r="G131" t="n">
        <v>727.2527196966414</v>
      </c>
      <c r="H131" t="inlineStr"/>
      <c r="I131" t="inlineStr">
        <is>
          <t>0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n">
        <v/>
      </c>
      <c r="T131" t="n">
        <v/>
      </c>
      <c r="U131" t="n">
        <v/>
      </c>
      <c r="V131" t="b">
        <v>0</v>
      </c>
      <c r="W131" t="inlineStr"/>
      <c r="X131" t="n">
        <v/>
      </c>
    </row>
    <row r="132">
      <c r="A132" t="inlineStr">
        <is>
          <t>DCF</t>
        </is>
      </c>
      <c r="B132" t="inlineStr">
        <is>
          <t>L34</t>
        </is>
      </c>
      <c r="C132" t="n">
        <v>34</v>
      </c>
      <c r="D132" t="n">
        <v>12</v>
      </c>
      <c r="E132" t="inlineStr">
        <is>
          <t>Input</t>
        </is>
      </c>
      <c r="F132" t="n">
        <v/>
      </c>
      <c r="G132" t="n">
        <v>673.3842238010727</v>
      </c>
      <c r="H132" t="inlineStr"/>
      <c r="I132" t="inlineStr">
        <is>
          <t>0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n">
        <v/>
      </c>
      <c r="T132" t="n">
        <v/>
      </c>
      <c r="U132" t="n">
        <v/>
      </c>
      <c r="V132" t="b">
        <v>0</v>
      </c>
      <c r="W132" t="inlineStr"/>
      <c r="X132" t="n">
        <v/>
      </c>
    </row>
    <row r="133">
      <c r="A133" t="inlineStr">
        <is>
          <t>DCF</t>
        </is>
      </c>
      <c r="B133" t="inlineStr">
        <is>
          <t>M34</t>
        </is>
      </c>
      <c r="C133" t="n">
        <v>34</v>
      </c>
      <c r="D133" t="n">
        <v>13</v>
      </c>
      <c r="E133" t="inlineStr">
        <is>
          <t>Input</t>
        </is>
      </c>
      <c r="F133" t="n">
        <v/>
      </c>
      <c r="G133" t="n">
        <v>628.4894946234264</v>
      </c>
      <c r="H133" t="inlineStr"/>
      <c r="I133" t="inlineStr">
        <is>
          <t>0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DCF</t>
        </is>
      </c>
      <c r="B134" t="inlineStr">
        <is>
          <t>N34</t>
        </is>
      </c>
      <c r="C134" t="n">
        <v>34</v>
      </c>
      <c r="D134" t="n">
        <v>14</v>
      </c>
      <c r="E134" t="inlineStr">
        <is>
          <t>Input</t>
        </is>
      </c>
      <c r="F134" t="n">
        <v/>
      </c>
      <c r="G134" t="n">
        <v>590.4980317847704</v>
      </c>
      <c r="H134" t="inlineStr"/>
      <c r="I134" t="inlineStr">
        <is>
          <t>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n">
        <v/>
      </c>
      <c r="T134" t="n">
        <v/>
      </c>
      <c r="U134" t="n">
        <v/>
      </c>
      <c r="V134" t="b">
        <v>0</v>
      </c>
      <c r="W134" t="inlineStr"/>
      <c r="X134" t="n">
        <v/>
      </c>
    </row>
    <row r="135">
      <c r="A135" t="inlineStr">
        <is>
          <t>DCF</t>
        </is>
      </c>
      <c r="B135" t="inlineStr">
        <is>
          <t>O34</t>
        </is>
      </c>
      <c r="C135" t="n">
        <v>34</v>
      </c>
      <c r="D135" t="n">
        <v>15</v>
      </c>
      <c r="E135" t="inlineStr">
        <is>
          <t>Input</t>
        </is>
      </c>
      <c r="F135" t="n">
        <v/>
      </c>
      <c r="G135" t="n">
        <v>557.9308830408931</v>
      </c>
      <c r="H135" t="inlineStr"/>
      <c r="I135" t="inlineStr">
        <is>
          <t>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n">
        <v/>
      </c>
      <c r="T135" t="n">
        <v/>
      </c>
      <c r="U135" t="n">
        <v/>
      </c>
      <c r="V135" t="b">
        <v>0</v>
      </c>
      <c r="W135" t="inlineStr"/>
      <c r="X135" t="n">
        <v/>
      </c>
    </row>
    <row r="136">
      <c r="A136" t="inlineStr">
        <is>
          <t>DCF</t>
        </is>
      </c>
      <c r="B136" t="inlineStr">
        <is>
          <t>I35</t>
        </is>
      </c>
      <c r="C136" t="n">
        <v>35</v>
      </c>
      <c r="D136" t="n">
        <v>9</v>
      </c>
      <c r="E136" t="inlineStr">
        <is>
          <t>Calculation</t>
        </is>
      </c>
      <c r="F136" t="inlineStr">
        <is>
          <t>'=I34+1%</t>
        </is>
      </c>
      <c r="G136" t="n">
        <v>0.07000000000000001</v>
      </c>
      <c r="H136" t="inlineStr"/>
      <c r="I136" t="inlineStr">
        <is>
          <t>0%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G000172</t>
        </is>
      </c>
      <c r="T136" t="inlineStr">
        <is>
          <t>Vertical</t>
        </is>
      </c>
      <c r="U136" t="n">
        <v>5</v>
      </c>
      <c r="V136" t="b">
        <v>1</v>
      </c>
      <c r="W136" t="inlineStr">
        <is>
          <t>DCF!I34:I38</t>
        </is>
      </c>
      <c r="X136">
        <f>R[-1]C[0]+1%</f>
        <v/>
      </c>
    </row>
    <row r="137">
      <c r="A137" t="inlineStr">
        <is>
          <t>DCF</t>
        </is>
      </c>
      <c r="B137" t="inlineStr">
        <is>
          <t>J35</t>
        </is>
      </c>
      <c r="C137" t="n">
        <v>35</v>
      </c>
      <c r="D137" t="n">
        <v>10</v>
      </c>
      <c r="E137" t="inlineStr">
        <is>
          <t>Input</t>
        </is>
      </c>
      <c r="F137" t="n">
        <v/>
      </c>
      <c r="G137" t="n">
        <v>814.3696041808344</v>
      </c>
      <c r="H137" t="inlineStr"/>
      <c r="I137" t="inlineStr">
        <is>
          <t>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n">
        <v/>
      </c>
      <c r="T137" t="n">
        <v/>
      </c>
      <c r="U137" t="n">
        <v/>
      </c>
      <c r="V137" t="b">
        <v>0</v>
      </c>
      <c r="W137" t="inlineStr"/>
      <c r="X137" t="n">
        <v/>
      </c>
    </row>
    <row r="138">
      <c r="A138" t="inlineStr">
        <is>
          <t>DCF</t>
        </is>
      </c>
      <c r="B138" t="inlineStr">
        <is>
          <t>K35</t>
        </is>
      </c>
      <c r="C138" t="n">
        <v>35</v>
      </c>
      <c r="D138" t="n">
        <v>11</v>
      </c>
      <c r="E138" t="inlineStr">
        <is>
          <t>Input</t>
        </is>
      </c>
      <c r="F138" t="n">
        <v/>
      </c>
      <c r="G138" t="n">
        <v>746.0677792396816</v>
      </c>
      <c r="H138" t="inlineStr"/>
      <c r="I138" t="inlineStr">
        <is>
          <t>0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n">
        <v/>
      </c>
      <c r="T138" t="n">
        <v/>
      </c>
      <c r="U138" t="n">
        <v/>
      </c>
      <c r="V138" t="b">
        <v>0</v>
      </c>
      <c r="W138" t="inlineStr"/>
      <c r="X138" t="n">
        <v/>
      </c>
    </row>
    <row r="139">
      <c r="A139" t="inlineStr">
        <is>
          <t>DCF</t>
        </is>
      </c>
      <c r="B139" t="inlineStr">
        <is>
          <t>L35</t>
        </is>
      </c>
      <c r="C139" t="n">
        <v>35</v>
      </c>
      <c r="D139" t="n">
        <v>12</v>
      </c>
      <c r="E139" t="inlineStr">
        <is>
          <t>Input</t>
        </is>
      </c>
      <c r="F139" t="n">
        <v/>
      </c>
      <c r="G139" t="n">
        <v>690.1897790392633</v>
      </c>
      <c r="H139" t="inlineStr"/>
      <c r="I139" t="inlineStr">
        <is>
          <t>0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n">
        <v/>
      </c>
      <c r="T139" t="n">
        <v/>
      </c>
      <c r="U139" t="n">
        <v/>
      </c>
      <c r="V139" t="b">
        <v>0</v>
      </c>
      <c r="W139" t="inlineStr"/>
      <c r="X139" t="n">
        <v/>
      </c>
    </row>
    <row r="140">
      <c r="A140" t="inlineStr">
        <is>
          <t>DCF</t>
        </is>
      </c>
      <c r="B140" t="inlineStr">
        <is>
          <t>M35</t>
        </is>
      </c>
      <c r="C140" t="n">
        <v>35</v>
      </c>
      <c r="D140" t="n">
        <v>13</v>
      </c>
      <c r="E140" t="inlineStr">
        <is>
          <t>Input</t>
        </is>
      </c>
      <c r="F140" t="n">
        <v/>
      </c>
      <c r="G140" t="n">
        <v>643.6296490069446</v>
      </c>
      <c r="H140" t="inlineStr"/>
      <c r="I140" t="inlineStr">
        <is>
          <t>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DCF</t>
        </is>
      </c>
      <c r="B141" t="inlineStr">
        <is>
          <t>N35</t>
        </is>
      </c>
      <c r="C141" t="n">
        <v>35</v>
      </c>
      <c r="D141" t="n">
        <v>14</v>
      </c>
      <c r="E141" t="inlineStr">
        <is>
          <t>Input</t>
        </is>
      </c>
      <c r="F141" t="n">
        <v/>
      </c>
      <c r="G141" t="n">
        <v>604.2371070689726</v>
      </c>
      <c r="H141" t="inlineStr"/>
      <c r="I141" t="inlineStr">
        <is>
          <t>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n">
        <v/>
      </c>
      <c r="T141" t="n">
        <v/>
      </c>
      <c r="U141" t="n">
        <v/>
      </c>
      <c r="V141" t="b">
        <v>0</v>
      </c>
      <c r="W141" t="inlineStr"/>
      <c r="X141" t="n">
        <v/>
      </c>
    </row>
    <row r="142">
      <c r="A142" t="inlineStr">
        <is>
          <t>DCF</t>
        </is>
      </c>
      <c r="B142" t="inlineStr">
        <is>
          <t>O35</t>
        </is>
      </c>
      <c r="C142" t="n">
        <v>35</v>
      </c>
      <c r="D142" t="n">
        <v>15</v>
      </c>
      <c r="E142" t="inlineStr">
        <is>
          <t>Input</t>
        </is>
      </c>
      <c r="F142" t="n">
        <v/>
      </c>
      <c r="G142" t="n">
        <v>570.4762325812</v>
      </c>
      <c r="H142" t="inlineStr"/>
      <c r="I142" t="inlineStr">
        <is>
          <t>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n">
        <v/>
      </c>
      <c r="T142" t="n">
        <v/>
      </c>
      <c r="U142" t="n">
        <v/>
      </c>
      <c r="V142" t="b">
        <v>0</v>
      </c>
      <c r="W142" t="inlineStr"/>
      <c r="X142" t="n">
        <v/>
      </c>
    </row>
    <row r="143">
      <c r="A143" t="inlineStr">
        <is>
          <t>DCF</t>
        </is>
      </c>
      <c r="B143" t="inlineStr">
        <is>
          <t>I36</t>
        </is>
      </c>
      <c r="C143" t="n">
        <v>36</v>
      </c>
      <c r="D143" t="n">
        <v>9</v>
      </c>
      <c r="E143" t="inlineStr">
        <is>
          <t>Calculation</t>
        </is>
      </c>
      <c r="F143" t="inlineStr">
        <is>
          <t>'=I35+1%</t>
        </is>
      </c>
      <c r="G143" t="n">
        <v>0.08</v>
      </c>
      <c r="H143" t="inlineStr"/>
      <c r="I143" t="inlineStr">
        <is>
          <t>0%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G000172</t>
        </is>
      </c>
      <c r="T143" t="inlineStr">
        <is>
          <t>Vertical</t>
        </is>
      </c>
      <c r="U143" t="n">
        <v>5</v>
      </c>
      <c r="V143" t="b">
        <v>1</v>
      </c>
      <c r="W143" t="inlineStr">
        <is>
          <t>DCF!I34:I38</t>
        </is>
      </c>
      <c r="X143">
        <f>R[-1]C[0]+1%</f>
        <v/>
      </c>
    </row>
    <row r="144">
      <c r="A144" t="inlineStr">
        <is>
          <t>DCF</t>
        </is>
      </c>
      <c r="B144" t="inlineStr">
        <is>
          <t>J36</t>
        </is>
      </c>
      <c r="C144" t="n">
        <v>36</v>
      </c>
      <c r="D144" t="n">
        <v>10</v>
      </c>
      <c r="E144" t="inlineStr">
        <is>
          <t>Input</t>
        </is>
      </c>
      <c r="F144" t="n">
        <v/>
      </c>
      <c r="G144" t="n">
        <v>836.3059419573533</v>
      </c>
      <c r="H144" t="inlineStr"/>
      <c r="I144" t="inlineStr">
        <is>
          <t>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n">
        <v/>
      </c>
      <c r="T144" t="n">
        <v/>
      </c>
      <c r="U144" t="n">
        <v/>
      </c>
      <c r="V144" t="b">
        <v>0</v>
      </c>
      <c r="W144" t="inlineStr"/>
      <c r="X144" t="n">
        <v/>
      </c>
    </row>
    <row r="145">
      <c r="A145" t="inlineStr">
        <is>
          <t>DCF</t>
        </is>
      </c>
      <c r="B145" t="inlineStr">
        <is>
          <t>K36</t>
        </is>
      </c>
      <c r="C145" t="n">
        <v>36</v>
      </c>
      <c r="D145" t="n">
        <v>11</v>
      </c>
      <c r="E145" t="inlineStr">
        <is>
          <t>Input</t>
        </is>
      </c>
      <c r="F145" t="n">
        <v/>
      </c>
      <c r="G145" t="n">
        <v>765.4544503271941</v>
      </c>
      <c r="H145" t="inlineStr"/>
      <c r="I145" t="inlineStr">
        <is>
          <t>0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n">
        <v/>
      </c>
      <c r="T145" t="n">
        <v/>
      </c>
      <c r="U145" t="n">
        <v/>
      </c>
      <c r="V145" t="b">
        <v>0</v>
      </c>
      <c r="W145" t="inlineStr"/>
      <c r="X145" t="n">
        <v/>
      </c>
    </row>
    <row r="146">
      <c r="A146" t="inlineStr">
        <is>
          <t>DCF</t>
        </is>
      </c>
      <c r="B146" t="inlineStr">
        <is>
          <t>L36</t>
        </is>
      </c>
      <c r="C146" t="n">
        <v>36</v>
      </c>
      <c r="D146" t="n">
        <v>12</v>
      </c>
      <c r="E146" t="inlineStr">
        <is>
          <t>Input</t>
        </is>
      </c>
      <c r="F146" t="n">
        <v/>
      </c>
      <c r="G146" t="n">
        <v>707.5013775092626</v>
      </c>
      <c r="H146" t="inlineStr"/>
      <c r="I146" t="inlineStr">
        <is>
          <t>0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P146" t="n">
        <v/>
      </c>
      <c r="R146" t="b">
        <v>1</v>
      </c>
      <c r="S146" t="n">
        <v/>
      </c>
      <c r="T146" t="n">
        <v/>
      </c>
      <c r="U146" t="n">
        <v/>
      </c>
      <c r="V146" t="b">
        <v>0</v>
      </c>
      <c r="W146" t="inlineStr"/>
      <c r="X146" t="n">
        <v/>
      </c>
    </row>
    <row r="147">
      <c r="A147" t="inlineStr">
        <is>
          <t>DCF</t>
        </is>
      </c>
      <c r="B147" t="inlineStr">
        <is>
          <t>M36</t>
        </is>
      </c>
      <c r="C147" t="n">
        <v>36</v>
      </c>
      <c r="D147" t="n">
        <v>13</v>
      </c>
      <c r="E147" t="inlineStr">
        <is>
          <t>Input</t>
        </is>
      </c>
      <c r="F147" t="n">
        <v/>
      </c>
      <c r="G147" t="n">
        <v>659.221670111845</v>
      </c>
      <c r="H147" t="inlineStr"/>
      <c r="I147" t="inlineStr">
        <is>
          <t>0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P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DCF</t>
        </is>
      </c>
      <c r="B148" t="inlineStr">
        <is>
          <t>N36</t>
        </is>
      </c>
      <c r="C148" t="n">
        <v>36</v>
      </c>
      <c r="D148" t="n">
        <v>14</v>
      </c>
      <c r="E148" t="inlineStr">
        <is>
          <t>Input</t>
        </is>
      </c>
      <c r="F148" t="n">
        <v/>
      </c>
      <c r="G148" t="n">
        <v>618.3826155065717</v>
      </c>
      <c r="H148" t="inlineStr"/>
      <c r="I148" t="inlineStr">
        <is>
          <t>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P148" t="n">
        <v/>
      </c>
      <c r="R148" t="b">
        <v>1</v>
      </c>
      <c r="S148" t="n">
        <v/>
      </c>
      <c r="T148" t="n">
        <v/>
      </c>
      <c r="U148" t="n">
        <v/>
      </c>
      <c r="V148" t="b">
        <v>0</v>
      </c>
      <c r="W148" t="inlineStr"/>
      <c r="X148" t="n">
        <v/>
      </c>
    </row>
    <row r="149">
      <c r="A149" t="inlineStr">
        <is>
          <t>DCF</t>
        </is>
      </c>
      <c r="B149" t="inlineStr">
        <is>
          <t>O36</t>
        </is>
      </c>
      <c r="C149" t="n">
        <v>36</v>
      </c>
      <c r="D149" t="n">
        <v>15</v>
      </c>
      <c r="E149" t="inlineStr">
        <is>
          <t>Input</t>
        </is>
      </c>
      <c r="F149" t="n">
        <v/>
      </c>
      <c r="G149" t="n">
        <v>583.3894336367375</v>
      </c>
      <c r="H149" t="inlineStr"/>
      <c r="I149" t="inlineStr">
        <is>
          <t>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P149" t="n">
        <v/>
      </c>
      <c r="R149" t="b">
        <v>1</v>
      </c>
      <c r="S149" t="n">
        <v/>
      </c>
      <c r="T149" t="n">
        <v/>
      </c>
      <c r="U149" t="n">
        <v/>
      </c>
      <c r="V149" t="b">
        <v>0</v>
      </c>
      <c r="W149" t="inlineStr"/>
      <c r="X149" t="n">
        <v/>
      </c>
    </row>
    <row r="150">
      <c r="A150" t="inlineStr">
        <is>
          <t>DCF</t>
        </is>
      </c>
      <c r="B150" t="inlineStr">
        <is>
          <t>I37</t>
        </is>
      </c>
      <c r="C150" t="n">
        <v>37</v>
      </c>
      <c r="D150" t="n">
        <v>9</v>
      </c>
      <c r="E150" t="inlineStr">
        <is>
          <t>Calculation</t>
        </is>
      </c>
      <c r="F150" t="inlineStr">
        <is>
          <t>'=I36+1%</t>
        </is>
      </c>
      <c r="G150" t="n">
        <v>0.09</v>
      </c>
      <c r="H150" t="inlineStr"/>
      <c r="I150" t="inlineStr">
        <is>
          <t>0%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P150" t="n">
        <v/>
      </c>
      <c r="R150" t="b">
        <v>1</v>
      </c>
      <c r="S150" t="inlineStr">
        <is>
          <t>G000172</t>
        </is>
      </c>
      <c r="T150" t="inlineStr">
        <is>
          <t>Vertical</t>
        </is>
      </c>
      <c r="U150" t="n">
        <v>5</v>
      </c>
      <c r="V150" t="b">
        <v>1</v>
      </c>
      <c r="W150" t="inlineStr">
        <is>
          <t>DCF!I34:I38</t>
        </is>
      </c>
      <c r="X150">
        <f>R[-1]C[0]+1%</f>
        <v/>
      </c>
    </row>
    <row r="151">
      <c r="A151" t="inlineStr">
        <is>
          <t>DCF</t>
        </is>
      </c>
      <c r="B151" t="inlineStr">
        <is>
          <t>J37</t>
        </is>
      </c>
      <c r="C151" t="n">
        <v>37</v>
      </c>
      <c r="D151" t="n">
        <v>10</v>
      </c>
      <c r="E151" t="inlineStr">
        <is>
          <t>Input</t>
        </is>
      </c>
      <c r="F151" t="n">
        <v/>
      </c>
      <c r="G151" t="n">
        <v>858.9099303040131</v>
      </c>
      <c r="H151" t="inlineStr"/>
      <c r="I151" t="inlineStr">
        <is>
          <t>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P151" t="n">
        <v/>
      </c>
      <c r="R151" t="b">
        <v>1</v>
      </c>
      <c r="S151" t="n">
        <v/>
      </c>
      <c r="T151" t="n">
        <v/>
      </c>
      <c r="U151" t="n">
        <v/>
      </c>
      <c r="V151" t="b">
        <v>0</v>
      </c>
      <c r="W151" t="inlineStr"/>
      <c r="X151" t="n">
        <v/>
      </c>
    </row>
    <row r="152">
      <c r="A152" t="inlineStr">
        <is>
          <t>DCF</t>
        </is>
      </c>
      <c r="B152" t="inlineStr">
        <is>
          <t>K37</t>
        </is>
      </c>
      <c r="C152" t="n">
        <v>37</v>
      </c>
      <c r="D152" t="n">
        <v>11</v>
      </c>
      <c r="E152" t="inlineStr">
        <is>
          <t>Input</t>
        </is>
      </c>
      <c r="F152" t="n">
        <v/>
      </c>
      <c r="G152" t="n">
        <v>785.4260359450296</v>
      </c>
      <c r="H152" t="inlineStr"/>
      <c r="I152" t="inlineStr">
        <is>
          <t>0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P152" t="n">
        <v/>
      </c>
      <c r="R152" t="b">
        <v>1</v>
      </c>
      <c r="S152" t="n">
        <v/>
      </c>
      <c r="T152" t="n">
        <v/>
      </c>
      <c r="U152" t="n">
        <v/>
      </c>
      <c r="V152" t="b">
        <v>0</v>
      </c>
      <c r="W152" t="inlineStr"/>
      <c r="X152" t="n">
        <v/>
      </c>
    </row>
    <row r="153">
      <c r="A153" t="inlineStr">
        <is>
          <t>DCF</t>
        </is>
      </c>
      <c r="B153" t="inlineStr">
        <is>
          <t>L37</t>
        </is>
      </c>
      <c r="C153" t="n">
        <v>37</v>
      </c>
      <c r="D153" t="n">
        <v>12</v>
      </c>
      <c r="E153" t="inlineStr">
        <is>
          <t>Input</t>
        </is>
      </c>
      <c r="F153" t="n">
        <v/>
      </c>
      <c r="G153" t="n">
        <v>725.3307437841933</v>
      </c>
      <c r="H153" t="inlineStr"/>
      <c r="I153" t="inlineStr">
        <is>
          <t>0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P153" t="n">
        <v/>
      </c>
      <c r="R153" t="b">
        <v>1</v>
      </c>
      <c r="S153" t="n">
        <v/>
      </c>
      <c r="T153" t="n">
        <v/>
      </c>
      <c r="U153" t="n">
        <v/>
      </c>
      <c r="V153" t="b">
        <v>0</v>
      </c>
      <c r="W153" t="inlineStr"/>
      <c r="X153" t="n">
        <v/>
      </c>
    </row>
    <row r="154">
      <c r="A154" t="inlineStr">
        <is>
          <t>DCF</t>
        </is>
      </c>
      <c r="B154" t="inlineStr">
        <is>
          <t>M37</t>
        </is>
      </c>
      <c r="C154" t="n">
        <v>37</v>
      </c>
      <c r="D154" t="n">
        <v>13</v>
      </c>
      <c r="E154" t="inlineStr">
        <is>
          <t>Input</t>
        </is>
      </c>
      <c r="F154" t="n">
        <v/>
      </c>
      <c r="G154" t="n">
        <v>675.2759806539045</v>
      </c>
      <c r="H154" t="inlineStr"/>
      <c r="I154" t="inlineStr">
        <is>
          <t>0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P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DCF</t>
        </is>
      </c>
      <c r="B155" t="inlineStr">
        <is>
          <t>N37</t>
        </is>
      </c>
      <c r="C155" t="n">
        <v>37</v>
      </c>
      <c r="D155" t="n">
        <v>14</v>
      </c>
      <c r="E155" t="inlineStr">
        <is>
          <t>Input</t>
        </is>
      </c>
      <c r="F155" t="n">
        <v/>
      </c>
      <c r="G155" t="n">
        <v>632.9438900854358</v>
      </c>
      <c r="H155" t="inlineStr"/>
      <c r="I155" t="inlineStr">
        <is>
          <t>0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P155" t="n">
        <v/>
      </c>
      <c r="R155" t="b">
        <v>1</v>
      </c>
      <c r="S155" t="n">
        <v/>
      </c>
      <c r="T155" t="n">
        <v/>
      </c>
      <c r="U155" t="n">
        <v/>
      </c>
      <c r="V155" t="b">
        <v>0</v>
      </c>
      <c r="W155" t="inlineStr"/>
      <c r="X155" t="n">
        <v/>
      </c>
    </row>
    <row r="156">
      <c r="A156" t="inlineStr">
        <is>
          <t>DCF</t>
        </is>
      </c>
      <c r="B156" t="inlineStr">
        <is>
          <t>O37</t>
        </is>
      </c>
      <c r="C156" t="n">
        <v>37</v>
      </c>
      <c r="D156" t="n">
        <v>15</v>
      </c>
      <c r="E156" t="inlineStr">
        <is>
          <t>Input</t>
        </is>
      </c>
      <c r="F156" t="n">
        <v/>
      </c>
      <c r="G156" t="n">
        <v>596.6788956104459</v>
      </c>
      <c r="H156" t="inlineStr"/>
      <c r="I156" t="inlineStr">
        <is>
          <t>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P156" t="n">
        <v/>
      </c>
      <c r="R156" t="b">
        <v>1</v>
      </c>
      <c r="S156" t="n">
        <v/>
      </c>
      <c r="T156" t="n">
        <v/>
      </c>
      <c r="U156" t="n">
        <v/>
      </c>
      <c r="V156" t="b">
        <v>0</v>
      </c>
      <c r="W156" t="inlineStr"/>
      <c r="X156" t="n">
        <v/>
      </c>
    </row>
    <row r="157">
      <c r="A157" t="inlineStr">
        <is>
          <t>DCF</t>
        </is>
      </c>
      <c r="B157" t="inlineStr">
        <is>
          <t>I38</t>
        </is>
      </c>
      <c r="C157" t="n">
        <v>38</v>
      </c>
      <c r="D157" t="n">
        <v>9</v>
      </c>
      <c r="E157" t="inlineStr">
        <is>
          <t>Output</t>
        </is>
      </c>
      <c r="F157" t="inlineStr">
        <is>
          <t>'=I37+1%</t>
        </is>
      </c>
      <c r="G157" t="n">
        <v>0.09999999999999999</v>
      </c>
      <c r="H157" t="inlineStr"/>
      <c r="I157" t="inlineStr">
        <is>
          <t>0%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P157" t="n">
        <v/>
      </c>
      <c r="R157" t="b">
        <v>1</v>
      </c>
      <c r="S157" t="inlineStr">
        <is>
          <t>G000172</t>
        </is>
      </c>
      <c r="T157" t="inlineStr">
        <is>
          <t>Vertical</t>
        </is>
      </c>
      <c r="U157" t="n">
        <v>5</v>
      </c>
      <c r="V157" t="b">
        <v>1</v>
      </c>
      <c r="W157" t="inlineStr">
        <is>
          <t>DCF!I34:I38</t>
        </is>
      </c>
      <c r="X157">
        <f>R[-1]C[0]+1%</f>
        <v/>
      </c>
    </row>
    <row r="158">
      <c r="A158" t="inlineStr">
        <is>
          <t>DCF</t>
        </is>
      </c>
      <c r="B158" t="inlineStr">
        <is>
          <t>J38</t>
        </is>
      </c>
      <c r="C158" t="n">
        <v>38</v>
      </c>
      <c r="D158" t="n">
        <v>10</v>
      </c>
      <c r="E158" t="inlineStr">
        <is>
          <t>Input</t>
        </is>
      </c>
      <c r="F158" t="n">
        <v/>
      </c>
      <c r="G158" t="n">
        <v>882.1970544892916</v>
      </c>
      <c r="H158" t="inlineStr"/>
      <c r="I158" t="inlineStr">
        <is>
          <t>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P158" t="n">
        <v/>
      </c>
      <c r="R158" t="b">
        <v>1</v>
      </c>
      <c r="S158" t="n">
        <v/>
      </c>
      <c r="T158" t="n">
        <v/>
      </c>
      <c r="U158" t="n">
        <v/>
      </c>
      <c r="V158" t="b">
        <v>0</v>
      </c>
      <c r="W158" t="inlineStr"/>
      <c r="X158" t="n">
        <v/>
      </c>
    </row>
    <row r="159">
      <c r="A159" t="inlineStr">
        <is>
          <t>DCF</t>
        </is>
      </c>
      <c r="B159" t="inlineStr">
        <is>
          <t>K38</t>
        </is>
      </c>
      <c r="C159" t="n">
        <v>38</v>
      </c>
      <c r="D159" t="n">
        <v>11</v>
      </c>
      <c r="E159" t="inlineStr">
        <is>
          <t>Input</t>
        </is>
      </c>
      <c r="F159" t="n">
        <v/>
      </c>
      <c r="G159" t="n">
        <v>805.9960428336915</v>
      </c>
      <c r="H159" t="inlineStr"/>
      <c r="I159" t="inlineStr">
        <is>
          <t>0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P159" t="n">
        <v/>
      </c>
      <c r="R159" t="b">
        <v>1</v>
      </c>
      <c r="S159" t="n">
        <v/>
      </c>
      <c r="T159" t="n">
        <v/>
      </c>
      <c r="U159" t="n">
        <v/>
      </c>
      <c r="V159" t="b">
        <v>0</v>
      </c>
      <c r="W159" t="inlineStr"/>
      <c r="X159" t="n">
        <v/>
      </c>
    </row>
    <row r="160">
      <c r="A160" t="inlineStr">
        <is>
          <t>DCF</t>
        </is>
      </c>
      <c r="B160" t="inlineStr">
        <is>
          <t>L38</t>
        </is>
      </c>
      <c r="C160" t="n">
        <v>38</v>
      </c>
      <c r="D160" t="n">
        <v>12</v>
      </c>
      <c r="E160" t="inlineStr">
        <is>
          <t>Input</t>
        </is>
      </c>
      <c r="F160" t="n">
        <v/>
      </c>
      <c r="G160" t="n">
        <v>743.6897815494125</v>
      </c>
      <c r="H160" t="inlineStr"/>
      <c r="I160" t="inlineStr">
        <is>
          <t>0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P160" t="n">
        <v/>
      </c>
      <c r="R160" t="b">
        <v>1</v>
      </c>
      <c r="S160" t="n">
        <v/>
      </c>
      <c r="T160" t="n">
        <v/>
      </c>
      <c r="U160" t="n">
        <v/>
      </c>
      <c r="V160" t="b">
        <v>0</v>
      </c>
      <c r="W160" t="inlineStr"/>
      <c r="X160" t="n">
        <v/>
      </c>
    </row>
    <row r="161">
      <c r="A161" t="inlineStr">
        <is>
          <t>DCF</t>
        </is>
      </c>
      <c r="B161" t="inlineStr">
        <is>
          <t>M38</t>
        </is>
      </c>
      <c r="C161" t="n">
        <v>38</v>
      </c>
      <c r="D161" t="n">
        <v>13</v>
      </c>
      <c r="E161" t="inlineStr">
        <is>
          <t>Input</t>
        </is>
      </c>
      <c r="F161" t="n">
        <v/>
      </c>
      <c r="G161" t="n">
        <v>691.8031621595386</v>
      </c>
      <c r="H161" t="inlineStr"/>
      <c r="I161" t="inlineStr">
        <is>
          <t>0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P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DCF</t>
        </is>
      </c>
      <c r="B162" t="inlineStr">
        <is>
          <t>N38</t>
        </is>
      </c>
      <c r="C162" t="n">
        <v>38</v>
      </c>
      <c r="D162" t="n">
        <v>14</v>
      </c>
      <c r="E162" t="inlineStr">
        <is>
          <t>Input</t>
        </is>
      </c>
      <c r="F162" t="n">
        <v/>
      </c>
      <c r="G162" t="n">
        <v>647.93040563077</v>
      </c>
      <c r="H162" t="inlineStr"/>
      <c r="I162" t="inlineStr">
        <is>
          <t>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P162" t="n">
        <v/>
      </c>
      <c r="R162" t="b">
        <v>1</v>
      </c>
      <c r="S162" t="n">
        <v/>
      </c>
      <c r="T162" t="n">
        <v/>
      </c>
      <c r="U162" t="n">
        <v/>
      </c>
      <c r="V162" t="b">
        <v>0</v>
      </c>
      <c r="W162" t="inlineStr"/>
      <c r="X162" t="n">
        <v/>
      </c>
    </row>
    <row r="163">
      <c r="A163" t="inlineStr">
        <is>
          <t>DCF</t>
        </is>
      </c>
      <c r="B163" t="inlineStr">
        <is>
          <t>O38</t>
        </is>
      </c>
      <c r="C163" t="n">
        <v>38</v>
      </c>
      <c r="D163" t="n">
        <v>15</v>
      </c>
      <c r="E163" t="inlineStr">
        <is>
          <t>Input</t>
        </is>
      </c>
      <c r="F163" t="n">
        <v/>
      </c>
      <c r="G163" t="n">
        <v>610.3531553749483</v>
      </c>
      <c r="H163" t="inlineStr"/>
      <c r="I163" t="inlineStr">
        <is>
          <t>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P163" t="n">
        <v/>
      </c>
      <c r="R163" t="b">
        <v>1</v>
      </c>
      <c r="S163" t="n">
        <v/>
      </c>
      <c r="T163" t="n">
        <v/>
      </c>
      <c r="U163" t="n">
        <v/>
      </c>
      <c r="V163" t="b">
        <v>0</v>
      </c>
      <c r="W163" t="inlineStr"/>
      <c r="X163" t="n"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Relative</t>
        </is>
      </c>
      <c r="B2" t="inlineStr">
        <is>
          <t>B1</t>
        </is>
      </c>
      <c r="C2" t="n">
        <v>1</v>
      </c>
      <c r="D2" t="n">
        <v>2</v>
      </c>
      <c r="E2" t="inlineStr">
        <is>
          <t>Input</t>
        </is>
      </c>
      <c r="F2" t="n">
        <v/>
      </c>
      <c r="G2" t="inlineStr">
        <is>
          <t>ACC</t>
        </is>
      </c>
      <c r="H2" t="inlineStr"/>
      <c r="I2" t="inlineStr">
        <is>
          <t>General</t>
        </is>
      </c>
      <c r="J2" t="b">
        <v>1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inlineStr">
        <is>
          <t>center</t>
        </is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Relative</t>
        </is>
      </c>
      <c r="B3" t="inlineStr">
        <is>
          <t>F1</t>
        </is>
      </c>
      <c r="C3" t="n">
        <v>1</v>
      </c>
      <c r="D3" t="n">
        <v>6</v>
      </c>
      <c r="E3" t="inlineStr">
        <is>
          <t>Input</t>
        </is>
      </c>
      <c r="F3" t="n">
        <v/>
      </c>
      <c r="G3" t="inlineStr">
        <is>
          <t>Ultratech</t>
        </is>
      </c>
      <c r="H3" t="inlineStr"/>
      <c r="I3" t="inlineStr">
        <is>
          <t>General</t>
        </is>
      </c>
      <c r="J3" t="b">
        <v>1</v>
      </c>
      <c r="K3" t="b">
        <v>0</v>
      </c>
      <c r="L3" t="n">
        <v>11</v>
      </c>
      <c r="M3" t="inlineStr">
        <is>
          <t>FF000000</t>
        </is>
      </c>
      <c r="N3" t="inlineStr">
        <is>
          <t>00000000</t>
        </is>
      </c>
      <c r="O3" t="inlineStr">
        <is>
          <t>center</t>
        </is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Relative</t>
        </is>
      </c>
      <c r="B4" t="inlineStr">
        <is>
          <t>J1</t>
        </is>
      </c>
      <c r="C4" t="n">
        <v>1</v>
      </c>
      <c r="D4" t="n">
        <v>10</v>
      </c>
      <c r="E4" t="inlineStr">
        <is>
          <t>Input</t>
        </is>
      </c>
      <c r="F4" t="n">
        <v/>
      </c>
      <c r="G4" t="inlineStr">
        <is>
          <t>Ambuja</t>
        </is>
      </c>
      <c r="H4" t="inlineStr"/>
      <c r="I4" t="inlineStr">
        <is>
          <t>General</t>
        </is>
      </c>
      <c r="J4" t="b">
        <v>1</v>
      </c>
      <c r="K4" t="b">
        <v>0</v>
      </c>
      <c r="L4" t="n">
        <v>11</v>
      </c>
      <c r="M4" t="inlineStr">
        <is>
          <t>FF000000</t>
        </is>
      </c>
      <c r="N4" t="inlineStr">
        <is>
          <t>00000000</t>
        </is>
      </c>
      <c r="O4" t="inlineStr">
        <is>
          <t>center</t>
        </is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Relative</t>
        </is>
      </c>
      <c r="B5" t="inlineStr">
        <is>
          <t>N1</t>
        </is>
      </c>
      <c r="C5" t="n">
        <v>1</v>
      </c>
      <c r="D5" t="n">
        <v>14</v>
      </c>
      <c r="E5" t="inlineStr">
        <is>
          <t>Input</t>
        </is>
      </c>
      <c r="F5" t="n">
        <v/>
      </c>
      <c r="G5" t="inlineStr">
        <is>
          <t>Dalmia Bharat</t>
        </is>
      </c>
      <c r="H5" t="inlineStr"/>
      <c r="I5" t="inlineStr">
        <is>
          <t>General</t>
        </is>
      </c>
      <c r="J5" t="b">
        <v>1</v>
      </c>
      <c r="K5" t="b">
        <v>0</v>
      </c>
      <c r="L5" t="n">
        <v>11</v>
      </c>
      <c r="M5" t="inlineStr">
        <is>
          <t>FF000000</t>
        </is>
      </c>
      <c r="N5" t="inlineStr">
        <is>
          <t>00000000</t>
        </is>
      </c>
      <c r="O5" t="inlineStr">
        <is>
          <t>center</t>
        </is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Relative</t>
        </is>
      </c>
      <c r="B6" t="inlineStr">
        <is>
          <t>B2</t>
        </is>
      </c>
      <c r="C6" t="n">
        <v>2</v>
      </c>
      <c r="D6" t="n">
        <v>2</v>
      </c>
      <c r="E6" t="inlineStr">
        <is>
          <t>Input</t>
        </is>
      </c>
      <c r="F6" t="n">
        <v/>
      </c>
      <c r="G6" t="n">
        <v>2017</v>
      </c>
      <c r="H6" t="inlineStr"/>
      <c r="I6" t="inlineStr">
        <is>
          <t>General</t>
        </is>
      </c>
      <c r="J6" t="b">
        <v>1</v>
      </c>
      <c r="K6" t="b">
        <v>0</v>
      </c>
      <c r="L6" t="n">
        <v>11</v>
      </c>
      <c r="M6" t="inlineStr">
        <is>
          <t>FF000000</t>
        </is>
      </c>
      <c r="N6" t="inlineStr">
        <is>
          <t>00000000</t>
        </is>
      </c>
      <c r="O6" t="n">
        <v/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Relative</t>
        </is>
      </c>
      <c r="B7" t="inlineStr">
        <is>
          <t>C2</t>
        </is>
      </c>
      <c r="C7" t="n">
        <v>2</v>
      </c>
      <c r="D7" t="n">
        <v>3</v>
      </c>
      <c r="E7" t="inlineStr">
        <is>
          <t>Input</t>
        </is>
      </c>
      <c r="F7" t="n">
        <v/>
      </c>
      <c r="G7" t="n">
        <v>2018</v>
      </c>
      <c r="H7" t="inlineStr"/>
      <c r="I7" t="inlineStr">
        <is>
          <t>General</t>
        </is>
      </c>
      <c r="J7" t="b">
        <v>1</v>
      </c>
      <c r="K7" t="b">
        <v>0</v>
      </c>
      <c r="L7" t="n">
        <v>11</v>
      </c>
      <c r="M7" t="inlineStr">
        <is>
          <t>FF000000</t>
        </is>
      </c>
      <c r="N7" t="inlineStr">
        <is>
          <t>00000000</t>
        </is>
      </c>
      <c r="O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Relative</t>
        </is>
      </c>
      <c r="B8" t="inlineStr">
        <is>
          <t>D2</t>
        </is>
      </c>
      <c r="C8" t="n">
        <v>2</v>
      </c>
      <c r="D8" t="n">
        <v>4</v>
      </c>
      <c r="E8" t="inlineStr">
        <is>
          <t>Input</t>
        </is>
      </c>
      <c r="F8" t="n">
        <v/>
      </c>
      <c r="G8" t="n">
        <v>2019</v>
      </c>
      <c r="H8" t="inlineStr"/>
      <c r="I8" t="inlineStr">
        <is>
          <t>General</t>
        </is>
      </c>
      <c r="J8" t="b">
        <v>1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R8" t="b">
        <v>1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Relative</t>
        </is>
      </c>
      <c r="B9" t="inlineStr">
        <is>
          <t>E2</t>
        </is>
      </c>
      <c r="C9" t="n">
        <v>2</v>
      </c>
      <c r="D9" t="n">
        <v>5</v>
      </c>
      <c r="E9" t="inlineStr">
        <is>
          <t>Input</t>
        </is>
      </c>
      <c r="F9" t="n">
        <v/>
      </c>
      <c r="G9" t="n">
        <v>2020</v>
      </c>
      <c r="H9" t="inlineStr"/>
      <c r="I9" t="inlineStr">
        <is>
          <t>General</t>
        </is>
      </c>
      <c r="J9" t="b">
        <v>1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R9" t="b">
        <v>1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Relative</t>
        </is>
      </c>
      <c r="B10" t="inlineStr">
        <is>
          <t>F2</t>
        </is>
      </c>
      <c r="C10" t="n">
        <v>2</v>
      </c>
      <c r="D10" t="n">
        <v>6</v>
      </c>
      <c r="E10" t="inlineStr">
        <is>
          <t>Input</t>
        </is>
      </c>
      <c r="F10" t="n">
        <v/>
      </c>
      <c r="G10" t="n">
        <v>2017</v>
      </c>
      <c r="H10" t="inlineStr"/>
      <c r="I10" t="inlineStr">
        <is>
          <t>General</t>
        </is>
      </c>
      <c r="J10" t="b">
        <v>1</v>
      </c>
      <c r="K10" t="b">
        <v>0</v>
      </c>
      <c r="L10" t="n">
        <v>11</v>
      </c>
      <c r="M10" t="inlineStr">
        <is>
          <t>FF000000</t>
        </is>
      </c>
      <c r="N10" t="inlineStr">
        <is>
          <t>00000000</t>
        </is>
      </c>
      <c r="O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Relative</t>
        </is>
      </c>
      <c r="B11" t="inlineStr">
        <is>
          <t>G2</t>
        </is>
      </c>
      <c r="C11" t="n">
        <v>2</v>
      </c>
      <c r="D11" t="n">
        <v>7</v>
      </c>
      <c r="E11" t="inlineStr">
        <is>
          <t>Input</t>
        </is>
      </c>
      <c r="F11" t="n">
        <v/>
      </c>
      <c r="G11" t="n">
        <v>2018</v>
      </c>
      <c r="H11" t="inlineStr"/>
      <c r="I11" t="inlineStr">
        <is>
          <t>General</t>
        </is>
      </c>
      <c r="J11" t="b">
        <v>1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R11" t="b">
        <v>1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Relative</t>
        </is>
      </c>
      <c r="B12" t="inlineStr">
        <is>
          <t>H2</t>
        </is>
      </c>
      <c r="C12" t="n">
        <v>2</v>
      </c>
      <c r="D12" t="n">
        <v>8</v>
      </c>
      <c r="E12" t="inlineStr">
        <is>
          <t>Input</t>
        </is>
      </c>
      <c r="F12" t="n">
        <v/>
      </c>
      <c r="G12" t="n">
        <v>2019</v>
      </c>
      <c r="H12" t="inlineStr"/>
      <c r="I12" t="inlineStr">
        <is>
          <t>General</t>
        </is>
      </c>
      <c r="J12" t="b">
        <v>1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R12" t="b">
        <v>1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Relative</t>
        </is>
      </c>
      <c r="B13" t="inlineStr">
        <is>
          <t>I2</t>
        </is>
      </c>
      <c r="C13" t="n">
        <v>2</v>
      </c>
      <c r="D13" t="n">
        <v>9</v>
      </c>
      <c r="E13" t="inlineStr">
        <is>
          <t>Input</t>
        </is>
      </c>
      <c r="F13" t="n">
        <v/>
      </c>
      <c r="G13" t="n">
        <v>2020</v>
      </c>
      <c r="H13" t="inlineStr"/>
      <c r="I13" t="inlineStr">
        <is>
          <t>General</t>
        </is>
      </c>
      <c r="J13" t="b">
        <v>1</v>
      </c>
      <c r="K13" t="b">
        <v>0</v>
      </c>
      <c r="L13" t="n">
        <v>11</v>
      </c>
      <c r="M13" t="inlineStr">
        <is>
          <t>FF000000</t>
        </is>
      </c>
      <c r="N13" t="inlineStr">
        <is>
          <t>00000000</t>
        </is>
      </c>
      <c r="O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Relative</t>
        </is>
      </c>
      <c r="B14" t="inlineStr">
        <is>
          <t>J2</t>
        </is>
      </c>
      <c r="C14" t="n">
        <v>2</v>
      </c>
      <c r="D14" t="n">
        <v>10</v>
      </c>
      <c r="E14" t="inlineStr">
        <is>
          <t>Input</t>
        </is>
      </c>
      <c r="F14" t="n">
        <v/>
      </c>
      <c r="G14" t="n">
        <v>2017</v>
      </c>
      <c r="H14" t="inlineStr"/>
      <c r="I14" t="inlineStr">
        <is>
          <t>General</t>
        </is>
      </c>
      <c r="J14" t="b">
        <v>1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R14" t="b">
        <v>1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Relative</t>
        </is>
      </c>
      <c r="B15" t="inlineStr">
        <is>
          <t>K2</t>
        </is>
      </c>
      <c r="C15" t="n">
        <v>2</v>
      </c>
      <c r="D15" t="n">
        <v>11</v>
      </c>
      <c r="E15" t="inlineStr">
        <is>
          <t>Input</t>
        </is>
      </c>
      <c r="F15" t="n">
        <v/>
      </c>
      <c r="G15" t="n">
        <v>2018</v>
      </c>
      <c r="H15" t="inlineStr"/>
      <c r="I15" t="inlineStr">
        <is>
          <t>General</t>
        </is>
      </c>
      <c r="J15" t="b">
        <v>1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R15" t="b">
        <v>1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Relative</t>
        </is>
      </c>
      <c r="B16" t="inlineStr">
        <is>
          <t>L2</t>
        </is>
      </c>
      <c r="C16" t="n">
        <v>2</v>
      </c>
      <c r="D16" t="n">
        <v>12</v>
      </c>
      <c r="E16" t="inlineStr">
        <is>
          <t>Input</t>
        </is>
      </c>
      <c r="F16" t="n">
        <v/>
      </c>
      <c r="G16" t="n">
        <v>2019</v>
      </c>
      <c r="H16" t="inlineStr"/>
      <c r="I16" t="inlineStr">
        <is>
          <t>General</t>
        </is>
      </c>
      <c r="J16" t="b">
        <v>1</v>
      </c>
      <c r="K16" t="b">
        <v>0</v>
      </c>
      <c r="L16" t="n">
        <v>11</v>
      </c>
      <c r="M16" t="inlineStr">
        <is>
          <t>FF000000</t>
        </is>
      </c>
      <c r="N16" t="inlineStr">
        <is>
          <t>00000000</t>
        </is>
      </c>
      <c r="O16" t="n">
        <v/>
      </c>
      <c r="R16" t="b">
        <v>1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Relative</t>
        </is>
      </c>
      <c r="B17" t="inlineStr">
        <is>
          <t>M2</t>
        </is>
      </c>
      <c r="C17" t="n">
        <v>2</v>
      </c>
      <c r="D17" t="n">
        <v>13</v>
      </c>
      <c r="E17" t="inlineStr">
        <is>
          <t>Input</t>
        </is>
      </c>
      <c r="F17" t="n">
        <v/>
      </c>
      <c r="G17" t="n">
        <v>2020</v>
      </c>
      <c r="H17" t="inlineStr"/>
      <c r="I17" t="inlineStr">
        <is>
          <t>General</t>
        </is>
      </c>
      <c r="J17" t="b">
        <v>1</v>
      </c>
      <c r="K17" t="b">
        <v>0</v>
      </c>
      <c r="L17" t="n">
        <v>11</v>
      </c>
      <c r="M17" t="inlineStr">
        <is>
          <t>FF000000</t>
        </is>
      </c>
      <c r="N17" t="inlineStr">
        <is>
          <t>00000000</t>
        </is>
      </c>
      <c r="O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Relative</t>
        </is>
      </c>
      <c r="B18" t="inlineStr">
        <is>
          <t>N2</t>
        </is>
      </c>
      <c r="C18" t="n">
        <v>2</v>
      </c>
      <c r="D18" t="n">
        <v>14</v>
      </c>
      <c r="E18" t="inlineStr">
        <is>
          <t>Input</t>
        </is>
      </c>
      <c r="F18" t="n">
        <v/>
      </c>
      <c r="G18" t="n">
        <v>2017</v>
      </c>
      <c r="H18" t="inlineStr"/>
      <c r="I18" t="inlineStr">
        <is>
          <t>General</t>
        </is>
      </c>
      <c r="J18" t="b">
        <v>1</v>
      </c>
      <c r="K18" t="b">
        <v>0</v>
      </c>
      <c r="L18" t="n">
        <v>11</v>
      </c>
      <c r="M18" t="inlineStr">
        <is>
          <t>FF000000</t>
        </is>
      </c>
      <c r="N18" t="inlineStr">
        <is>
          <t>00000000</t>
        </is>
      </c>
      <c r="O18" t="n">
        <v/>
      </c>
      <c r="R18" t="b">
        <v>1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Relative</t>
        </is>
      </c>
      <c r="B19" t="inlineStr">
        <is>
          <t>O2</t>
        </is>
      </c>
      <c r="C19" t="n">
        <v>2</v>
      </c>
      <c r="D19" t="n">
        <v>15</v>
      </c>
      <c r="E19" t="inlineStr">
        <is>
          <t>Input</t>
        </is>
      </c>
      <c r="F19" t="n">
        <v/>
      </c>
      <c r="G19" t="n">
        <v>2018</v>
      </c>
      <c r="H19" t="inlineStr"/>
      <c r="I19" t="inlineStr">
        <is>
          <t>General</t>
        </is>
      </c>
      <c r="J19" t="b">
        <v>1</v>
      </c>
      <c r="K19" t="b">
        <v>0</v>
      </c>
      <c r="L19" t="n">
        <v>11</v>
      </c>
      <c r="M19" t="inlineStr">
        <is>
          <t>FF000000</t>
        </is>
      </c>
      <c r="N19" t="inlineStr">
        <is>
          <t>00000000</t>
        </is>
      </c>
      <c r="O19" t="n">
        <v/>
      </c>
      <c r="R19" t="b">
        <v>1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Relative</t>
        </is>
      </c>
      <c r="B20" t="inlineStr">
        <is>
          <t>P2</t>
        </is>
      </c>
      <c r="C20" t="n">
        <v>2</v>
      </c>
      <c r="D20" t="n">
        <v>16</v>
      </c>
      <c r="E20" t="inlineStr">
        <is>
          <t>Input</t>
        </is>
      </c>
      <c r="F20" t="n">
        <v/>
      </c>
      <c r="G20" t="n">
        <v>2019</v>
      </c>
      <c r="H20" t="inlineStr"/>
      <c r="I20" t="inlineStr">
        <is>
          <t>General</t>
        </is>
      </c>
      <c r="J20" t="b">
        <v>1</v>
      </c>
      <c r="K20" t="b">
        <v>0</v>
      </c>
      <c r="L20" t="n">
        <v>11</v>
      </c>
      <c r="M20" t="inlineStr">
        <is>
          <t>FF000000</t>
        </is>
      </c>
      <c r="N20" t="inlineStr">
        <is>
          <t>00000000</t>
        </is>
      </c>
      <c r="O20" t="n">
        <v/>
      </c>
      <c r="R20" t="b">
        <v>1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Relative</t>
        </is>
      </c>
      <c r="B21" t="inlineStr">
        <is>
          <t>Q2</t>
        </is>
      </c>
      <c r="C21" t="n">
        <v>2</v>
      </c>
      <c r="D21" t="n">
        <v>17</v>
      </c>
      <c r="E21" t="inlineStr">
        <is>
          <t>Input</t>
        </is>
      </c>
      <c r="F21" t="n">
        <v/>
      </c>
      <c r="G21" t="n">
        <v>2020</v>
      </c>
      <c r="H21" t="inlineStr"/>
      <c r="I21" t="inlineStr">
        <is>
          <t>General</t>
        </is>
      </c>
      <c r="J21" t="b">
        <v>1</v>
      </c>
      <c r="K21" t="b">
        <v>0</v>
      </c>
      <c r="L21" t="n">
        <v>11</v>
      </c>
      <c r="M21" t="inlineStr">
        <is>
          <t>FF000000</t>
        </is>
      </c>
      <c r="N21" t="inlineStr">
        <is>
          <t>00000000</t>
        </is>
      </c>
      <c r="O21" t="n">
        <v/>
      </c>
      <c r="R21" t="b">
        <v>1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Relative</t>
        </is>
      </c>
      <c r="B22" t="inlineStr">
        <is>
          <t>A3</t>
        </is>
      </c>
      <c r="C22" t="n">
        <v>3</v>
      </c>
      <c r="D22" t="n">
        <v>1</v>
      </c>
      <c r="E22" t="inlineStr">
        <is>
          <t>Input</t>
        </is>
      </c>
      <c r="F22" t="n">
        <v/>
      </c>
      <c r="G22" t="inlineStr">
        <is>
          <t>EPS</t>
        </is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FF000000</t>
        </is>
      </c>
      <c r="N22" t="inlineStr">
        <is>
          <t>00000000</t>
        </is>
      </c>
      <c r="O22" t="n">
        <v/>
      </c>
      <c r="R22" t="b">
        <v>1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Relative</t>
        </is>
      </c>
      <c r="B23" t="inlineStr">
        <is>
          <t>B3</t>
        </is>
      </c>
      <c r="C23" t="n">
        <v>3</v>
      </c>
      <c r="D23" t="n">
        <v>2</v>
      </c>
      <c r="E23" t="inlineStr">
        <is>
          <t>Calculation</t>
        </is>
      </c>
      <c r="F23" t="inlineStr">
        <is>
          <t>'='Financial Statements'!D17/Relative!$B$8</t>
        </is>
      </c>
      <c r="G23" t="n">
        <v>48.5053475935828</v>
      </c>
      <c r="H23" t="inlineStr"/>
      <c r="I23" t="inlineStr">
        <is>
          <t>0.0</t>
        </is>
      </c>
      <c r="J23" t="b">
        <v>0</v>
      </c>
      <c r="K23" t="b">
        <v>0</v>
      </c>
      <c r="L23" t="n">
        <v>11</v>
      </c>
      <c r="M23" t="inlineStr">
        <is>
          <t>FF000000</t>
        </is>
      </c>
      <c r="N23" t="inlineStr">
        <is>
          <t>00000000</t>
        </is>
      </c>
      <c r="O23" t="n">
        <v/>
      </c>
      <c r="R23" t="b">
        <v>1</v>
      </c>
      <c r="S23" t="inlineStr">
        <is>
          <t>G000173</t>
        </is>
      </c>
      <c r="T23" t="inlineStr">
        <is>
          <t>Horizontal</t>
        </is>
      </c>
      <c r="U23" t="n">
        <v>4</v>
      </c>
      <c r="V23" t="b">
        <v>1</v>
      </c>
      <c r="W23" t="inlineStr">
        <is>
          <t>Relative!B3:E3</t>
        </is>
      </c>
      <c r="X23">
        <f>'Financial Statements'!R[14]C[2]/R8C2</f>
        <v/>
      </c>
    </row>
    <row r="24">
      <c r="A24" t="inlineStr">
        <is>
          <t>Relative</t>
        </is>
      </c>
      <c r="B24" t="inlineStr">
        <is>
          <t>C3</t>
        </is>
      </c>
      <c r="C24" t="n">
        <v>3</v>
      </c>
      <c r="D24" t="n">
        <v>3</v>
      </c>
      <c r="E24" t="inlineStr">
        <is>
          <t>Calculation</t>
        </is>
      </c>
      <c r="F24" t="inlineStr">
        <is>
          <t>'='Financial Statements'!E17/Relative!$B$8</t>
        </is>
      </c>
      <c r="G24" t="n">
        <v>50.17759674807353</v>
      </c>
      <c r="H24" t="inlineStr"/>
      <c r="I24" t="inlineStr">
        <is>
          <t>0.0</t>
        </is>
      </c>
      <c r="J24" t="b">
        <v>0</v>
      </c>
      <c r="K24" t="b">
        <v>0</v>
      </c>
      <c r="L24" t="n">
        <v>11</v>
      </c>
      <c r="M24" t="inlineStr">
        <is>
          <t>FF000000</t>
        </is>
      </c>
      <c r="N24" t="inlineStr">
        <is>
          <t>00000000</t>
        </is>
      </c>
      <c r="O24" t="n">
        <v/>
      </c>
      <c r="R24" t="b">
        <v>1</v>
      </c>
      <c r="S24" t="inlineStr">
        <is>
          <t>G000173</t>
        </is>
      </c>
      <c r="T24" t="inlineStr">
        <is>
          <t>Horizontal</t>
        </is>
      </c>
      <c r="U24" t="n">
        <v>4</v>
      </c>
      <c r="V24" t="b">
        <v>1</v>
      </c>
      <c r="W24" t="inlineStr">
        <is>
          <t>Relative!B3:E3</t>
        </is>
      </c>
      <c r="X24">
        <f>'Financial Statements'!R[14]C[2]/R8C2</f>
        <v/>
      </c>
    </row>
    <row r="25">
      <c r="A25" t="inlineStr">
        <is>
          <t>Relative</t>
        </is>
      </c>
      <c r="B25" t="inlineStr">
        <is>
          <t>D3</t>
        </is>
      </c>
      <c r="C25" t="n">
        <v>3</v>
      </c>
      <c r="D25" t="n">
        <v>4</v>
      </c>
      <c r="E25" t="inlineStr">
        <is>
          <t>Output</t>
        </is>
      </c>
      <c r="F25" t="inlineStr">
        <is>
          <t>'='Financial Statements'!F17/Relative!$B$8</t>
        </is>
      </c>
      <c r="G25" t="n">
        <v>53.62165576411809</v>
      </c>
      <c r="H25" t="inlineStr"/>
      <c r="I25" t="inlineStr">
        <is>
          <t>0.0</t>
        </is>
      </c>
      <c r="J25" t="b">
        <v>0</v>
      </c>
      <c r="K25" t="b">
        <v>0</v>
      </c>
      <c r="L25" t="n">
        <v>11</v>
      </c>
      <c r="M25" t="inlineStr">
        <is>
          <t>FF000000</t>
        </is>
      </c>
      <c r="N25" t="inlineStr">
        <is>
          <t>00000000</t>
        </is>
      </c>
      <c r="O25" t="n">
        <v/>
      </c>
      <c r="R25" t="b">
        <v>1</v>
      </c>
      <c r="S25" t="inlineStr">
        <is>
          <t>G000173</t>
        </is>
      </c>
      <c r="T25" t="inlineStr">
        <is>
          <t>Horizontal</t>
        </is>
      </c>
      <c r="U25" t="n">
        <v>4</v>
      </c>
      <c r="V25" t="b">
        <v>1</v>
      </c>
      <c r="W25" t="inlineStr">
        <is>
          <t>Relative!B3:E3</t>
        </is>
      </c>
      <c r="X25">
        <f>'Financial Statements'!R[14]C[2]/R8C2</f>
        <v/>
      </c>
    </row>
    <row r="26">
      <c r="A26" t="inlineStr">
        <is>
          <t>Relative</t>
        </is>
      </c>
      <c r="B26" t="inlineStr">
        <is>
          <t>E3</t>
        </is>
      </c>
      <c r="C26" t="n">
        <v>3</v>
      </c>
      <c r="D26" t="n">
        <v>5</v>
      </c>
      <c r="E26" t="inlineStr">
        <is>
          <t>Output</t>
        </is>
      </c>
      <c r="F26" t="inlineStr">
        <is>
          <t>'='Financial Statements'!G17/Relative!$B$8</t>
        </is>
      </c>
      <c r="G26" t="n">
        <v>56.82511611650435</v>
      </c>
      <c r="H26" t="inlineStr"/>
      <c r="I26" t="inlineStr">
        <is>
          <t>0.0</t>
        </is>
      </c>
      <c r="J26" t="b">
        <v>0</v>
      </c>
      <c r="K26" t="b">
        <v>0</v>
      </c>
      <c r="L26" t="n">
        <v>11</v>
      </c>
      <c r="M26" t="inlineStr">
        <is>
          <t>FF000000</t>
        </is>
      </c>
      <c r="N26" t="inlineStr">
        <is>
          <t>00000000</t>
        </is>
      </c>
      <c r="O26" t="n">
        <v/>
      </c>
      <c r="R26" t="b">
        <v>1</v>
      </c>
      <c r="S26" t="inlineStr">
        <is>
          <t>G000173</t>
        </is>
      </c>
      <c r="T26" t="inlineStr">
        <is>
          <t>Horizontal</t>
        </is>
      </c>
      <c r="U26" t="n">
        <v>4</v>
      </c>
      <c r="V26" t="b">
        <v>1</v>
      </c>
      <c r="W26" t="inlineStr">
        <is>
          <t>Relative!B3:E3</t>
        </is>
      </c>
      <c r="X26">
        <f>'Financial Statements'!R[14]C[2]/R8C2</f>
        <v/>
      </c>
    </row>
    <row r="27">
      <c r="A27" t="inlineStr">
        <is>
          <t>Relative</t>
        </is>
      </c>
      <c r="B27" t="inlineStr">
        <is>
          <t>F3</t>
        </is>
      </c>
      <c r="C27" t="n">
        <v>3</v>
      </c>
      <c r="D27" t="n">
        <v>6</v>
      </c>
      <c r="E27" t="inlineStr">
        <is>
          <t>Input</t>
        </is>
      </c>
      <c r="F27" t="n">
        <v/>
      </c>
      <c r="G27" t="n">
        <v>80.90000000000001</v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FF000000</t>
        </is>
      </c>
      <c r="N27" t="inlineStr">
        <is>
          <t>00000000</t>
        </is>
      </c>
      <c r="O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Relative</t>
        </is>
      </c>
      <c r="B28" t="inlineStr">
        <is>
          <t>G3</t>
        </is>
      </c>
      <c r="C28" t="n">
        <v>3</v>
      </c>
      <c r="D28" t="n">
        <v>7</v>
      </c>
      <c r="E28" t="inlineStr">
        <is>
          <t>Input</t>
        </is>
      </c>
      <c r="F28" t="n">
        <v/>
      </c>
      <c r="G28" t="n">
        <v>104</v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FF000000</t>
        </is>
      </c>
      <c r="N28" t="inlineStr">
        <is>
          <t>00000000</t>
        </is>
      </c>
      <c r="O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Relative</t>
        </is>
      </c>
      <c r="B29" t="inlineStr">
        <is>
          <t>H3</t>
        </is>
      </c>
      <c r="C29" t="n">
        <v>3</v>
      </c>
      <c r="D29" t="n">
        <v>8</v>
      </c>
      <c r="E29" t="inlineStr">
        <is>
          <t>Input</t>
        </is>
      </c>
      <c r="F29" t="n">
        <v/>
      </c>
      <c r="G29" t="n">
        <v>137</v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FF000000</t>
        </is>
      </c>
      <c r="N29" t="inlineStr">
        <is>
          <t>00000000</t>
        </is>
      </c>
      <c r="O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Relative</t>
        </is>
      </c>
      <c r="B30" t="inlineStr">
        <is>
          <t>I3</t>
        </is>
      </c>
      <c r="C30" t="n">
        <v>3</v>
      </c>
      <c r="D30" t="n">
        <v>9</v>
      </c>
      <c r="E30" t="inlineStr">
        <is>
          <t>Input</t>
        </is>
      </c>
      <c r="F30" t="n">
        <v/>
      </c>
      <c r="G30" t="n">
        <v>171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FF000000</t>
        </is>
      </c>
      <c r="N30" t="inlineStr">
        <is>
          <t>00000000</t>
        </is>
      </c>
      <c r="O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Relative</t>
        </is>
      </c>
      <c r="B31" t="inlineStr">
        <is>
          <t>J3</t>
        </is>
      </c>
      <c r="C31" t="n">
        <v>3</v>
      </c>
      <c r="D31" t="n">
        <v>10</v>
      </c>
      <c r="E31" t="inlineStr">
        <is>
          <t>Input</t>
        </is>
      </c>
      <c r="F31" t="n">
        <v/>
      </c>
      <c r="G31" t="n">
        <v>6.29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FF000000</t>
        </is>
      </c>
      <c r="N31" t="inlineStr">
        <is>
          <t>00000000</t>
        </is>
      </c>
      <c r="O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Relative</t>
        </is>
      </c>
      <c r="B32" t="inlineStr">
        <is>
          <t>K3</t>
        </is>
      </c>
      <c r="C32" t="n">
        <v>3</v>
      </c>
      <c r="D32" t="n">
        <v>11</v>
      </c>
      <c r="E32" t="inlineStr">
        <is>
          <t>Input</t>
        </is>
      </c>
      <c r="F32" t="n">
        <v/>
      </c>
      <c r="G32" t="n">
        <v>6.84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FF000000</t>
        </is>
      </c>
      <c r="N32" t="inlineStr">
        <is>
          <t>00000000</t>
        </is>
      </c>
      <c r="O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Relative</t>
        </is>
      </c>
      <c r="B33" t="inlineStr">
        <is>
          <t>L3</t>
        </is>
      </c>
      <c r="C33" t="n">
        <v>3</v>
      </c>
      <c r="D33" t="n">
        <v>12</v>
      </c>
      <c r="E33" t="inlineStr">
        <is>
          <t>Input</t>
        </is>
      </c>
      <c r="F33" t="n">
        <v/>
      </c>
      <c r="G33" t="n">
        <v>8.15</v>
      </c>
      <c r="H33" t="inlineStr"/>
      <c r="I33" t="inlineStr">
        <is>
          <t>General</t>
        </is>
      </c>
      <c r="J33" t="b">
        <v>0</v>
      </c>
      <c r="K33" t="b">
        <v>0</v>
      </c>
      <c r="L33" t="n">
        <v>11</v>
      </c>
      <c r="M33" t="inlineStr">
        <is>
          <t>FF000000</t>
        </is>
      </c>
      <c r="N33" t="inlineStr">
        <is>
          <t>00000000</t>
        </is>
      </c>
      <c r="O33" t="n">
        <v/>
      </c>
      <c r="R33" t="b">
        <v>1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Relative</t>
        </is>
      </c>
      <c r="B34" t="inlineStr">
        <is>
          <t>M3</t>
        </is>
      </c>
      <c r="C34" t="n">
        <v>3</v>
      </c>
      <c r="D34" t="n">
        <v>13</v>
      </c>
      <c r="E34" t="inlineStr">
        <is>
          <t>Input</t>
        </is>
      </c>
      <c r="F34" t="n">
        <v/>
      </c>
      <c r="G34" t="n">
        <v>9.1</v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FF000000</t>
        </is>
      </c>
      <c r="N34" t="inlineStr">
        <is>
          <t>00000000</t>
        </is>
      </c>
      <c r="O34" t="n">
        <v/>
      </c>
      <c r="R34" t="b">
        <v>1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Relative</t>
        </is>
      </c>
      <c r="B35" t="inlineStr">
        <is>
          <t>N3</t>
        </is>
      </c>
      <c r="C35" t="n">
        <v>3</v>
      </c>
      <c r="D35" t="n">
        <v>14</v>
      </c>
      <c r="E35" t="inlineStr">
        <is>
          <t>Input</t>
        </is>
      </c>
      <c r="F35" t="n">
        <v/>
      </c>
      <c r="G35" t="n">
        <v>59.9</v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FF000000</t>
        </is>
      </c>
      <c r="N35" t="inlineStr">
        <is>
          <t>00000000</t>
        </is>
      </c>
      <c r="O35" t="n">
        <v/>
      </c>
      <c r="R35" t="b">
        <v>1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Relative</t>
        </is>
      </c>
      <c r="B36" t="inlineStr">
        <is>
          <t>O3</t>
        </is>
      </c>
      <c r="C36" t="n">
        <v>3</v>
      </c>
      <c r="D36" t="n">
        <v>15</v>
      </c>
      <c r="E36" t="inlineStr">
        <is>
          <t>Input</t>
        </is>
      </c>
      <c r="F36" t="n">
        <v/>
      </c>
      <c r="G36" t="n">
        <v>32.1</v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FF000000</t>
        </is>
      </c>
      <c r="N36" t="inlineStr">
        <is>
          <t>00000000</t>
        </is>
      </c>
      <c r="O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Relative</t>
        </is>
      </c>
      <c r="B37" t="inlineStr">
        <is>
          <t>P3</t>
        </is>
      </c>
      <c r="C37" t="n">
        <v>3</v>
      </c>
      <c r="D37" t="n">
        <v>16</v>
      </c>
      <c r="E37" t="inlineStr">
        <is>
          <t>Input</t>
        </is>
      </c>
      <c r="F37" t="n">
        <v/>
      </c>
      <c r="G37" t="n">
        <v>57.3</v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FF000000</t>
        </is>
      </c>
      <c r="N37" t="inlineStr">
        <is>
          <t>00000000</t>
        </is>
      </c>
      <c r="O37" t="n">
        <v/>
      </c>
      <c r="R37" t="b">
        <v>1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Relative</t>
        </is>
      </c>
      <c r="B38" t="inlineStr">
        <is>
          <t>Q3</t>
        </is>
      </c>
      <c r="C38" t="n">
        <v>3</v>
      </c>
      <c r="D38" t="n">
        <v>17</v>
      </c>
      <c r="E38" t="inlineStr">
        <is>
          <t>Input</t>
        </is>
      </c>
      <c r="F38" t="n">
        <v/>
      </c>
      <c r="G38" t="n">
        <v>58.9</v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FF000000</t>
        </is>
      </c>
      <c r="N38" t="inlineStr">
        <is>
          <t>00000000</t>
        </is>
      </c>
      <c r="O38" t="n">
        <v/>
      </c>
      <c r="R38" t="b">
        <v>1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Relative</t>
        </is>
      </c>
      <c r="B39" t="inlineStr">
        <is>
          <t>A4</t>
        </is>
      </c>
      <c r="C39" t="n">
        <v>4</v>
      </c>
      <c r="D39" t="n">
        <v>1</v>
      </c>
      <c r="E39" t="inlineStr">
        <is>
          <t>Input</t>
        </is>
      </c>
      <c r="F39" t="n">
        <v/>
      </c>
      <c r="G39" t="inlineStr">
        <is>
          <t>Sales</t>
        </is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FF000000</t>
        </is>
      </c>
      <c r="N39" t="inlineStr">
        <is>
          <t>00000000</t>
        </is>
      </c>
      <c r="O39" t="n">
        <v/>
      </c>
      <c r="R39" t="b">
        <v>1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Relative</t>
        </is>
      </c>
      <c r="B40" t="inlineStr">
        <is>
          <t>B4</t>
        </is>
      </c>
      <c r="C40" t="n">
        <v>4</v>
      </c>
      <c r="D40" t="n">
        <v>2</v>
      </c>
      <c r="E40" t="inlineStr">
        <is>
          <t>Calculation</t>
        </is>
      </c>
      <c r="F40" t="inlineStr">
        <is>
          <t>'='Financial Statements'!D2</t>
        </is>
      </c>
      <c r="G40" t="n">
        <v>13413.58</v>
      </c>
      <c r="H40" t="inlineStr"/>
      <c r="I40" t="inlineStr">
        <is>
          <t>_-* #,##0_-;\-* #,##0_-;_-* "-"??_-;_-@_-</t>
        </is>
      </c>
      <c r="J40" t="b">
        <v>0</v>
      </c>
      <c r="K40" t="b">
        <v>0</v>
      </c>
      <c r="L40" t="n">
        <v>11</v>
      </c>
      <c r="M40" t="inlineStr">
        <is>
          <t>FF000000</t>
        </is>
      </c>
      <c r="N40" t="inlineStr">
        <is>
          <t>00000000</t>
        </is>
      </c>
      <c r="O40" t="n">
        <v/>
      </c>
      <c r="R40" t="b">
        <v>1</v>
      </c>
      <c r="S40" t="inlineStr">
        <is>
          <t>G000174</t>
        </is>
      </c>
      <c r="T40" t="inlineStr">
        <is>
          <t>Horizontal</t>
        </is>
      </c>
      <c r="U40" t="n">
        <v>4</v>
      </c>
      <c r="V40" t="b">
        <v>1</v>
      </c>
      <c r="W40" t="inlineStr">
        <is>
          <t>Relative!B4:E4</t>
        </is>
      </c>
      <c r="X40">
        <f>'Financial Statements'!R[-2]C[2]</f>
        <v/>
      </c>
    </row>
    <row r="41">
      <c r="A41" t="inlineStr">
        <is>
          <t>Relative</t>
        </is>
      </c>
      <c r="B41" t="inlineStr">
        <is>
          <t>C4</t>
        </is>
      </c>
      <c r="C41" t="n">
        <v>4</v>
      </c>
      <c r="D41" t="n">
        <v>3</v>
      </c>
      <c r="E41" t="inlineStr">
        <is>
          <t>Calculation</t>
        </is>
      </c>
      <c r="F41" t="inlineStr">
        <is>
          <t>'='Financial Statements'!E2</t>
        </is>
      </c>
      <c r="G41" t="n">
        <v>14440.82251898734</v>
      </c>
      <c r="H41" t="inlineStr"/>
      <c r="I41" t="inlineStr">
        <is>
          <t>_-* #,##0_-;\-* #,##0_-;_-* "-"??_-;_-@_-</t>
        </is>
      </c>
      <c r="J41" t="b">
        <v>0</v>
      </c>
      <c r="K41" t="b">
        <v>0</v>
      </c>
      <c r="L41" t="n">
        <v>11</v>
      </c>
      <c r="M41" t="inlineStr">
        <is>
          <t>FF000000</t>
        </is>
      </c>
      <c r="N41" t="inlineStr">
        <is>
          <t>00000000</t>
        </is>
      </c>
      <c r="O41" t="n">
        <v/>
      </c>
      <c r="R41" t="b">
        <v>1</v>
      </c>
      <c r="S41" t="inlineStr">
        <is>
          <t>G000174</t>
        </is>
      </c>
      <c r="T41" t="inlineStr">
        <is>
          <t>Horizontal</t>
        </is>
      </c>
      <c r="U41" t="n">
        <v>4</v>
      </c>
      <c r="V41" t="b">
        <v>1</v>
      </c>
      <c r="W41" t="inlineStr">
        <is>
          <t>Relative!B4:E4</t>
        </is>
      </c>
      <c r="X41">
        <f>'Financial Statements'!R[-2]C[2]</f>
        <v/>
      </c>
    </row>
    <row r="42">
      <c r="A42" t="inlineStr">
        <is>
          <t>Relative</t>
        </is>
      </c>
      <c r="B42" t="inlineStr">
        <is>
          <t>D4</t>
        </is>
      </c>
      <c r="C42" t="n">
        <v>4</v>
      </c>
      <c r="D42" t="n">
        <v>4</v>
      </c>
      <c r="E42" t="inlineStr">
        <is>
          <t>Output</t>
        </is>
      </c>
      <c r="F42" t="inlineStr">
        <is>
          <t>'='Financial Statements'!F2</t>
        </is>
      </c>
      <c r="G42" t="n">
        <v>15537.25533987342</v>
      </c>
      <c r="H42" t="inlineStr"/>
      <c r="I42" t="inlineStr">
        <is>
          <t>_-* #,##0_-;\-* #,##0_-;_-* "-"??_-;_-@_-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R42" t="b">
        <v>1</v>
      </c>
      <c r="S42" t="inlineStr">
        <is>
          <t>G000174</t>
        </is>
      </c>
      <c r="T42" t="inlineStr">
        <is>
          <t>Horizontal</t>
        </is>
      </c>
      <c r="U42" t="n">
        <v>4</v>
      </c>
      <c r="V42" t="b">
        <v>1</v>
      </c>
      <c r="W42" t="inlineStr">
        <is>
          <t>Relative!B4:E4</t>
        </is>
      </c>
      <c r="X42">
        <f>'Financial Statements'!R[-2]C[2]</f>
        <v/>
      </c>
    </row>
    <row r="43">
      <c r="A43" t="inlineStr">
        <is>
          <t>Relative</t>
        </is>
      </c>
      <c r="B43" t="inlineStr">
        <is>
          <t>E4</t>
        </is>
      </c>
      <c r="C43" t="n">
        <v>4</v>
      </c>
      <c r="D43" t="n">
        <v>5</v>
      </c>
      <c r="E43" t="inlineStr">
        <is>
          <t>Calculation</t>
        </is>
      </c>
      <c r="F43" t="inlineStr">
        <is>
          <t>'='Financial Statements'!G2</t>
        </is>
      </c>
      <c r="G43" t="n">
        <v>16707.22938655064</v>
      </c>
      <c r="H43" t="inlineStr"/>
      <c r="I43" t="inlineStr">
        <is>
          <t>_-* #,##0_-;\-* #,##0_-;_-* "-"??_-;_-@_-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R43" t="b">
        <v>1</v>
      </c>
      <c r="S43" t="inlineStr">
        <is>
          <t>G000174</t>
        </is>
      </c>
      <c r="T43" t="inlineStr">
        <is>
          <t>Horizontal</t>
        </is>
      </c>
      <c r="U43" t="n">
        <v>4</v>
      </c>
      <c r="V43" t="b">
        <v>1</v>
      </c>
      <c r="W43" t="inlineStr">
        <is>
          <t>Relative!B4:E4</t>
        </is>
      </c>
      <c r="X43">
        <f>'Financial Statements'!R[-2]C[2]</f>
        <v/>
      </c>
    </row>
    <row r="44">
      <c r="A44" t="inlineStr">
        <is>
          <t>Relative</t>
        </is>
      </c>
      <c r="B44" t="inlineStr">
        <is>
          <t>F4</t>
        </is>
      </c>
      <c r="C44" t="n">
        <v>4</v>
      </c>
      <c r="D44" t="n">
        <v>6</v>
      </c>
      <c r="E44" t="inlineStr">
        <is>
          <t>Input</t>
        </is>
      </c>
      <c r="F44" t="n">
        <v/>
      </c>
      <c r="G44" t="n">
        <v>32304.6</v>
      </c>
      <c r="H44" t="inlineStr"/>
      <c r="I44" t="inlineStr">
        <is>
          <t>_-* #,##0_-;\-* #,##0_-;_-* "-"??_-;_-@_-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Relative</t>
        </is>
      </c>
      <c r="B45" t="inlineStr">
        <is>
          <t>G4</t>
        </is>
      </c>
      <c r="C45" t="n">
        <v>4</v>
      </c>
      <c r="D45" t="n">
        <v>7</v>
      </c>
      <c r="E45" t="inlineStr">
        <is>
          <t>Input</t>
        </is>
      </c>
      <c r="F45" t="n">
        <v/>
      </c>
      <c r="G45" t="n">
        <v>36502.9</v>
      </c>
      <c r="H45" t="inlineStr"/>
      <c r="I45" t="inlineStr">
        <is>
          <t>_-* #,##0_-;\-* #,##0_-;_-* "-"??_-;_-@_-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Relative</t>
        </is>
      </c>
      <c r="B46" t="inlineStr">
        <is>
          <t>H4</t>
        </is>
      </c>
      <c r="C46" t="n">
        <v>4</v>
      </c>
      <c r="D46" t="n">
        <v>8</v>
      </c>
      <c r="E46" t="inlineStr">
        <is>
          <t>Input</t>
        </is>
      </c>
      <c r="F46" t="n">
        <v/>
      </c>
      <c r="G46" t="n">
        <v>42844.3</v>
      </c>
      <c r="H46" t="inlineStr"/>
      <c r="I46" t="inlineStr">
        <is>
          <t>_-* #,##0_-;\-* #,##0_-;_-* "-"??_-;_-@_-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Relative</t>
        </is>
      </c>
      <c r="B47" t="inlineStr">
        <is>
          <t>I4</t>
        </is>
      </c>
      <c r="C47" t="n">
        <v>4</v>
      </c>
      <c r="D47" t="n">
        <v>9</v>
      </c>
      <c r="E47" t="inlineStr">
        <is>
          <t>Input</t>
        </is>
      </c>
      <c r="F47" t="n">
        <v/>
      </c>
      <c r="G47" t="n">
        <v>47414.1</v>
      </c>
      <c r="H47" t="inlineStr"/>
      <c r="I47" t="inlineStr">
        <is>
          <t>_-* #,##0_-;\-* #,##0_-;_-* "-"??_-;_-@_-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Relative</t>
        </is>
      </c>
      <c r="B48" t="inlineStr">
        <is>
          <t>J4</t>
        </is>
      </c>
      <c r="C48" t="n">
        <v>4</v>
      </c>
      <c r="D48" t="n">
        <v>10</v>
      </c>
      <c r="E48" t="inlineStr">
        <is>
          <t>Input</t>
        </is>
      </c>
      <c r="F48" t="n">
        <v/>
      </c>
      <c r="G48" t="n">
        <v>10446.9</v>
      </c>
      <c r="H48" t="inlineStr"/>
      <c r="I48" t="inlineStr">
        <is>
          <t>_-* #,##0_-;\-* #,##0_-;_-* "-"??_-;_-@_-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Relative</t>
        </is>
      </c>
      <c r="B49" t="inlineStr">
        <is>
          <t>K4</t>
        </is>
      </c>
      <c r="C49" t="n">
        <v>4</v>
      </c>
      <c r="D49" t="n">
        <v>11</v>
      </c>
      <c r="E49" t="inlineStr">
        <is>
          <t>Input</t>
        </is>
      </c>
      <c r="F49" t="n">
        <v/>
      </c>
      <c r="G49" t="n">
        <v>11454.7</v>
      </c>
      <c r="H49" t="inlineStr"/>
      <c r="I49" t="inlineStr">
        <is>
          <t>_-* #,##0_-;\-* #,##0_-;_-* "-"??_-;_-@_-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Relative</t>
        </is>
      </c>
      <c r="B50" t="inlineStr">
        <is>
          <t>L4</t>
        </is>
      </c>
      <c r="C50" t="n">
        <v>4</v>
      </c>
      <c r="D50" t="n">
        <v>12</v>
      </c>
      <c r="E50" t="inlineStr">
        <is>
          <t>Input</t>
        </is>
      </c>
      <c r="F50" t="n">
        <v/>
      </c>
      <c r="G50" t="n">
        <v>12499.4</v>
      </c>
      <c r="H50" t="inlineStr"/>
      <c r="I50" t="inlineStr">
        <is>
          <t>_-* #,##0_-;\-* #,##0_-;_-* "-"??_-;_-@_-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Relative</t>
        </is>
      </c>
      <c r="B51" t="inlineStr">
        <is>
          <t>M4</t>
        </is>
      </c>
      <c r="C51" t="n">
        <v>4</v>
      </c>
      <c r="D51" t="n">
        <v>13</v>
      </c>
      <c r="E51" t="inlineStr">
        <is>
          <t>Input</t>
        </is>
      </c>
      <c r="F51" t="n">
        <v/>
      </c>
      <c r="G51" t="n">
        <v>13725.6</v>
      </c>
      <c r="H51" t="inlineStr"/>
      <c r="I51" t="inlineStr">
        <is>
          <t>_-* #,##0_-;\-* #,##0_-;_-* "-"??_-;_-@_-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Relative</t>
        </is>
      </c>
      <c r="B52" t="inlineStr">
        <is>
          <t>N4</t>
        </is>
      </c>
      <c r="C52" t="n">
        <v>4</v>
      </c>
      <c r="D52" t="n">
        <v>14</v>
      </c>
      <c r="E52" t="inlineStr">
        <is>
          <t>Input</t>
        </is>
      </c>
      <c r="F52" t="n">
        <v/>
      </c>
      <c r="G52" t="n">
        <v>8608.799999999999</v>
      </c>
      <c r="H52" t="inlineStr"/>
      <c r="I52" t="inlineStr">
        <is>
          <t>_-* #,##0_-;\-* #,##0_-;_-* "-"??_-;_-@_-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Relative</t>
        </is>
      </c>
      <c r="B53" t="inlineStr">
        <is>
          <t>O4</t>
        </is>
      </c>
      <c r="C53" t="n">
        <v>4</v>
      </c>
      <c r="D53" t="n">
        <v>15</v>
      </c>
      <c r="E53" t="inlineStr">
        <is>
          <t>Input</t>
        </is>
      </c>
      <c r="F53" t="n">
        <v/>
      </c>
      <c r="G53" t="n">
        <v>9801</v>
      </c>
      <c r="H53" t="inlineStr"/>
      <c r="I53" t="inlineStr">
        <is>
          <t>_-* #,##0_-;\-* #,##0_-;_-* "-"??_-;_-@_-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Relative</t>
        </is>
      </c>
      <c r="B54" t="inlineStr">
        <is>
          <t>P4</t>
        </is>
      </c>
      <c r="C54" t="n">
        <v>4</v>
      </c>
      <c r="D54" t="n">
        <v>16</v>
      </c>
      <c r="E54" t="inlineStr">
        <is>
          <t>Input</t>
        </is>
      </c>
      <c r="F54" t="n">
        <v/>
      </c>
      <c r="G54" t="n">
        <v>11238</v>
      </c>
      <c r="H54" t="inlineStr"/>
      <c r="I54" t="inlineStr">
        <is>
          <t>_-* #,##0_-;\-* #,##0_-;_-* "-"??_-;_-@_-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Relative</t>
        </is>
      </c>
      <c r="B55" t="inlineStr">
        <is>
          <t>Q4</t>
        </is>
      </c>
      <c r="C55" t="n">
        <v>4</v>
      </c>
      <c r="D55" t="n">
        <v>17</v>
      </c>
      <c r="E55" t="inlineStr">
        <is>
          <t>Input</t>
        </is>
      </c>
      <c r="F55" t="n">
        <v/>
      </c>
      <c r="G55" t="n">
        <v>12870.2</v>
      </c>
      <c r="H55" t="inlineStr"/>
      <c r="I55" t="inlineStr">
        <is>
          <t>_-* #,##0_-;\-* #,##0_-;_-* "-"??_-;_-@_-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Relative</t>
        </is>
      </c>
      <c r="B56" t="inlineStr">
        <is>
          <t>A5</t>
        </is>
      </c>
      <c r="C56" t="n">
        <v>5</v>
      </c>
      <c r="D56" t="n">
        <v>1</v>
      </c>
      <c r="E56" t="inlineStr">
        <is>
          <t>Input</t>
        </is>
      </c>
      <c r="F56" t="n">
        <v/>
      </c>
      <c r="G56" t="inlineStr">
        <is>
          <t>EBITDA</t>
        </is>
      </c>
      <c r="H56" t="inlineStr"/>
      <c r="I56" t="inlineStr">
        <is>
          <t>General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Relative</t>
        </is>
      </c>
      <c r="B57" t="inlineStr">
        <is>
          <t>B5</t>
        </is>
      </c>
      <c r="C57" t="n">
        <v>5</v>
      </c>
      <c r="D57" t="n">
        <v>2</v>
      </c>
      <c r="E57" t="inlineStr">
        <is>
          <t>Calculation</t>
        </is>
      </c>
      <c r="F57" t="inlineStr">
        <is>
          <t>'='Financial Statements'!D10</t>
        </is>
      </c>
      <c r="G57" t="n">
        <v>2034.749999999998</v>
      </c>
      <c r="H57" t="inlineStr"/>
      <c r="I57" t="inlineStr">
        <is>
          <t>#,##0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R57" t="b">
        <v>1</v>
      </c>
      <c r="S57" t="inlineStr">
        <is>
          <t>G000175</t>
        </is>
      </c>
      <c r="T57" t="inlineStr">
        <is>
          <t>Horizontal</t>
        </is>
      </c>
      <c r="U57" t="n">
        <v>4</v>
      </c>
      <c r="V57" t="b">
        <v>1</v>
      </c>
      <c r="W57" t="inlineStr">
        <is>
          <t>Relative!B5:E5</t>
        </is>
      </c>
      <c r="X57">
        <f>'Financial Statements'!R[5]C[2]</f>
        <v/>
      </c>
    </row>
    <row r="58">
      <c r="A58" t="inlineStr">
        <is>
          <t>Relative</t>
        </is>
      </c>
      <c r="B58" t="inlineStr">
        <is>
          <t>C5</t>
        </is>
      </c>
      <c r="C58" t="n">
        <v>5</v>
      </c>
      <c r="D58" t="n">
        <v>3</v>
      </c>
      <c r="E58" t="inlineStr">
        <is>
          <t>Calculation</t>
        </is>
      </c>
      <c r="F58" t="inlineStr">
        <is>
          <t>'='Financial Statements'!E10</t>
        </is>
      </c>
      <c r="G58" t="n">
        <v>1973.96345335443</v>
      </c>
      <c r="H58" t="inlineStr"/>
      <c r="I58" t="inlineStr">
        <is>
          <t>#,##0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R58" t="b">
        <v>1</v>
      </c>
      <c r="S58" t="inlineStr">
        <is>
          <t>G000175</t>
        </is>
      </c>
      <c r="T58" t="inlineStr">
        <is>
          <t>Horizontal</t>
        </is>
      </c>
      <c r="U58" t="n">
        <v>4</v>
      </c>
      <c r="V58" t="b">
        <v>1</v>
      </c>
      <c r="W58" t="inlineStr">
        <is>
          <t>Relative!B5:E5</t>
        </is>
      </c>
      <c r="X58">
        <f>'Financial Statements'!R[5]C[2]</f>
        <v/>
      </c>
    </row>
    <row r="59">
      <c r="A59" t="inlineStr">
        <is>
          <t>Relative</t>
        </is>
      </c>
      <c r="B59" t="inlineStr">
        <is>
          <t>D5</t>
        </is>
      </c>
      <c r="C59" t="n">
        <v>5</v>
      </c>
      <c r="D59" t="n">
        <v>4</v>
      </c>
      <c r="E59" t="inlineStr">
        <is>
          <t>Output</t>
        </is>
      </c>
      <c r="F59" t="inlineStr">
        <is>
          <t>'='Financial Statements'!F10</t>
        </is>
      </c>
      <c r="G59" t="n">
        <v>2046.152179594937</v>
      </c>
      <c r="H59" t="inlineStr"/>
      <c r="I59" t="inlineStr">
        <is>
          <t>#,##0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R59" t="b">
        <v>1</v>
      </c>
      <c r="S59" t="inlineStr">
        <is>
          <t>G000175</t>
        </is>
      </c>
      <c r="T59" t="inlineStr">
        <is>
          <t>Horizontal</t>
        </is>
      </c>
      <c r="U59" t="n">
        <v>4</v>
      </c>
      <c r="V59" t="b">
        <v>1</v>
      </c>
      <c r="W59" t="inlineStr">
        <is>
          <t>Relative!B5:E5</t>
        </is>
      </c>
      <c r="X59">
        <f>'Financial Statements'!R[5]C[2]</f>
        <v/>
      </c>
    </row>
    <row r="60">
      <c r="A60" t="inlineStr">
        <is>
          <t>Relative</t>
        </is>
      </c>
      <c r="B60" t="inlineStr">
        <is>
          <t>E5</t>
        </is>
      </c>
      <c r="C60" t="n">
        <v>5</v>
      </c>
      <c r="D60" t="n">
        <v>5</v>
      </c>
      <c r="E60" t="inlineStr">
        <is>
          <t>Output</t>
        </is>
      </c>
      <c r="F60" t="inlineStr">
        <is>
          <t>'='Financial Statements'!G10</t>
        </is>
      </c>
      <c r="G60" t="n">
        <v>2116.693757029272</v>
      </c>
      <c r="H60" t="inlineStr"/>
      <c r="I60" t="inlineStr">
        <is>
          <t>#,##0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R60" t="b">
        <v>1</v>
      </c>
      <c r="S60" t="inlineStr">
        <is>
          <t>G000175</t>
        </is>
      </c>
      <c r="T60" t="inlineStr">
        <is>
          <t>Horizontal</t>
        </is>
      </c>
      <c r="U60" t="n">
        <v>4</v>
      </c>
      <c r="V60" t="b">
        <v>1</v>
      </c>
      <c r="W60" t="inlineStr">
        <is>
          <t>Relative!B5:E5</t>
        </is>
      </c>
      <c r="X60">
        <f>'Financial Statements'!R[5]C[2]</f>
        <v/>
      </c>
    </row>
    <row r="61">
      <c r="A61" t="inlineStr">
        <is>
          <t>Relative</t>
        </is>
      </c>
      <c r="B61" t="inlineStr">
        <is>
          <t>F5</t>
        </is>
      </c>
      <c r="C61" t="n">
        <v>5</v>
      </c>
      <c r="D61" t="n">
        <v>6</v>
      </c>
      <c r="E61" t="inlineStr">
        <is>
          <t>Input</t>
        </is>
      </c>
      <c r="F61" t="n">
        <v/>
      </c>
      <c r="G61" t="n">
        <v>6145.2</v>
      </c>
      <c r="H61" t="inlineStr"/>
      <c r="I61" t="inlineStr">
        <is>
          <t>_-* #,##0_-;\-* #,##0_-;_-* "-"??_-;_-@_-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R61" t="b">
        <v>1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Relative</t>
        </is>
      </c>
      <c r="B62" t="inlineStr">
        <is>
          <t>G5</t>
        </is>
      </c>
      <c r="C62" t="n">
        <v>5</v>
      </c>
      <c r="D62" t="n">
        <v>7</v>
      </c>
      <c r="E62" t="inlineStr">
        <is>
          <t>Input</t>
        </is>
      </c>
      <c r="F62" t="n">
        <v/>
      </c>
      <c r="G62" t="n">
        <v>6794.3</v>
      </c>
      <c r="H62" t="inlineStr"/>
      <c r="I62" t="inlineStr">
        <is>
          <t>_-* #,##0_-;\-* #,##0_-;_-* "-"??_-;_-@_-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Relative</t>
        </is>
      </c>
      <c r="B63" t="inlineStr">
        <is>
          <t>H5</t>
        </is>
      </c>
      <c r="C63" t="n">
        <v>5</v>
      </c>
      <c r="D63" t="n">
        <v>8</v>
      </c>
      <c r="E63" t="inlineStr">
        <is>
          <t>Input</t>
        </is>
      </c>
      <c r="F63" t="n">
        <v/>
      </c>
      <c r="G63" t="n">
        <v>8412.200000000001</v>
      </c>
      <c r="H63" t="inlineStr"/>
      <c r="I63" t="inlineStr">
        <is>
          <t>_-* #,##0_-;\-* #,##0_-;_-* "-"??_-;_-@_-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Relative</t>
        </is>
      </c>
      <c r="B64" t="inlineStr">
        <is>
          <t>I5</t>
        </is>
      </c>
      <c r="C64" t="n">
        <v>5</v>
      </c>
      <c r="D64" t="n">
        <v>9</v>
      </c>
      <c r="E64" t="inlineStr">
        <is>
          <t>Input</t>
        </is>
      </c>
      <c r="F64" t="n">
        <v/>
      </c>
      <c r="G64" t="n">
        <v>9651.1</v>
      </c>
      <c r="H64" t="inlineStr"/>
      <c r="I64" t="inlineStr">
        <is>
          <t>_-* #,##0_-;\-* #,##0_-;_-* "-"??_-;_-@_-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Relative</t>
        </is>
      </c>
      <c r="B65" t="inlineStr">
        <is>
          <t>J5</t>
        </is>
      </c>
      <c r="C65" t="n">
        <v>5</v>
      </c>
      <c r="D65" t="n">
        <v>10</v>
      </c>
      <c r="E65" t="inlineStr">
        <is>
          <t>Input</t>
        </is>
      </c>
      <c r="F65" t="n">
        <v/>
      </c>
      <c r="G65" t="n">
        <v>1940.1</v>
      </c>
      <c r="H65" t="inlineStr"/>
      <c r="I65" t="inlineStr">
        <is>
          <t>_-* #,##0_-;\-* #,##0_-;_-* "-"??_-;_-@_-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Relative</t>
        </is>
      </c>
      <c r="B66" t="inlineStr">
        <is>
          <t>K5</t>
        </is>
      </c>
      <c r="C66" t="n">
        <v>5</v>
      </c>
      <c r="D66" t="n">
        <v>11</v>
      </c>
      <c r="E66" t="inlineStr">
        <is>
          <t>Input</t>
        </is>
      </c>
      <c r="F66" t="n">
        <v/>
      </c>
      <c r="G66" t="n">
        <v>2104.5</v>
      </c>
      <c r="H66" t="inlineStr"/>
      <c r="I66" t="inlineStr">
        <is>
          <t>_-* #,##0_-;\-* #,##0_-;_-* "-"??_-;_-@_-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Relative</t>
        </is>
      </c>
      <c r="B67" t="inlineStr">
        <is>
          <t>L5</t>
        </is>
      </c>
      <c r="C67" t="n">
        <v>5</v>
      </c>
      <c r="D67" t="n">
        <v>12</v>
      </c>
      <c r="E67" t="inlineStr">
        <is>
          <t>Input</t>
        </is>
      </c>
      <c r="F67" t="n">
        <v/>
      </c>
      <c r="G67" t="n">
        <v>2439.1</v>
      </c>
      <c r="H67" t="inlineStr"/>
      <c r="I67" t="inlineStr">
        <is>
          <t>_-* #,##0_-;\-* #,##0_-;_-* "-"??_-;_-@_-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Relative</t>
        </is>
      </c>
      <c r="B68" t="inlineStr">
        <is>
          <t>M5</t>
        </is>
      </c>
      <c r="C68" t="n">
        <v>5</v>
      </c>
      <c r="D68" t="n">
        <v>13</v>
      </c>
      <c r="E68" t="inlineStr">
        <is>
          <t>Input</t>
        </is>
      </c>
      <c r="F68" t="n">
        <v/>
      </c>
      <c r="G68" t="n">
        <v>2746.9</v>
      </c>
      <c r="H68" t="inlineStr"/>
      <c r="I68" t="inlineStr">
        <is>
          <t>_-* #,##0_-;\-* #,##0_-;_-* "-"??_-;_-@_-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Relative</t>
        </is>
      </c>
      <c r="B69" t="inlineStr">
        <is>
          <t>N5</t>
        </is>
      </c>
      <c r="C69" t="n">
        <v>5</v>
      </c>
      <c r="D69" t="n">
        <v>14</v>
      </c>
      <c r="E69" t="inlineStr">
        <is>
          <t>Input</t>
        </is>
      </c>
      <c r="F69" t="n">
        <v/>
      </c>
      <c r="G69" t="n">
        <v>2026.4</v>
      </c>
      <c r="H69" t="inlineStr"/>
      <c r="I69" t="inlineStr">
        <is>
          <t>_-* #,##0_-;\-* #,##0_-;_-* "-"??_-;_-@_-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Relative</t>
        </is>
      </c>
      <c r="B70" t="inlineStr">
        <is>
          <t>O5</t>
        </is>
      </c>
      <c r="C70" t="n">
        <v>5</v>
      </c>
      <c r="D70" t="n">
        <v>15</v>
      </c>
      <c r="E70" t="inlineStr">
        <is>
          <t>Input</t>
        </is>
      </c>
      <c r="F70" t="n">
        <v/>
      </c>
      <c r="G70" t="n">
        <v>2122.8</v>
      </c>
      <c r="H70" t="inlineStr"/>
      <c r="I70" t="inlineStr">
        <is>
          <t>_-* #,##0_-;\-* #,##0_-;_-* "-"??_-;_-@_-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Relative</t>
        </is>
      </c>
      <c r="B71" t="inlineStr">
        <is>
          <t>P5</t>
        </is>
      </c>
      <c r="C71" t="n">
        <v>5</v>
      </c>
      <c r="D71" t="n">
        <v>16</v>
      </c>
      <c r="E71" t="inlineStr">
        <is>
          <t>Input</t>
        </is>
      </c>
      <c r="F71" t="n">
        <v/>
      </c>
      <c r="G71" t="n">
        <v>2520.7</v>
      </c>
      <c r="H71" t="inlineStr"/>
      <c r="I71" t="inlineStr">
        <is>
          <t>_-* #,##0_-;\-* #,##0_-;_-* "-"??_-;_-@_-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Relative</t>
        </is>
      </c>
      <c r="B72" t="inlineStr">
        <is>
          <t>Q5</t>
        </is>
      </c>
      <c r="C72" t="n">
        <v>5</v>
      </c>
      <c r="D72" t="n">
        <v>17</v>
      </c>
      <c r="E72" t="inlineStr">
        <is>
          <t>Input</t>
        </is>
      </c>
      <c r="F72" t="n">
        <v/>
      </c>
      <c r="G72" t="n">
        <v>2851.9</v>
      </c>
      <c r="H72" t="inlineStr"/>
      <c r="I72" t="inlineStr">
        <is>
          <t>_-* #,##0_-;\-* #,##0_-;_-* "-"??_-;_-@_-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Relative</t>
        </is>
      </c>
      <c r="B73" t="inlineStr">
        <is>
          <t>A6</t>
        </is>
      </c>
      <c r="C73" t="n">
        <v>6</v>
      </c>
      <c r="D73" t="n">
        <v>1</v>
      </c>
      <c r="E73" t="inlineStr">
        <is>
          <t>Input</t>
        </is>
      </c>
      <c r="F73" t="n">
        <v/>
      </c>
      <c r="G73" t="inlineStr">
        <is>
          <t>Debt</t>
        </is>
      </c>
      <c r="H73" t="inlineStr"/>
      <c r="I73" t="inlineStr">
        <is>
          <t>General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Relative</t>
        </is>
      </c>
      <c r="B74" t="inlineStr">
        <is>
          <t>B6</t>
        </is>
      </c>
      <c r="C74" t="n">
        <v>6</v>
      </c>
      <c r="D74" t="n">
        <v>2</v>
      </c>
      <c r="E74" t="inlineStr">
        <is>
          <t>Input</t>
        </is>
      </c>
      <c r="F74" t="n">
        <v/>
      </c>
      <c r="G74" t="n">
        <v>0</v>
      </c>
      <c r="H74" t="inlineStr"/>
      <c r="I74" t="inlineStr">
        <is>
          <t>General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Relative</t>
        </is>
      </c>
      <c r="B75" t="inlineStr">
        <is>
          <t>F6</t>
        </is>
      </c>
      <c r="C75" t="n">
        <v>6</v>
      </c>
      <c r="D75" t="n">
        <v>6</v>
      </c>
      <c r="E75" t="inlineStr">
        <is>
          <t>Calculation</t>
        </is>
      </c>
      <c r="F75" t="inlineStr">
        <is>
          <t>'=15863+2763</t>
        </is>
      </c>
      <c r="G75" t="n">
        <v>18626</v>
      </c>
      <c r="H75" t="inlineStr"/>
      <c r="I75" t="inlineStr">
        <is>
          <t>_-* #,##0_-;\-* #,##0_-;_-* "-"??_-;_-@_-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>
        <f>15863+2763</f>
        <v/>
      </c>
    </row>
    <row r="76">
      <c r="A76" t="inlineStr">
        <is>
          <t>Relative</t>
        </is>
      </c>
      <c r="B76" t="inlineStr">
        <is>
          <t>G6</t>
        </is>
      </c>
      <c r="C76" t="n">
        <v>6</v>
      </c>
      <c r="D76" t="n">
        <v>7</v>
      </c>
      <c r="E76" t="inlineStr">
        <is>
          <t>Input</t>
        </is>
      </c>
      <c r="F76" t="n">
        <v/>
      </c>
      <c r="H76" t="inlineStr"/>
      <c r="I76" t="inlineStr">
        <is>
          <t>_-* #,##0_-;\-* #,##0_-;_-* "-"??_-;_-@_-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R76" t="b">
        <v>0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Relative</t>
        </is>
      </c>
      <c r="B77" t="inlineStr">
        <is>
          <t>H6</t>
        </is>
      </c>
      <c r="C77" t="n">
        <v>6</v>
      </c>
      <c r="D77" t="n">
        <v>8</v>
      </c>
      <c r="E77" t="inlineStr">
        <is>
          <t>Input</t>
        </is>
      </c>
      <c r="F77" t="n">
        <v/>
      </c>
      <c r="H77" t="inlineStr"/>
      <c r="I77" t="inlineStr">
        <is>
          <t>_-* #,##0_-;\-* #,##0_-;_-* "-"??_-;_-@_-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R77" t="b">
        <v>0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Relative</t>
        </is>
      </c>
      <c r="B78" t="inlineStr">
        <is>
          <t>I6</t>
        </is>
      </c>
      <c r="C78" t="n">
        <v>6</v>
      </c>
      <c r="D78" t="n">
        <v>9</v>
      </c>
      <c r="E78" t="inlineStr">
        <is>
          <t>Input</t>
        </is>
      </c>
      <c r="F78" t="n">
        <v/>
      </c>
      <c r="H78" t="inlineStr"/>
      <c r="I78" t="inlineStr">
        <is>
          <t>_-* #,##0_-;\-* #,##0_-;_-* "-"??_-;_-@_-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R78" t="b">
        <v>0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Relative</t>
        </is>
      </c>
      <c r="B79" t="inlineStr">
        <is>
          <t>J6</t>
        </is>
      </c>
      <c r="C79" t="n">
        <v>6</v>
      </c>
      <c r="D79" t="n">
        <v>10</v>
      </c>
      <c r="E79" t="inlineStr">
        <is>
          <t>Input</t>
        </is>
      </c>
      <c r="F79" t="n">
        <v/>
      </c>
      <c r="G79" t="n">
        <v>24</v>
      </c>
      <c r="H79" t="inlineStr"/>
      <c r="I79" t="inlineStr">
        <is>
          <t>General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Relative</t>
        </is>
      </c>
      <c r="B80" t="inlineStr">
        <is>
          <t>N6</t>
        </is>
      </c>
      <c r="C80" t="n">
        <v>6</v>
      </c>
      <c r="D80" t="n">
        <v>14</v>
      </c>
      <c r="E80" t="inlineStr">
        <is>
          <t>Input</t>
        </is>
      </c>
      <c r="F80" t="n">
        <v/>
      </c>
      <c r="G80" t="n">
        <v>5967.8</v>
      </c>
      <c r="H80" t="inlineStr"/>
      <c r="I80" t="inlineStr">
        <is>
          <t>_-* #,##0_-;\-* #,##0_-;_-* "-"??_-;_-@_-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Relative</t>
        </is>
      </c>
      <c r="B81" t="inlineStr">
        <is>
          <t>A7</t>
        </is>
      </c>
      <c r="C81" t="n">
        <v>7</v>
      </c>
      <c r="D81" t="n">
        <v>1</v>
      </c>
      <c r="E81" t="inlineStr">
        <is>
          <t>Input</t>
        </is>
      </c>
      <c r="F81" t="n">
        <v/>
      </c>
      <c r="G81" t="inlineStr">
        <is>
          <t>Cash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FF000000</t>
        </is>
      </c>
      <c r="N81" t="inlineStr">
        <is>
          <t>00000000</t>
        </is>
      </c>
      <c r="O81" t="n">
        <v/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Relative</t>
        </is>
      </c>
      <c r="B82" t="inlineStr">
        <is>
          <t>B7</t>
        </is>
      </c>
      <c r="C82" t="n">
        <v>7</v>
      </c>
      <c r="D82" t="n">
        <v>2</v>
      </c>
      <c r="E82" t="inlineStr">
        <is>
          <t>Calculation</t>
        </is>
      </c>
      <c r="F82" t="inlineStr">
        <is>
          <t>'='Balance Sheet'!D22</t>
        </is>
      </c>
      <c r="G82" t="n">
        <v>2559.66</v>
      </c>
      <c r="H82" t="inlineStr"/>
      <c r="I82" t="inlineStr">
        <is>
          <t>_-* #,##0_-;\-* #,##0_-;_-* "-"??_-;_-@_-</t>
        </is>
      </c>
      <c r="J82" t="b">
        <v>0</v>
      </c>
      <c r="K82" t="b">
        <v>0</v>
      </c>
      <c r="L82" t="n">
        <v>11</v>
      </c>
      <c r="M82" t="inlineStr">
        <is>
          <t>FF000000</t>
        </is>
      </c>
      <c r="N82" t="inlineStr">
        <is>
          <t>00000000</t>
        </is>
      </c>
      <c r="O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>
        <f>'Balance Sheet'!R[15]C[2]</f>
        <v/>
      </c>
    </row>
    <row r="83">
      <c r="A83" t="inlineStr">
        <is>
          <t>Relative</t>
        </is>
      </c>
      <c r="B83" t="inlineStr">
        <is>
          <t>F7</t>
        </is>
      </c>
      <c r="C83" t="n">
        <v>7</v>
      </c>
      <c r="D83" t="n">
        <v>6</v>
      </c>
      <c r="E83" t="inlineStr">
        <is>
          <t>Input</t>
        </is>
      </c>
      <c r="F83" t="n">
        <v/>
      </c>
      <c r="G83" t="n">
        <v>218</v>
      </c>
      <c r="H83" t="inlineStr"/>
      <c r="I83" t="inlineStr">
        <is>
          <t>_-* #,##0_-;\-* #,##0_-;_-* "-"??_-;_-@_-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R83" t="b">
        <v>1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Relative</t>
        </is>
      </c>
      <c r="B84" t="inlineStr">
        <is>
          <t>J7</t>
        </is>
      </c>
      <c r="C84" t="n">
        <v>7</v>
      </c>
      <c r="D84" t="n">
        <v>10</v>
      </c>
      <c r="E84" t="inlineStr">
        <is>
          <t>Input</t>
        </is>
      </c>
      <c r="F84" t="n">
        <v/>
      </c>
      <c r="G84" t="n">
        <v>6231</v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R84" t="b">
        <v>1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Relative</t>
        </is>
      </c>
      <c r="B85" t="inlineStr">
        <is>
          <t>N7</t>
        </is>
      </c>
      <c r="C85" t="n">
        <v>7</v>
      </c>
      <c r="D85" t="n">
        <v>14</v>
      </c>
      <c r="E85" t="inlineStr">
        <is>
          <t>Input</t>
        </is>
      </c>
      <c r="F85" t="n">
        <v/>
      </c>
      <c r="G85" t="n">
        <v>353</v>
      </c>
      <c r="H85" t="inlineStr"/>
      <c r="I85" t="inlineStr">
        <is>
          <t>_-* #,##0_-;\-* #,##0_-;_-* "-"??_-;_-@_-</t>
        </is>
      </c>
      <c r="J85" t="b">
        <v>0</v>
      </c>
      <c r="K85" t="b">
        <v>0</v>
      </c>
      <c r="L85" t="n">
        <v>11</v>
      </c>
      <c r="M85" t="inlineStr">
        <is>
          <t>FF000000</t>
        </is>
      </c>
      <c r="N85" t="inlineStr">
        <is>
          <t>00000000</t>
        </is>
      </c>
      <c r="O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Relative</t>
        </is>
      </c>
      <c r="B86" t="inlineStr">
        <is>
          <t>A8</t>
        </is>
      </c>
      <c r="C86" t="n">
        <v>8</v>
      </c>
      <c r="D86" t="n">
        <v>1</v>
      </c>
      <c r="E86" t="inlineStr">
        <is>
          <t>Input</t>
        </is>
      </c>
      <c r="F86" t="n">
        <v/>
      </c>
      <c r="G86" t="inlineStr">
        <is>
          <t>No of shares</t>
        </is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R86" t="b">
        <v>1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Relative</t>
        </is>
      </c>
      <c r="B87" t="inlineStr">
        <is>
          <t>B8</t>
        </is>
      </c>
      <c r="C87" t="n">
        <v>8</v>
      </c>
      <c r="D87" t="n">
        <v>2</v>
      </c>
      <c r="E87" t="inlineStr">
        <is>
          <t>Input</t>
        </is>
      </c>
      <c r="F87" t="n">
        <v/>
      </c>
      <c r="G87" t="n">
        <v>18.7</v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R87" t="b">
        <v>1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Relative</t>
        </is>
      </c>
      <c r="B88" t="inlineStr">
        <is>
          <t>F8</t>
        </is>
      </c>
      <c r="C88" t="n">
        <v>8</v>
      </c>
      <c r="D88" t="n">
        <v>6</v>
      </c>
      <c r="E88" t="inlineStr">
        <is>
          <t>Input</t>
        </is>
      </c>
      <c r="F88" t="n">
        <v/>
      </c>
      <c r="G88" t="n">
        <v>27.4</v>
      </c>
      <c r="H88" t="inlineStr"/>
      <c r="I88" t="inlineStr">
        <is>
          <t>_-* #,##0.0_-;\-* #,##0.0_-;_-* "-"??_-;_-@_-</t>
        </is>
      </c>
      <c r="J88" t="b">
        <v>0</v>
      </c>
      <c r="K88" t="b">
        <v>0</v>
      </c>
      <c r="L88" t="n">
        <v>11</v>
      </c>
      <c r="M88" t="inlineStr">
        <is>
          <t>FF000000</t>
        </is>
      </c>
      <c r="N88" t="inlineStr">
        <is>
          <t>00000000</t>
        </is>
      </c>
      <c r="O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Relative</t>
        </is>
      </c>
      <c r="B89" t="inlineStr">
        <is>
          <t>J8</t>
        </is>
      </c>
      <c r="C89" t="n">
        <v>8</v>
      </c>
      <c r="D89" t="n">
        <v>10</v>
      </c>
      <c r="E89" t="inlineStr">
        <is>
          <t>Input</t>
        </is>
      </c>
      <c r="F89" t="n">
        <v/>
      </c>
      <c r="G89" t="n">
        <v>198.5</v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R89" t="b">
        <v>1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Relative</t>
        </is>
      </c>
      <c r="B90" t="inlineStr">
        <is>
          <t>N8</t>
        </is>
      </c>
      <c r="C90" t="n">
        <v>8</v>
      </c>
      <c r="D90" t="n">
        <v>14</v>
      </c>
      <c r="E90" t="inlineStr">
        <is>
          <t>Input</t>
        </is>
      </c>
      <c r="F90" t="n">
        <v/>
      </c>
      <c r="G90" t="n">
        <v>8.800000000000001</v>
      </c>
      <c r="H90" t="inlineStr"/>
      <c r="I90" t="inlineStr">
        <is>
          <t>_-* #,##0.0_-;\-* #,##0.0_-;_-* "-"??_-;_-@_-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R90" t="b">
        <v>1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Relative</t>
        </is>
      </c>
      <c r="B91" t="inlineStr">
        <is>
          <t>A9</t>
        </is>
      </c>
      <c r="C91" t="n">
        <v>9</v>
      </c>
      <c r="D91" t="n">
        <v>1</v>
      </c>
      <c r="E91" t="inlineStr">
        <is>
          <t>Input</t>
        </is>
      </c>
      <c r="F91" t="n">
        <v/>
      </c>
      <c r="G91" t="inlineStr">
        <is>
          <t>CMP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inlineStr">
        <is>
          <t>FF000000</t>
        </is>
      </c>
      <c r="N91" t="inlineStr">
        <is>
          <t>00000000</t>
        </is>
      </c>
      <c r="O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Relative</t>
        </is>
      </c>
      <c r="B92" t="inlineStr">
        <is>
          <t>B9</t>
        </is>
      </c>
      <c r="C92" t="n">
        <v>9</v>
      </c>
      <c r="D92" t="n">
        <v>2</v>
      </c>
      <c r="E92" t="inlineStr">
        <is>
          <t>Input</t>
        </is>
      </c>
      <c r="F92" t="n">
        <v/>
      </c>
      <c r="G92" t="n">
        <v>1758</v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R92" t="b">
        <v>1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Relative</t>
        </is>
      </c>
      <c r="B93" t="inlineStr">
        <is>
          <t>F9</t>
        </is>
      </c>
      <c r="C93" t="n">
        <v>9</v>
      </c>
      <c r="D93" t="n">
        <v>6</v>
      </c>
      <c r="E93" t="inlineStr">
        <is>
          <t>Input</t>
        </is>
      </c>
      <c r="F93" t="n">
        <v/>
      </c>
      <c r="G93" t="n">
        <v>3950</v>
      </c>
      <c r="H93" t="inlineStr"/>
      <c r="I93" t="inlineStr">
        <is>
          <t>_-* #,##0_-;\-* #,##0_-;_-* "-"??_-;_-@_-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R93" t="b">
        <v>1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Relative</t>
        </is>
      </c>
      <c r="B94" t="inlineStr">
        <is>
          <t>J9</t>
        </is>
      </c>
      <c r="C94" t="n">
        <v>9</v>
      </c>
      <c r="D94" t="n">
        <v>10</v>
      </c>
      <c r="E94" t="inlineStr">
        <is>
          <t>Input</t>
        </is>
      </c>
      <c r="F94" t="n">
        <v/>
      </c>
      <c r="G94" t="n">
        <v>233</v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inlineStr">
        <is>
          <t>FF000000</t>
        </is>
      </c>
      <c r="N94" t="inlineStr">
        <is>
          <t>00000000</t>
        </is>
      </c>
      <c r="O94" t="n">
        <v/>
      </c>
      <c r="R94" t="b">
        <v>1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Relative</t>
        </is>
      </c>
      <c r="B95" t="inlineStr">
        <is>
          <t>N9</t>
        </is>
      </c>
      <c r="C95" t="n">
        <v>9</v>
      </c>
      <c r="D95" t="n">
        <v>14</v>
      </c>
      <c r="E95" t="inlineStr">
        <is>
          <t>Input</t>
        </is>
      </c>
      <c r="F95" t="n">
        <v/>
      </c>
      <c r="G95" t="n">
        <v>2874</v>
      </c>
      <c r="H95" t="inlineStr"/>
      <c r="I95" t="inlineStr">
        <is>
          <t>_-* #,##0_-;\-* #,##0_-;_-* "-"??_-;_-@_-</t>
        </is>
      </c>
      <c r="J95" t="b">
        <v>0</v>
      </c>
      <c r="K95" t="b">
        <v>0</v>
      </c>
      <c r="L95" t="n">
        <v>11</v>
      </c>
      <c r="M95" t="inlineStr">
        <is>
          <t>FF000000</t>
        </is>
      </c>
      <c r="N95" t="inlineStr">
        <is>
          <t>00000000</t>
        </is>
      </c>
      <c r="O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Relative</t>
        </is>
      </c>
      <c r="B96" t="inlineStr">
        <is>
          <t>P11</t>
        </is>
      </c>
      <c r="C96" t="n">
        <v>11</v>
      </c>
      <c r="D96" t="n">
        <v>16</v>
      </c>
      <c r="E96" t="inlineStr">
        <is>
          <t>Input</t>
        </is>
      </c>
      <c r="F96" t="n">
        <v/>
      </c>
      <c r="G96" t="inlineStr">
        <is>
          <t>Mean</t>
        </is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FF000000</t>
        </is>
      </c>
      <c r="N96" t="inlineStr">
        <is>
          <t>00000000</t>
        </is>
      </c>
      <c r="O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Relative</t>
        </is>
      </c>
      <c r="B97" t="inlineStr">
        <is>
          <t>Q11</t>
        </is>
      </c>
      <c r="C97" t="n">
        <v>11</v>
      </c>
      <c r="D97" t="n">
        <v>17</v>
      </c>
      <c r="E97" t="inlineStr">
        <is>
          <t>Input</t>
        </is>
      </c>
      <c r="F97" t="n">
        <v/>
      </c>
      <c r="G97" t="inlineStr">
        <is>
          <t>Median</t>
        </is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FF000000</t>
        </is>
      </c>
      <c r="N97" t="inlineStr">
        <is>
          <t>00000000</t>
        </is>
      </c>
      <c r="O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Relative</t>
        </is>
      </c>
      <c r="B98" t="inlineStr">
        <is>
          <t>A12</t>
        </is>
      </c>
      <c r="C98" t="n">
        <v>12</v>
      </c>
      <c r="D98" t="n">
        <v>1</v>
      </c>
      <c r="E98" t="inlineStr">
        <is>
          <t>Input</t>
        </is>
      </c>
      <c r="F98" t="n">
        <v/>
      </c>
      <c r="G98" t="inlineStr">
        <is>
          <t>EV</t>
        </is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FF000000</t>
        </is>
      </c>
      <c r="N98" t="inlineStr">
        <is>
          <t>00000000</t>
        </is>
      </c>
      <c r="O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Relative</t>
        </is>
      </c>
      <c r="B99" t="inlineStr">
        <is>
          <t>B12</t>
        </is>
      </c>
      <c r="C99" t="n">
        <v>12</v>
      </c>
      <c r="D99" t="n">
        <v>2</v>
      </c>
      <c r="E99" t="inlineStr">
        <is>
          <t>Calculation</t>
        </is>
      </c>
      <c r="F99" t="inlineStr">
        <is>
          <t>'=(B9*B8)+B6-B7</t>
        </is>
      </c>
      <c r="G99" t="n">
        <v>30314.94</v>
      </c>
      <c r="H99" t="inlineStr"/>
      <c r="I99" t="inlineStr">
        <is>
          <t>_-* #,##0_-;\-* #,##0_-;_-* "-"??_-;_-@_-</t>
        </is>
      </c>
      <c r="J99" t="b">
        <v>0</v>
      </c>
      <c r="K99" t="b">
        <v>0</v>
      </c>
      <c r="L99" t="n">
        <v>11</v>
      </c>
      <c r="M99" t="inlineStr">
        <is>
          <t>FF000000</t>
        </is>
      </c>
      <c r="N99" t="inlineStr">
        <is>
          <t>00000000</t>
        </is>
      </c>
      <c r="O99" t="n">
        <v/>
      </c>
      <c r="R99" t="b">
        <v>1</v>
      </c>
      <c r="S99" t="inlineStr">
        <is>
          <t>G000176</t>
        </is>
      </c>
      <c r="T99" t="inlineStr">
        <is>
          <t>Block</t>
        </is>
      </c>
      <c r="U99" t="n">
        <v>4</v>
      </c>
      <c r="V99" t="b">
        <v>1</v>
      </c>
      <c r="W99" t="inlineStr">
        <is>
          <t>Relative!B12:N12</t>
        </is>
      </c>
      <c r="X99">
        <f>(R[-3]C[0]*R[-4]C[0])+R[-6]C[0]-R[-5]C[0]</f>
        <v/>
      </c>
    </row>
    <row r="100">
      <c r="A100" t="inlineStr">
        <is>
          <t>Relative</t>
        </is>
      </c>
      <c r="B100" t="inlineStr">
        <is>
          <t>F12</t>
        </is>
      </c>
      <c r="C100" t="n">
        <v>12</v>
      </c>
      <c r="D100" t="n">
        <v>6</v>
      </c>
      <c r="E100" t="inlineStr">
        <is>
          <t>Calculation</t>
        </is>
      </c>
      <c r="F100" t="inlineStr">
        <is>
          <t>'=(F9*F8)+F6-F7</t>
        </is>
      </c>
      <c r="G100" t="n">
        <v>126638</v>
      </c>
      <c r="H100" t="inlineStr"/>
      <c r="I100" t="inlineStr">
        <is>
          <t>_-* #,##0_-;\-* #,##0_-;_-* "-"??_-;_-@_-</t>
        </is>
      </c>
      <c r="J100" t="b">
        <v>0</v>
      </c>
      <c r="K100" t="b">
        <v>0</v>
      </c>
      <c r="L100" t="n">
        <v>11</v>
      </c>
      <c r="M100" t="inlineStr">
        <is>
          <t>FF000000</t>
        </is>
      </c>
      <c r="N100" t="inlineStr">
        <is>
          <t>00000000</t>
        </is>
      </c>
      <c r="O100" t="n">
        <v/>
      </c>
      <c r="R100" t="b">
        <v>1</v>
      </c>
      <c r="S100" t="inlineStr">
        <is>
          <t>G000176</t>
        </is>
      </c>
      <c r="T100" t="inlineStr">
        <is>
          <t>Block</t>
        </is>
      </c>
      <c r="U100" t="n">
        <v>4</v>
      </c>
      <c r="V100" t="b">
        <v>1</v>
      </c>
      <c r="W100" t="inlineStr">
        <is>
          <t>Relative!B12:N12</t>
        </is>
      </c>
      <c r="X100">
        <f>(R[-3]C[0]*R[-4]C[0])+R[-6]C[0]-R[-5]C[0]</f>
        <v/>
      </c>
    </row>
    <row r="101">
      <c r="A101" t="inlineStr">
        <is>
          <t>Relative</t>
        </is>
      </c>
      <c r="B101" t="inlineStr">
        <is>
          <t>J12</t>
        </is>
      </c>
      <c r="C101" t="n">
        <v>12</v>
      </c>
      <c r="D101" t="n">
        <v>10</v>
      </c>
      <c r="E101" t="inlineStr">
        <is>
          <t>Calculation</t>
        </is>
      </c>
      <c r="F101" t="inlineStr">
        <is>
          <t>'=(J9*J8)+J6-J7</t>
        </is>
      </c>
      <c r="G101" t="n">
        <v>40043.5</v>
      </c>
      <c r="H101" t="inlineStr"/>
      <c r="I101" t="inlineStr">
        <is>
          <t>_-* #,##0_-;\-* #,##0_-;_-* "-"??_-;_-@_-</t>
        </is>
      </c>
      <c r="J101" t="b">
        <v>0</v>
      </c>
      <c r="K101" t="b">
        <v>0</v>
      </c>
      <c r="L101" t="n">
        <v>11</v>
      </c>
      <c r="M101" t="inlineStr">
        <is>
          <t>FF000000</t>
        </is>
      </c>
      <c r="N101" t="inlineStr">
        <is>
          <t>00000000</t>
        </is>
      </c>
      <c r="O101" t="n">
        <v/>
      </c>
      <c r="R101" t="b">
        <v>1</v>
      </c>
      <c r="S101" t="inlineStr">
        <is>
          <t>G000176</t>
        </is>
      </c>
      <c r="T101" t="inlineStr">
        <is>
          <t>Block</t>
        </is>
      </c>
      <c r="U101" t="n">
        <v>4</v>
      </c>
      <c r="V101" t="b">
        <v>1</v>
      </c>
      <c r="W101" t="inlineStr">
        <is>
          <t>Relative!B12:N12</t>
        </is>
      </c>
      <c r="X101">
        <f>(R[-3]C[0]*R[-4]C[0])+R[-6]C[0]-R[-5]C[0]</f>
        <v/>
      </c>
    </row>
    <row r="102">
      <c r="A102" t="inlineStr">
        <is>
          <t>Relative</t>
        </is>
      </c>
      <c r="B102" t="inlineStr">
        <is>
          <t>N12</t>
        </is>
      </c>
      <c r="C102" t="n">
        <v>12</v>
      </c>
      <c r="D102" t="n">
        <v>14</v>
      </c>
      <c r="E102" t="inlineStr">
        <is>
          <t>Calculation</t>
        </is>
      </c>
      <c r="F102" t="inlineStr">
        <is>
          <t>'=(N9*N8)+N6-N7</t>
        </is>
      </c>
      <c r="G102" t="n">
        <v>30906</v>
      </c>
      <c r="H102" t="inlineStr"/>
      <c r="I102" t="inlineStr">
        <is>
          <t>_-* #,##0_-;\-* #,##0_-;_-* "-"??_-;_-@_-</t>
        </is>
      </c>
      <c r="J102" t="b">
        <v>0</v>
      </c>
      <c r="K102" t="b">
        <v>0</v>
      </c>
      <c r="L102" t="n">
        <v>11</v>
      </c>
      <c r="M102" t="inlineStr">
        <is>
          <t>FF000000</t>
        </is>
      </c>
      <c r="N102" t="inlineStr">
        <is>
          <t>00000000</t>
        </is>
      </c>
      <c r="O102" t="n">
        <v/>
      </c>
      <c r="R102" t="b">
        <v>1</v>
      </c>
      <c r="S102" t="inlineStr">
        <is>
          <t>G000176</t>
        </is>
      </c>
      <c r="T102" t="inlineStr">
        <is>
          <t>Block</t>
        </is>
      </c>
      <c r="U102" t="n">
        <v>4</v>
      </c>
      <c r="V102" t="b">
        <v>1</v>
      </c>
      <c r="W102" t="inlineStr">
        <is>
          <t>Relative!B12:N12</t>
        </is>
      </c>
      <c r="X102">
        <f>(R[-3]C[0]*R[-4]C[0])+R[-6]C[0]-R[-5]C[0]</f>
        <v/>
      </c>
    </row>
    <row r="103">
      <c r="A103" t="inlineStr">
        <is>
          <t>Relative</t>
        </is>
      </c>
      <c r="B103" t="inlineStr">
        <is>
          <t>P12</t>
        </is>
      </c>
      <c r="C103" t="n">
        <v>12</v>
      </c>
      <c r="D103" t="n">
        <v>16</v>
      </c>
      <c r="E103" t="inlineStr">
        <is>
          <t>Output</t>
        </is>
      </c>
      <c r="F103" t="inlineStr">
        <is>
          <t>'=AVERAGE(B12,F12,J12,N12)</t>
        </is>
      </c>
      <c r="G103" t="n">
        <v>56975.61</v>
      </c>
      <c r="H103" t="inlineStr"/>
      <c r="I103" t="inlineStr">
        <is>
          <t>_-* #,##0_-;\-* #,##0_-;_-* "-"??_-;_-@_-</t>
        </is>
      </c>
      <c r="J103" t="b">
        <v>0</v>
      </c>
      <c r="K103" t="b">
        <v>0</v>
      </c>
      <c r="L103" t="n">
        <v>11</v>
      </c>
      <c r="M103" t="inlineStr">
        <is>
          <t>FF000000</t>
        </is>
      </c>
      <c r="N103" t="inlineStr">
        <is>
          <t>00000000</t>
        </is>
      </c>
      <c r="O103" t="n">
        <v/>
      </c>
      <c r="R103" t="b">
        <v>1</v>
      </c>
      <c r="S103" t="inlineStr">
        <is>
          <t>G000177</t>
        </is>
      </c>
      <c r="T103" t="inlineStr">
        <is>
          <t>Vertical</t>
        </is>
      </c>
      <c r="U103" t="n">
        <v>5</v>
      </c>
      <c r="V103" t="b">
        <v>1</v>
      </c>
      <c r="W103" t="inlineStr">
        <is>
          <t>Relative!P12:P16</t>
        </is>
      </c>
      <c r="X103">
        <f>AVERAGE(R[0]C[-14],R[0]C[-10],R[0]C[-6],R[0]C[-2])</f>
        <v/>
      </c>
    </row>
    <row r="104">
      <c r="A104" t="inlineStr">
        <is>
          <t>Relative</t>
        </is>
      </c>
      <c r="B104" t="inlineStr">
        <is>
          <t>Q12</t>
        </is>
      </c>
      <c r="C104" t="n">
        <v>12</v>
      </c>
      <c r="D104" t="n">
        <v>17</v>
      </c>
      <c r="E104" t="inlineStr">
        <is>
          <t>Output</t>
        </is>
      </c>
      <c r="F104" t="inlineStr">
        <is>
          <t>'=MEDIAN(B12,F12,J12,N12)</t>
        </is>
      </c>
      <c r="G104" t="n">
        <v>35474.75</v>
      </c>
      <c r="H104" t="inlineStr"/>
      <c r="I104" t="inlineStr">
        <is>
          <t>_-* #,##0_-;\-* #,##0_-;_-* "-"??_-;_-@_-</t>
        </is>
      </c>
      <c r="J104" t="b">
        <v>0</v>
      </c>
      <c r="K104" t="b">
        <v>0</v>
      </c>
      <c r="L104" t="n">
        <v>11</v>
      </c>
      <c r="M104" t="inlineStr">
        <is>
          <t>FF000000</t>
        </is>
      </c>
      <c r="N104" t="inlineStr">
        <is>
          <t>00000000</t>
        </is>
      </c>
      <c r="O104" t="n">
        <v/>
      </c>
      <c r="R104" t="b">
        <v>1</v>
      </c>
      <c r="S104" t="inlineStr">
        <is>
          <t>G000180</t>
        </is>
      </c>
      <c r="T104" t="inlineStr">
        <is>
          <t>Vertical</t>
        </is>
      </c>
      <c r="U104" t="n">
        <v>5</v>
      </c>
      <c r="V104" t="b">
        <v>1</v>
      </c>
      <c r="W104" t="inlineStr">
        <is>
          <t>Relative!Q12:Q16</t>
        </is>
      </c>
      <c r="X104">
        <f>MEDIAN(R[0]C[-15],R[0]C[-11],R[0]C[-7],R[0]C[-3])</f>
        <v/>
      </c>
    </row>
    <row r="105">
      <c r="A105" t="inlineStr">
        <is>
          <t>Relative</t>
        </is>
      </c>
      <c r="B105" t="inlineStr">
        <is>
          <t>A13</t>
        </is>
      </c>
      <c r="C105" t="n">
        <v>13</v>
      </c>
      <c r="D105" t="n">
        <v>1</v>
      </c>
      <c r="E105" t="inlineStr">
        <is>
          <t>Input</t>
        </is>
      </c>
      <c r="F105" t="n">
        <v/>
      </c>
      <c r="G105" t="inlineStr">
        <is>
          <t>Growth</t>
        </is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inlineStr">
        <is>
          <t>FF000000</t>
        </is>
      </c>
      <c r="N105" t="inlineStr">
        <is>
          <t>00000000</t>
        </is>
      </c>
      <c r="O105" t="n">
        <v/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Relative</t>
        </is>
      </c>
      <c r="B106" t="inlineStr">
        <is>
          <t>B13</t>
        </is>
      </c>
      <c r="C106" t="n">
        <v>13</v>
      </c>
      <c r="D106" t="n">
        <v>2</v>
      </c>
      <c r="E106" t="inlineStr">
        <is>
          <t>Calculation</t>
        </is>
      </c>
      <c r="F106" t="inlineStr">
        <is>
          <t>'=(E4/B4)^(1/3)-1</t>
        </is>
      </c>
      <c r="G106" t="n">
        <v>0.0759363426072921</v>
      </c>
      <c r="H106" t="inlineStr"/>
      <c r="I106" t="inlineStr">
        <is>
          <t>0.0%</t>
        </is>
      </c>
      <c r="J106" t="b">
        <v>0</v>
      </c>
      <c r="K106" t="b">
        <v>0</v>
      </c>
      <c r="L106" t="n">
        <v>11</v>
      </c>
      <c r="M106" t="inlineStr">
        <is>
          <t>FF000000</t>
        </is>
      </c>
      <c r="N106" t="inlineStr">
        <is>
          <t>00000000</t>
        </is>
      </c>
      <c r="O106" t="n">
        <v/>
      </c>
      <c r="R106" t="b">
        <v>1</v>
      </c>
      <c r="S106" t="inlineStr">
        <is>
          <t>G000183</t>
        </is>
      </c>
      <c r="T106" t="inlineStr">
        <is>
          <t>Block</t>
        </is>
      </c>
      <c r="U106" t="n">
        <v>4</v>
      </c>
      <c r="V106" t="b">
        <v>1</v>
      </c>
      <c r="W106" t="inlineStr">
        <is>
          <t>Relative!B13:N13</t>
        </is>
      </c>
      <c r="X106">
        <f>(R[-9]C[3]/R[-9]C[0])^(1/3)-1</f>
        <v/>
      </c>
    </row>
    <row r="107">
      <c r="A107" t="inlineStr">
        <is>
          <t>Relative</t>
        </is>
      </c>
      <c r="B107" t="inlineStr">
        <is>
          <t>F13</t>
        </is>
      </c>
      <c r="C107" t="n">
        <v>13</v>
      </c>
      <c r="D107" t="n">
        <v>6</v>
      </c>
      <c r="E107" t="inlineStr">
        <is>
          <t>Calculation</t>
        </is>
      </c>
      <c r="F107" t="inlineStr">
        <is>
          <t>'=(I4/F4)^(1/3)-1</t>
        </is>
      </c>
      <c r="G107" t="n">
        <v>0.1364431479867485</v>
      </c>
      <c r="H107" t="inlineStr"/>
      <c r="I107" t="inlineStr">
        <is>
          <t>0.0%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R107" t="b">
        <v>1</v>
      </c>
      <c r="S107" t="inlineStr">
        <is>
          <t>G000183</t>
        </is>
      </c>
      <c r="T107" t="inlineStr">
        <is>
          <t>Block</t>
        </is>
      </c>
      <c r="U107" t="n">
        <v>4</v>
      </c>
      <c r="V107" t="b">
        <v>1</v>
      </c>
      <c r="W107" t="inlineStr">
        <is>
          <t>Relative!B13:N13</t>
        </is>
      </c>
      <c r="X107">
        <f>(R[-9]C[3]/R[-9]C[0])^(1/3)-1</f>
        <v/>
      </c>
    </row>
    <row r="108">
      <c r="A108" t="inlineStr">
        <is>
          <t>Relative</t>
        </is>
      </c>
      <c r="B108" t="inlineStr">
        <is>
          <t>J13</t>
        </is>
      </c>
      <c r="C108" t="n">
        <v>13</v>
      </c>
      <c r="D108" t="n">
        <v>10</v>
      </c>
      <c r="E108" t="inlineStr">
        <is>
          <t>Calculation</t>
        </is>
      </c>
      <c r="F108" t="inlineStr">
        <is>
          <t>'=(M4/J4)^(1/3)-1</t>
        </is>
      </c>
      <c r="G108" t="n">
        <v>0.09525345934086094</v>
      </c>
      <c r="H108" t="inlineStr"/>
      <c r="I108" t="inlineStr">
        <is>
          <t>0.0%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R108" t="b">
        <v>1</v>
      </c>
      <c r="S108" t="inlineStr">
        <is>
          <t>G000183</t>
        </is>
      </c>
      <c r="T108" t="inlineStr">
        <is>
          <t>Block</t>
        </is>
      </c>
      <c r="U108" t="n">
        <v>4</v>
      </c>
      <c r="V108" t="b">
        <v>1</v>
      </c>
      <c r="W108" t="inlineStr">
        <is>
          <t>Relative!B13:N13</t>
        </is>
      </c>
      <c r="X108">
        <f>(R[-9]C[3]/R[-9]C[0])^(1/3)-1</f>
        <v/>
      </c>
    </row>
    <row r="109">
      <c r="A109" t="inlineStr">
        <is>
          <t>Relative</t>
        </is>
      </c>
      <c r="B109" t="inlineStr">
        <is>
          <t>N13</t>
        </is>
      </c>
      <c r="C109" t="n">
        <v>13</v>
      </c>
      <c r="D109" t="n">
        <v>14</v>
      </c>
      <c r="E109" t="inlineStr">
        <is>
          <t>Calculation</t>
        </is>
      </c>
      <c r="F109" t="inlineStr">
        <is>
          <t>'=(Q4/N4)^(1/3)-1</t>
        </is>
      </c>
      <c r="G109" t="n">
        <v>0.1434422250383043</v>
      </c>
      <c r="H109" t="inlineStr"/>
      <c r="I109" t="inlineStr">
        <is>
          <t>0.0%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R109" t="b">
        <v>1</v>
      </c>
      <c r="S109" t="inlineStr">
        <is>
          <t>G000183</t>
        </is>
      </c>
      <c r="T109" t="inlineStr">
        <is>
          <t>Block</t>
        </is>
      </c>
      <c r="U109" t="n">
        <v>4</v>
      </c>
      <c r="V109" t="b">
        <v>1</v>
      </c>
      <c r="W109" t="inlineStr">
        <is>
          <t>Relative!B13:N13</t>
        </is>
      </c>
      <c r="X109">
        <f>(R[-9]C[3]/R[-9]C[0])^(1/3)-1</f>
        <v/>
      </c>
    </row>
    <row r="110">
      <c r="A110" t="inlineStr">
        <is>
          <t>Relative</t>
        </is>
      </c>
      <c r="B110" t="inlineStr">
        <is>
          <t>P13</t>
        </is>
      </c>
      <c r="C110" t="n">
        <v>13</v>
      </c>
      <c r="D110" t="n">
        <v>16</v>
      </c>
      <c r="E110" t="inlineStr">
        <is>
          <t>Output</t>
        </is>
      </c>
      <c r="F110" t="inlineStr">
        <is>
          <t>'=AVERAGE(B13,F13,J13,N13)</t>
        </is>
      </c>
      <c r="G110" t="n">
        <v>0.1127687937433015</v>
      </c>
      <c r="H110" t="inlineStr"/>
      <c r="I110" t="inlineStr">
        <is>
          <t>_-* #,##0_-;\-* #,##0_-;_-* "-"??_-;_-@_-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R110" t="b">
        <v>1</v>
      </c>
      <c r="S110" t="inlineStr">
        <is>
          <t>G000177</t>
        </is>
      </c>
      <c r="T110" t="inlineStr">
        <is>
          <t>Vertical</t>
        </is>
      </c>
      <c r="U110" t="n">
        <v>5</v>
      </c>
      <c r="V110" t="b">
        <v>1</v>
      </c>
      <c r="W110" t="inlineStr">
        <is>
          <t>Relative!P12:P16</t>
        </is>
      </c>
      <c r="X110">
        <f>AVERAGE(R[0]C[-14],R[0]C[-10],R[0]C[-6],R[0]C[-2])</f>
        <v/>
      </c>
    </row>
    <row r="111">
      <c r="A111" t="inlineStr">
        <is>
          <t>Relative</t>
        </is>
      </c>
      <c r="B111" t="inlineStr">
        <is>
          <t>Q13</t>
        </is>
      </c>
      <c r="C111" t="n">
        <v>13</v>
      </c>
      <c r="D111" t="n">
        <v>17</v>
      </c>
      <c r="E111" t="inlineStr">
        <is>
          <t>Output</t>
        </is>
      </c>
      <c r="F111" t="inlineStr">
        <is>
          <t>'=MEDIAN(B13,F13,J13,N13)</t>
        </is>
      </c>
      <c r="G111" t="n">
        <v>0.1158483036638047</v>
      </c>
      <c r="H111" t="inlineStr"/>
      <c r="I111" t="inlineStr">
        <is>
          <t>_-* #,##0_-;\-* #,##0_-;_-* "-"??_-;_-@_-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R111" t="b">
        <v>1</v>
      </c>
      <c r="S111" t="inlineStr">
        <is>
          <t>G000180</t>
        </is>
      </c>
      <c r="T111" t="inlineStr">
        <is>
          <t>Vertical</t>
        </is>
      </c>
      <c r="U111" t="n">
        <v>5</v>
      </c>
      <c r="V111" t="b">
        <v>1</v>
      </c>
      <c r="W111" t="inlineStr">
        <is>
          <t>Relative!Q12:Q16</t>
        </is>
      </c>
      <c r="X111">
        <f>MEDIAN(R[0]C[-15],R[0]C[-11],R[0]C[-7],R[0]C[-3])</f>
        <v/>
      </c>
    </row>
    <row r="112">
      <c r="A112" t="inlineStr">
        <is>
          <t>Relative</t>
        </is>
      </c>
      <c r="B112" t="inlineStr">
        <is>
          <t>A14</t>
        </is>
      </c>
      <c r="C112" t="n">
        <v>14</v>
      </c>
      <c r="D112" t="n">
        <v>1</v>
      </c>
      <c r="E112" t="inlineStr">
        <is>
          <t>Input</t>
        </is>
      </c>
      <c r="F112" t="n">
        <v/>
      </c>
      <c r="G112" t="inlineStr">
        <is>
          <t>Trailing PE</t>
        </is>
      </c>
      <c r="H112" t="inlineStr"/>
      <c r="I112" t="inlineStr">
        <is>
          <t>General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R112" t="b">
        <v>1</v>
      </c>
      <c r="S112" t="n">
        <v/>
      </c>
      <c r="T112" t="n">
        <v/>
      </c>
      <c r="U112" t="n">
        <v/>
      </c>
      <c r="V112" t="b">
        <v>0</v>
      </c>
      <c r="W112" t="inlineStr"/>
      <c r="X112" t="n">
        <v/>
      </c>
    </row>
    <row r="113">
      <c r="A113" t="inlineStr">
        <is>
          <t>Relative</t>
        </is>
      </c>
      <c r="B113" t="inlineStr">
        <is>
          <t>B14</t>
        </is>
      </c>
      <c r="C113" t="n">
        <v>14</v>
      </c>
      <c r="D113" t="n">
        <v>2</v>
      </c>
      <c r="E113" t="inlineStr">
        <is>
          <t>Calculation</t>
        </is>
      </c>
      <c r="F113" t="inlineStr">
        <is>
          <t>'=B9/B3</t>
        </is>
      </c>
      <c r="G113" t="n">
        <v>36.24342649247567</v>
      </c>
      <c r="H113" t="inlineStr"/>
      <c r="I113" t="inlineStr">
        <is>
          <t>0.0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R113" t="b">
        <v>1</v>
      </c>
      <c r="S113" t="inlineStr">
        <is>
          <t>G000184</t>
        </is>
      </c>
      <c r="T113" t="inlineStr">
        <is>
          <t>Block</t>
        </is>
      </c>
      <c r="U113" t="n">
        <v>4</v>
      </c>
      <c r="V113" t="b">
        <v>1</v>
      </c>
      <c r="W113" t="inlineStr">
        <is>
          <t>Relative!B14:N14</t>
        </is>
      </c>
      <c r="X113">
        <f>R[-5]C[0]/R[-11]C[0]</f>
        <v/>
      </c>
    </row>
    <row r="114">
      <c r="A114" t="inlineStr">
        <is>
          <t>Relative</t>
        </is>
      </c>
      <c r="B114" t="inlineStr">
        <is>
          <t>F14</t>
        </is>
      </c>
      <c r="C114" t="n">
        <v>14</v>
      </c>
      <c r="D114" t="n">
        <v>6</v>
      </c>
      <c r="E114" t="inlineStr">
        <is>
          <t>Calculation</t>
        </is>
      </c>
      <c r="F114" t="inlineStr">
        <is>
          <t>'=F9/F3</t>
        </is>
      </c>
      <c r="G114" t="n">
        <v>48.8257107540173</v>
      </c>
      <c r="H114" t="inlineStr"/>
      <c r="I114" t="inlineStr">
        <is>
          <t>0.0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R114" t="b">
        <v>1</v>
      </c>
      <c r="S114" t="inlineStr">
        <is>
          <t>G000184</t>
        </is>
      </c>
      <c r="T114" t="inlineStr">
        <is>
          <t>Block</t>
        </is>
      </c>
      <c r="U114" t="n">
        <v>4</v>
      </c>
      <c r="V114" t="b">
        <v>1</v>
      </c>
      <c r="W114" t="inlineStr">
        <is>
          <t>Relative!B14:N14</t>
        </is>
      </c>
      <c r="X114">
        <f>R[-5]C[0]/R[-11]C[0]</f>
        <v/>
      </c>
    </row>
    <row r="115">
      <c r="A115" t="inlineStr">
        <is>
          <t>Relative</t>
        </is>
      </c>
      <c r="B115" t="inlineStr">
        <is>
          <t>J14</t>
        </is>
      </c>
      <c r="C115" t="n">
        <v>14</v>
      </c>
      <c r="D115" t="n">
        <v>10</v>
      </c>
      <c r="E115" t="inlineStr">
        <is>
          <t>Calculation</t>
        </is>
      </c>
      <c r="F115" t="inlineStr">
        <is>
          <t>'=J9/J3</t>
        </is>
      </c>
      <c r="G115" t="n">
        <v>37.04292527821939</v>
      </c>
      <c r="H115" t="inlineStr"/>
      <c r="I115" t="inlineStr">
        <is>
          <t>0.0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R115" t="b">
        <v>1</v>
      </c>
      <c r="S115" t="inlineStr">
        <is>
          <t>G000184</t>
        </is>
      </c>
      <c r="T115" t="inlineStr">
        <is>
          <t>Block</t>
        </is>
      </c>
      <c r="U115" t="n">
        <v>4</v>
      </c>
      <c r="V115" t="b">
        <v>1</v>
      </c>
      <c r="W115" t="inlineStr">
        <is>
          <t>Relative!B14:N14</t>
        </is>
      </c>
      <c r="X115">
        <f>R[-5]C[0]/R[-11]C[0]</f>
        <v/>
      </c>
    </row>
    <row r="116">
      <c r="A116" t="inlineStr">
        <is>
          <t>Relative</t>
        </is>
      </c>
      <c r="B116" t="inlineStr">
        <is>
          <t>N14</t>
        </is>
      </c>
      <c r="C116" t="n">
        <v>14</v>
      </c>
      <c r="D116" t="n">
        <v>14</v>
      </c>
      <c r="E116" t="inlineStr">
        <is>
          <t>Calculation</t>
        </is>
      </c>
      <c r="F116" t="inlineStr">
        <is>
          <t>'=N9/N3</t>
        </is>
      </c>
      <c r="G116" t="n">
        <v>47.97996661101836</v>
      </c>
      <c r="H116" t="inlineStr"/>
      <c r="I116" t="inlineStr">
        <is>
          <t>0.0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R116" t="b">
        <v>1</v>
      </c>
      <c r="S116" t="inlineStr">
        <is>
          <t>G000184</t>
        </is>
      </c>
      <c r="T116" t="inlineStr">
        <is>
          <t>Block</t>
        </is>
      </c>
      <c r="U116" t="n">
        <v>4</v>
      </c>
      <c r="V116" t="b">
        <v>1</v>
      </c>
      <c r="W116" t="inlineStr">
        <is>
          <t>Relative!B14:N14</t>
        </is>
      </c>
      <c r="X116">
        <f>R[-5]C[0]/R[-11]C[0]</f>
        <v/>
      </c>
    </row>
    <row r="117">
      <c r="A117" t="inlineStr">
        <is>
          <t>Relative</t>
        </is>
      </c>
      <c r="B117" t="inlineStr">
        <is>
          <t>P14</t>
        </is>
      </c>
      <c r="C117" t="n">
        <v>14</v>
      </c>
      <c r="D117" t="n">
        <v>16</v>
      </c>
      <c r="E117" t="inlineStr">
        <is>
          <t>Output</t>
        </is>
      </c>
      <c r="F117" t="inlineStr">
        <is>
          <t>'=AVERAGE(B14,F14,J14,N14)</t>
        </is>
      </c>
      <c r="G117" t="n">
        <v>42.52300728393269</v>
      </c>
      <c r="H117" t="inlineStr"/>
      <c r="I117" t="inlineStr">
        <is>
          <t>_-* #,##0_-;\-* #,##0_-;_-* "-"??_-;_-@_-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R117" t="b">
        <v>1</v>
      </c>
      <c r="S117" t="inlineStr">
        <is>
          <t>G000177</t>
        </is>
      </c>
      <c r="T117" t="inlineStr">
        <is>
          <t>Vertical</t>
        </is>
      </c>
      <c r="U117" t="n">
        <v>5</v>
      </c>
      <c r="V117" t="b">
        <v>1</v>
      </c>
      <c r="W117" t="inlineStr">
        <is>
          <t>Relative!P12:P16</t>
        </is>
      </c>
      <c r="X117">
        <f>AVERAGE(R[0]C[-14],R[0]C[-10],R[0]C[-6],R[0]C[-2])</f>
        <v/>
      </c>
    </row>
    <row r="118">
      <c r="A118" t="inlineStr">
        <is>
          <t>Relative</t>
        </is>
      </c>
      <c r="B118" t="inlineStr">
        <is>
          <t>Q14</t>
        </is>
      </c>
      <c r="C118" t="n">
        <v>14</v>
      </c>
      <c r="D118" t="n">
        <v>17</v>
      </c>
      <c r="E118" t="inlineStr">
        <is>
          <t>Calculation</t>
        </is>
      </c>
      <c r="F118" t="inlineStr">
        <is>
          <t>'=MEDIAN(B14,F14,J14,N14)</t>
        </is>
      </c>
      <c r="G118" t="n">
        <v>42.51144594461888</v>
      </c>
      <c r="H118" t="inlineStr"/>
      <c r="I118" t="inlineStr">
        <is>
          <t>_-* #,##0_-;\-* #,##0_-;_-* "-"??_-;_-@_-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R118" t="b">
        <v>1</v>
      </c>
      <c r="S118" t="inlineStr">
        <is>
          <t>G000180</t>
        </is>
      </c>
      <c r="T118" t="inlineStr">
        <is>
          <t>Vertical</t>
        </is>
      </c>
      <c r="U118" t="n">
        <v>5</v>
      </c>
      <c r="V118" t="b">
        <v>1</v>
      </c>
      <c r="W118" t="inlineStr">
        <is>
          <t>Relative!Q12:Q16</t>
        </is>
      </c>
      <c r="X118">
        <f>MEDIAN(R[0]C[-15],R[0]C[-11],R[0]C[-7],R[0]C[-3])</f>
        <v/>
      </c>
    </row>
    <row r="119">
      <c r="A119" t="inlineStr">
        <is>
          <t>Relative</t>
        </is>
      </c>
      <c r="B119" t="inlineStr">
        <is>
          <t>A15</t>
        </is>
      </c>
      <c r="C119" t="n">
        <v>15</v>
      </c>
      <c r="D119" t="n">
        <v>1</v>
      </c>
      <c r="E119" t="inlineStr">
        <is>
          <t>Input</t>
        </is>
      </c>
      <c r="F119" t="n">
        <v/>
      </c>
      <c r="G119" t="inlineStr">
        <is>
          <t>Trailing PS</t>
        </is>
      </c>
      <c r="H119" t="inlineStr"/>
      <c r="I119" t="inlineStr">
        <is>
          <t>General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R119" t="b">
        <v>1</v>
      </c>
      <c r="S119" t="n">
        <v/>
      </c>
      <c r="T119" t="n">
        <v/>
      </c>
      <c r="U119" t="n">
        <v/>
      </c>
      <c r="V119" t="b">
        <v>0</v>
      </c>
      <c r="W119" t="inlineStr"/>
      <c r="X119" t="n">
        <v/>
      </c>
    </row>
    <row r="120">
      <c r="A120" t="inlineStr">
        <is>
          <t>Relative</t>
        </is>
      </c>
      <c r="B120" t="inlineStr">
        <is>
          <t>B15</t>
        </is>
      </c>
      <c r="C120" t="n">
        <v>15</v>
      </c>
      <c r="D120" t="n">
        <v>2</v>
      </c>
      <c r="E120" t="inlineStr">
        <is>
          <t>Calculation</t>
        </is>
      </c>
      <c r="F120" t="inlineStr">
        <is>
          <t>'=B9/(B4/B8)</t>
        </is>
      </c>
      <c r="G120" t="n">
        <v>2.450844591824106</v>
      </c>
      <c r="H120" t="inlineStr"/>
      <c r="I120" t="inlineStr">
        <is>
          <t>0.0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R120" t="b">
        <v>1</v>
      </c>
      <c r="S120" t="inlineStr">
        <is>
          <t>G000185</t>
        </is>
      </c>
      <c r="T120" t="inlineStr">
        <is>
          <t>Block</t>
        </is>
      </c>
      <c r="U120" t="n">
        <v>4</v>
      </c>
      <c r="V120" t="b">
        <v>1</v>
      </c>
      <c r="W120" t="inlineStr">
        <is>
          <t>Relative!B15:N15</t>
        </is>
      </c>
      <c r="X120">
        <f>R[-6]C[0]/(R[-11]C[0]/R[-7]C[0])</f>
        <v/>
      </c>
    </row>
    <row r="121">
      <c r="A121" t="inlineStr">
        <is>
          <t>Relative</t>
        </is>
      </c>
      <c r="B121" t="inlineStr">
        <is>
          <t>F15</t>
        </is>
      </c>
      <c r="C121" t="n">
        <v>15</v>
      </c>
      <c r="D121" t="n">
        <v>6</v>
      </c>
      <c r="E121" t="inlineStr">
        <is>
          <t>Calculation</t>
        </is>
      </c>
      <c r="F121" t="inlineStr">
        <is>
          <t>'=F9/(F4/F8)</t>
        </is>
      </c>
      <c r="G121" t="n">
        <v>3.350296861747244</v>
      </c>
      <c r="H121" t="inlineStr"/>
      <c r="I121" t="inlineStr">
        <is>
          <t>0.0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R121" t="b">
        <v>1</v>
      </c>
      <c r="S121" t="inlineStr">
        <is>
          <t>G000185</t>
        </is>
      </c>
      <c r="T121" t="inlineStr">
        <is>
          <t>Block</t>
        </is>
      </c>
      <c r="U121" t="n">
        <v>4</v>
      </c>
      <c r="V121" t="b">
        <v>1</v>
      </c>
      <c r="W121" t="inlineStr">
        <is>
          <t>Relative!B15:N15</t>
        </is>
      </c>
      <c r="X121">
        <f>R[-6]C[0]/(R[-11]C[0]/R[-7]C[0])</f>
        <v/>
      </c>
    </row>
    <row r="122">
      <c r="A122" t="inlineStr">
        <is>
          <t>Relative</t>
        </is>
      </c>
      <c r="B122" t="inlineStr">
        <is>
          <t>J15</t>
        </is>
      </c>
      <c r="C122" t="n">
        <v>15</v>
      </c>
      <c r="D122" t="n">
        <v>10</v>
      </c>
      <c r="E122" t="inlineStr">
        <is>
          <t>Calculation</t>
        </is>
      </c>
      <c r="F122" t="inlineStr">
        <is>
          <t>'=J9/(J4/J8)</t>
        </is>
      </c>
      <c r="G122" t="n">
        <v>4.427198499076281</v>
      </c>
      <c r="H122" t="inlineStr"/>
      <c r="I122" t="inlineStr">
        <is>
          <t>0.0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R122" t="b">
        <v>1</v>
      </c>
      <c r="S122" t="inlineStr">
        <is>
          <t>G000185</t>
        </is>
      </c>
      <c r="T122" t="inlineStr">
        <is>
          <t>Block</t>
        </is>
      </c>
      <c r="U122" t="n">
        <v>4</v>
      </c>
      <c r="V122" t="b">
        <v>1</v>
      </c>
      <c r="W122" t="inlineStr">
        <is>
          <t>Relative!B15:N15</t>
        </is>
      </c>
      <c r="X122">
        <f>R[-6]C[0]/(R[-11]C[0]/R[-7]C[0])</f>
        <v/>
      </c>
    </row>
    <row r="123">
      <c r="A123" t="inlineStr">
        <is>
          <t>Relative</t>
        </is>
      </c>
      <c r="B123" t="inlineStr">
        <is>
          <t>N15</t>
        </is>
      </c>
      <c r="C123" t="n">
        <v>15</v>
      </c>
      <c r="D123" t="n">
        <v>14</v>
      </c>
      <c r="E123" t="inlineStr">
        <is>
          <t>Calculation</t>
        </is>
      </c>
      <c r="F123" t="inlineStr">
        <is>
          <t>'=N9/(N4/N8)</t>
        </is>
      </c>
      <c r="G123" t="n">
        <v>2.937831056593254</v>
      </c>
      <c r="H123" t="inlineStr"/>
      <c r="I123" t="inlineStr">
        <is>
          <t>0.0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R123" t="b">
        <v>1</v>
      </c>
      <c r="S123" t="inlineStr">
        <is>
          <t>G000185</t>
        </is>
      </c>
      <c r="T123" t="inlineStr">
        <is>
          <t>Block</t>
        </is>
      </c>
      <c r="U123" t="n">
        <v>4</v>
      </c>
      <c r="V123" t="b">
        <v>1</v>
      </c>
      <c r="W123" t="inlineStr">
        <is>
          <t>Relative!B15:N15</t>
        </is>
      </c>
      <c r="X123">
        <f>R[-6]C[0]/(R[-11]C[0]/R[-7]C[0])</f>
        <v/>
      </c>
    </row>
    <row r="124">
      <c r="A124" t="inlineStr">
        <is>
          <t>Relative</t>
        </is>
      </c>
      <c r="B124" t="inlineStr">
        <is>
          <t>P15</t>
        </is>
      </c>
      <c r="C124" t="n">
        <v>15</v>
      </c>
      <c r="D124" t="n">
        <v>16</v>
      </c>
      <c r="E124" t="inlineStr">
        <is>
          <t>Output</t>
        </is>
      </c>
      <c r="F124" t="inlineStr">
        <is>
          <t>'=AVERAGE(B15,F15,J15,N15)</t>
        </is>
      </c>
      <c r="G124" t="n">
        <v>3.291542752310221</v>
      </c>
      <c r="H124" t="inlineStr"/>
      <c r="I124" t="inlineStr">
        <is>
          <t>_-* #,##0_-;\-* #,##0_-;_-* "-"??_-;_-@_-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R124" t="b">
        <v>1</v>
      </c>
      <c r="S124" t="inlineStr">
        <is>
          <t>G000177</t>
        </is>
      </c>
      <c r="T124" t="inlineStr">
        <is>
          <t>Vertical</t>
        </is>
      </c>
      <c r="U124" t="n">
        <v>5</v>
      </c>
      <c r="V124" t="b">
        <v>1</v>
      </c>
      <c r="W124" t="inlineStr">
        <is>
          <t>Relative!P12:P16</t>
        </is>
      </c>
      <c r="X124">
        <f>AVERAGE(R[0]C[-14],R[0]C[-10],R[0]C[-6],R[0]C[-2])</f>
        <v/>
      </c>
    </row>
    <row r="125">
      <c r="A125" t="inlineStr">
        <is>
          <t>Relative</t>
        </is>
      </c>
      <c r="B125" t="inlineStr">
        <is>
          <t>Q15</t>
        </is>
      </c>
      <c r="C125" t="n">
        <v>15</v>
      </c>
      <c r="D125" t="n">
        <v>17</v>
      </c>
      <c r="E125" t="inlineStr">
        <is>
          <t>Calculation</t>
        </is>
      </c>
      <c r="F125" t="inlineStr">
        <is>
          <t>'=MEDIAN(B15,F15,J15,N15)</t>
        </is>
      </c>
      <c r="G125" t="n">
        <v>3.144063959170249</v>
      </c>
      <c r="H125" t="inlineStr"/>
      <c r="I125" t="inlineStr">
        <is>
          <t>_-* #,##0_-;\-* #,##0_-;_-* "-"??_-;_-@_-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R125" t="b">
        <v>1</v>
      </c>
      <c r="S125" t="inlineStr">
        <is>
          <t>G000180</t>
        </is>
      </c>
      <c r="T125" t="inlineStr">
        <is>
          <t>Vertical</t>
        </is>
      </c>
      <c r="U125" t="n">
        <v>5</v>
      </c>
      <c r="V125" t="b">
        <v>1</v>
      </c>
      <c r="W125" t="inlineStr">
        <is>
          <t>Relative!Q12:Q16</t>
        </is>
      </c>
      <c r="X125">
        <f>MEDIAN(R[0]C[-15],R[0]C[-11],R[0]C[-7],R[0]C[-3])</f>
        <v/>
      </c>
    </row>
    <row r="126">
      <c r="A126" t="inlineStr">
        <is>
          <t>Relative</t>
        </is>
      </c>
      <c r="B126" t="inlineStr">
        <is>
          <t>A16</t>
        </is>
      </c>
      <c r="C126" t="n">
        <v>16</v>
      </c>
      <c r="D126" t="n">
        <v>1</v>
      </c>
      <c r="E126" t="inlineStr">
        <is>
          <t>Input</t>
        </is>
      </c>
      <c r="F126" t="n">
        <v/>
      </c>
      <c r="G126" t="inlineStr">
        <is>
          <t>Trailing PEG</t>
        </is>
      </c>
      <c r="H126" t="inlineStr"/>
      <c r="I126" t="inlineStr">
        <is>
          <t>General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R126" t="b">
        <v>1</v>
      </c>
      <c r="S126" t="n">
        <v/>
      </c>
      <c r="T126" t="n">
        <v/>
      </c>
      <c r="U126" t="n">
        <v/>
      </c>
      <c r="V126" t="b">
        <v>0</v>
      </c>
      <c r="W126" t="inlineStr"/>
      <c r="X126" t="n">
        <v/>
      </c>
    </row>
    <row r="127">
      <c r="A127" t="inlineStr">
        <is>
          <t>Relative</t>
        </is>
      </c>
      <c r="B127" t="inlineStr">
        <is>
          <t>B16</t>
        </is>
      </c>
      <c r="C127" t="n">
        <v>16</v>
      </c>
      <c r="D127" t="n">
        <v>2</v>
      </c>
      <c r="E127" t="inlineStr">
        <is>
          <t>Calculation</t>
        </is>
      </c>
      <c r="F127" t="inlineStr">
        <is>
          <t>'=B14/B13</t>
        </is>
      </c>
      <c r="G127" t="n">
        <v>477.2869649504985</v>
      </c>
      <c r="H127" t="inlineStr"/>
      <c r="I127" t="inlineStr">
        <is>
          <t>0.0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R127" t="b">
        <v>1</v>
      </c>
      <c r="S127" t="inlineStr">
        <is>
          <t>G000186</t>
        </is>
      </c>
      <c r="T127" t="inlineStr">
        <is>
          <t>Block</t>
        </is>
      </c>
      <c r="U127" t="n">
        <v>4</v>
      </c>
      <c r="V127" t="b">
        <v>1</v>
      </c>
      <c r="W127" t="inlineStr">
        <is>
          <t>Relative!B16:N16</t>
        </is>
      </c>
      <c r="X127">
        <f>R[-2]C[0]/R[-3]C[0]</f>
        <v/>
      </c>
    </row>
    <row r="128">
      <c r="A128" t="inlineStr">
        <is>
          <t>Relative</t>
        </is>
      </c>
      <c r="B128" t="inlineStr">
        <is>
          <t>F16</t>
        </is>
      </c>
      <c r="C128" t="n">
        <v>16</v>
      </c>
      <c r="D128" t="n">
        <v>6</v>
      </c>
      <c r="E128" t="inlineStr">
        <is>
          <t>Calculation</t>
        </is>
      </c>
      <c r="F128" t="inlineStr">
        <is>
          <t>'=F14/F13</t>
        </is>
      </c>
      <c r="G128" t="n">
        <v>357.8465571518425</v>
      </c>
      <c r="H128" t="inlineStr"/>
      <c r="I128" t="inlineStr">
        <is>
          <t>0.0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R128" t="b">
        <v>1</v>
      </c>
      <c r="S128" t="inlineStr">
        <is>
          <t>G000186</t>
        </is>
      </c>
      <c r="T128" t="inlineStr">
        <is>
          <t>Block</t>
        </is>
      </c>
      <c r="U128" t="n">
        <v>4</v>
      </c>
      <c r="V128" t="b">
        <v>1</v>
      </c>
      <c r="W128" t="inlineStr">
        <is>
          <t>Relative!B16:N16</t>
        </is>
      </c>
      <c r="X128">
        <f>R[-2]C[0]/R[-3]C[0]</f>
        <v/>
      </c>
    </row>
    <row r="129">
      <c r="A129" t="inlineStr">
        <is>
          <t>Relative</t>
        </is>
      </c>
      <c r="B129" t="inlineStr">
        <is>
          <t>J16</t>
        </is>
      </c>
      <c r="C129" t="n">
        <v>16</v>
      </c>
      <c r="D129" t="n">
        <v>10</v>
      </c>
      <c r="E129" t="inlineStr">
        <is>
          <t>Calculation</t>
        </is>
      </c>
      <c r="F129" t="inlineStr">
        <is>
          <t>'=J14/J13</t>
        </is>
      </c>
      <c r="G129" t="n">
        <v>388.8879788151596</v>
      </c>
      <c r="H129" t="inlineStr"/>
      <c r="I129" t="inlineStr">
        <is>
          <t>0.0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R129" t="b">
        <v>1</v>
      </c>
      <c r="S129" t="inlineStr">
        <is>
          <t>G000186</t>
        </is>
      </c>
      <c r="T129" t="inlineStr">
        <is>
          <t>Block</t>
        </is>
      </c>
      <c r="U129" t="n">
        <v>4</v>
      </c>
      <c r="V129" t="b">
        <v>1</v>
      </c>
      <c r="W129" t="inlineStr">
        <is>
          <t>Relative!B16:N16</t>
        </is>
      </c>
      <c r="X129">
        <f>R[-2]C[0]/R[-3]C[0]</f>
        <v/>
      </c>
    </row>
    <row r="130">
      <c r="A130" t="inlineStr">
        <is>
          <t>Relative</t>
        </is>
      </c>
      <c r="B130" t="inlineStr">
        <is>
          <t>N16</t>
        </is>
      </c>
      <c r="C130" t="n">
        <v>16</v>
      </c>
      <c r="D130" t="n">
        <v>14</v>
      </c>
      <c r="E130" t="inlineStr">
        <is>
          <t>Calculation</t>
        </is>
      </c>
      <c r="F130" t="inlineStr">
        <is>
          <t>'=N14/N13</t>
        </is>
      </c>
      <c r="G130" t="n">
        <v>334.4898379693007</v>
      </c>
      <c r="H130" t="inlineStr"/>
      <c r="I130" t="inlineStr">
        <is>
          <t>0.0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R130" t="b">
        <v>1</v>
      </c>
      <c r="S130" t="inlineStr">
        <is>
          <t>G000186</t>
        </is>
      </c>
      <c r="T130" t="inlineStr">
        <is>
          <t>Block</t>
        </is>
      </c>
      <c r="U130" t="n">
        <v>4</v>
      </c>
      <c r="V130" t="b">
        <v>1</v>
      </c>
      <c r="W130" t="inlineStr">
        <is>
          <t>Relative!B16:N16</t>
        </is>
      </c>
      <c r="X130">
        <f>R[-2]C[0]/R[-3]C[0]</f>
        <v/>
      </c>
    </row>
    <row r="131">
      <c r="A131" t="inlineStr">
        <is>
          <t>Relative</t>
        </is>
      </c>
      <c r="B131" t="inlineStr">
        <is>
          <t>P16</t>
        </is>
      </c>
      <c r="C131" t="n">
        <v>16</v>
      </c>
      <c r="D131" t="n">
        <v>16</v>
      </c>
      <c r="E131" t="inlineStr">
        <is>
          <t>Output</t>
        </is>
      </c>
      <c r="F131" t="inlineStr">
        <is>
          <t>'=AVERAGE(B16,F16,J16,N16)</t>
        </is>
      </c>
      <c r="G131" t="n">
        <v>389.6278347217003</v>
      </c>
      <c r="H131" t="inlineStr"/>
      <c r="I131" t="inlineStr">
        <is>
          <t>_-* #,##0_-;\-* #,##0_-;_-* "-"??_-;_-@_-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R131" t="b">
        <v>1</v>
      </c>
      <c r="S131" t="inlineStr">
        <is>
          <t>G000177</t>
        </is>
      </c>
      <c r="T131" t="inlineStr">
        <is>
          <t>Vertical</t>
        </is>
      </c>
      <c r="U131" t="n">
        <v>5</v>
      </c>
      <c r="V131" t="b">
        <v>1</v>
      </c>
      <c r="W131" t="inlineStr">
        <is>
          <t>Relative!P12:P16</t>
        </is>
      </c>
      <c r="X131">
        <f>AVERAGE(R[0]C[-14],R[0]C[-10],R[0]C[-6],R[0]C[-2])</f>
        <v/>
      </c>
    </row>
    <row r="132">
      <c r="A132" t="inlineStr">
        <is>
          <t>Relative</t>
        </is>
      </c>
      <c r="B132" t="inlineStr">
        <is>
          <t>Q16</t>
        </is>
      </c>
      <c r="C132" t="n">
        <v>16</v>
      </c>
      <c r="D132" t="n">
        <v>17</v>
      </c>
      <c r="E132" t="inlineStr">
        <is>
          <t>Calculation</t>
        </is>
      </c>
      <c r="F132" t="inlineStr">
        <is>
          <t>'=MEDIAN(B16,F16,J16,N16)</t>
        </is>
      </c>
      <c r="G132" t="n">
        <v>373.3672679835011</v>
      </c>
      <c r="H132" t="inlineStr"/>
      <c r="I132" t="inlineStr">
        <is>
          <t>_-* #,##0_-;\-* #,##0_-;_-* "-"??_-;_-@_-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R132" t="b">
        <v>1</v>
      </c>
      <c r="S132" t="inlineStr">
        <is>
          <t>G000180</t>
        </is>
      </c>
      <c r="T132" t="inlineStr">
        <is>
          <t>Vertical</t>
        </is>
      </c>
      <c r="U132" t="n">
        <v>5</v>
      </c>
      <c r="V132" t="b">
        <v>1</v>
      </c>
      <c r="W132" t="inlineStr">
        <is>
          <t>Relative!Q12:Q16</t>
        </is>
      </c>
      <c r="X132">
        <f>MEDIAN(R[0]C[-15],R[0]C[-11],R[0]C[-7],R[0]C[-3])</f>
        <v/>
      </c>
    </row>
    <row r="133">
      <c r="A133" t="inlineStr">
        <is>
          <t>Relative</t>
        </is>
      </c>
      <c r="B133" t="inlineStr">
        <is>
          <t>A18</t>
        </is>
      </c>
      <c r="C133" t="n">
        <v>18</v>
      </c>
      <c r="D133" t="n">
        <v>1</v>
      </c>
      <c r="E133" t="inlineStr">
        <is>
          <t>Input</t>
        </is>
      </c>
      <c r="F133" t="n">
        <v/>
      </c>
      <c r="G133" t="inlineStr">
        <is>
          <t>Leading PE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Relative</t>
        </is>
      </c>
      <c r="B134" t="inlineStr">
        <is>
          <t>B18</t>
        </is>
      </c>
      <c r="C134" t="n">
        <v>18</v>
      </c>
      <c r="D134" t="n">
        <v>2</v>
      </c>
      <c r="E134" t="inlineStr">
        <is>
          <t>Calculation</t>
        </is>
      </c>
      <c r="F134" t="inlineStr">
        <is>
          <t>'=B9/C3</t>
        </is>
      </c>
      <c r="G134" t="n">
        <v>35.03555598380655</v>
      </c>
      <c r="H134" t="inlineStr"/>
      <c r="I134" t="inlineStr">
        <is>
          <t>0.0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R134" t="b">
        <v>1</v>
      </c>
      <c r="S134" t="inlineStr">
        <is>
          <t>G000187</t>
        </is>
      </c>
      <c r="T134" t="inlineStr">
        <is>
          <t>Block</t>
        </is>
      </c>
      <c r="U134" t="n">
        <v>4</v>
      </c>
      <c r="V134" t="b">
        <v>1</v>
      </c>
      <c r="W134" t="inlineStr">
        <is>
          <t>Relative!B18:N18</t>
        </is>
      </c>
      <c r="X134">
        <f>R[-9]C[0]/R[-15]C[1]</f>
        <v/>
      </c>
    </row>
    <row r="135">
      <c r="A135" t="inlineStr">
        <is>
          <t>Relative</t>
        </is>
      </c>
      <c r="B135" t="inlineStr">
        <is>
          <t>F18</t>
        </is>
      </c>
      <c r="C135" t="n">
        <v>18</v>
      </c>
      <c r="D135" t="n">
        <v>6</v>
      </c>
      <c r="E135" t="inlineStr">
        <is>
          <t>Calculation</t>
        </is>
      </c>
      <c r="F135" t="inlineStr">
        <is>
          <t>'=F9/G3</t>
        </is>
      </c>
      <c r="G135" t="n">
        <v>37.98076923076923</v>
      </c>
      <c r="H135" t="inlineStr"/>
      <c r="I135" t="inlineStr">
        <is>
          <t>0.0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R135" t="b">
        <v>1</v>
      </c>
      <c r="S135" t="inlineStr">
        <is>
          <t>G000187</t>
        </is>
      </c>
      <c r="T135" t="inlineStr">
        <is>
          <t>Block</t>
        </is>
      </c>
      <c r="U135" t="n">
        <v>4</v>
      </c>
      <c r="V135" t="b">
        <v>1</v>
      </c>
      <c r="W135" t="inlineStr">
        <is>
          <t>Relative!B18:N18</t>
        </is>
      </c>
      <c r="X135">
        <f>R[-9]C[0]/R[-15]C[1]</f>
        <v/>
      </c>
    </row>
    <row r="136">
      <c r="A136" t="inlineStr">
        <is>
          <t>Relative</t>
        </is>
      </c>
      <c r="B136" t="inlineStr">
        <is>
          <t>J18</t>
        </is>
      </c>
      <c r="C136" t="n">
        <v>18</v>
      </c>
      <c r="D136" t="n">
        <v>10</v>
      </c>
      <c r="E136" t="inlineStr">
        <is>
          <t>Calculation</t>
        </is>
      </c>
      <c r="F136" t="inlineStr">
        <is>
          <t>'=J9/K3</t>
        </is>
      </c>
      <c r="G136" t="n">
        <v>34.06432748538012</v>
      </c>
      <c r="H136" t="inlineStr"/>
      <c r="I136" t="inlineStr">
        <is>
          <t>0.0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R136" t="b">
        <v>1</v>
      </c>
      <c r="S136" t="inlineStr">
        <is>
          <t>G000187</t>
        </is>
      </c>
      <c r="T136" t="inlineStr">
        <is>
          <t>Block</t>
        </is>
      </c>
      <c r="U136" t="n">
        <v>4</v>
      </c>
      <c r="V136" t="b">
        <v>1</v>
      </c>
      <c r="W136" t="inlineStr">
        <is>
          <t>Relative!B18:N18</t>
        </is>
      </c>
      <c r="X136">
        <f>R[-9]C[0]/R[-15]C[1]</f>
        <v/>
      </c>
    </row>
    <row r="137">
      <c r="A137" t="inlineStr">
        <is>
          <t>Relative</t>
        </is>
      </c>
      <c r="B137" t="inlineStr">
        <is>
          <t>N18</t>
        </is>
      </c>
      <c r="C137" t="n">
        <v>18</v>
      </c>
      <c r="D137" t="n">
        <v>14</v>
      </c>
      <c r="E137" t="inlineStr">
        <is>
          <t>Calculation</t>
        </is>
      </c>
      <c r="F137" t="inlineStr">
        <is>
          <t>'=N9/O3</t>
        </is>
      </c>
      <c r="G137" t="n">
        <v>89.53271028037383</v>
      </c>
      <c r="H137" t="inlineStr"/>
      <c r="I137" t="inlineStr">
        <is>
          <t>0.0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R137" t="b">
        <v>1</v>
      </c>
      <c r="S137" t="inlineStr">
        <is>
          <t>G000187</t>
        </is>
      </c>
      <c r="T137" t="inlineStr">
        <is>
          <t>Block</t>
        </is>
      </c>
      <c r="U137" t="n">
        <v>4</v>
      </c>
      <c r="V137" t="b">
        <v>1</v>
      </c>
      <c r="W137" t="inlineStr">
        <is>
          <t>Relative!B18:N18</t>
        </is>
      </c>
      <c r="X137">
        <f>R[-9]C[0]/R[-15]C[1]</f>
        <v/>
      </c>
    </row>
    <row r="138">
      <c r="A138" t="inlineStr">
        <is>
          <t>Relative</t>
        </is>
      </c>
      <c r="B138" t="inlineStr">
        <is>
          <t>P18</t>
        </is>
      </c>
      <c r="C138" t="n">
        <v>18</v>
      </c>
      <c r="D138" t="n">
        <v>16</v>
      </c>
      <c r="E138" t="inlineStr">
        <is>
          <t>Output</t>
        </is>
      </c>
      <c r="F138" t="inlineStr">
        <is>
          <t>'=AVERAGE(B18,F18,J18,N18)</t>
        </is>
      </c>
      <c r="G138" t="n">
        <v>49.15334074508243</v>
      </c>
      <c r="H138" t="inlineStr"/>
      <c r="I138" t="inlineStr">
        <is>
          <t>_-* #,##0_-;\-* #,##0_-;_-* "-"??_-;_-@_-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R138" t="b">
        <v>1</v>
      </c>
      <c r="S138" t="inlineStr">
        <is>
          <t>G000178</t>
        </is>
      </c>
      <c r="T138" t="inlineStr">
        <is>
          <t>Vertical</t>
        </is>
      </c>
      <c r="U138" t="n">
        <v>3</v>
      </c>
      <c r="V138" t="b">
        <v>1</v>
      </c>
      <c r="W138" t="inlineStr">
        <is>
          <t>Relative!P18:P20</t>
        </is>
      </c>
      <c r="X138">
        <f>AVERAGE(R[0]C[-14],R[0]C[-10],R[0]C[-6],R[0]C[-2])</f>
        <v/>
      </c>
    </row>
    <row r="139">
      <c r="A139" t="inlineStr">
        <is>
          <t>Relative</t>
        </is>
      </c>
      <c r="B139" t="inlineStr">
        <is>
          <t>Q18</t>
        </is>
      </c>
      <c r="C139" t="n">
        <v>18</v>
      </c>
      <c r="D139" t="n">
        <v>17</v>
      </c>
      <c r="E139" t="inlineStr">
        <is>
          <t>Calculation</t>
        </is>
      </c>
      <c r="F139" t="inlineStr">
        <is>
          <t>'=MEDIAN(B18,F18,J18,N18)</t>
        </is>
      </c>
      <c r="G139" t="n">
        <v>36.50816260728789</v>
      </c>
      <c r="H139" t="inlineStr"/>
      <c r="I139" t="inlineStr">
        <is>
          <t>_-* #,##0_-;\-* #,##0_-;_-* "-"??_-;_-@_-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R139" t="b">
        <v>1</v>
      </c>
      <c r="S139" t="inlineStr">
        <is>
          <t>G000181</t>
        </is>
      </c>
      <c r="T139" t="inlineStr">
        <is>
          <t>Vertical</t>
        </is>
      </c>
      <c r="U139" t="n">
        <v>3</v>
      </c>
      <c r="V139" t="b">
        <v>1</v>
      </c>
      <c r="W139" t="inlineStr">
        <is>
          <t>Relative!Q18:Q20</t>
        </is>
      </c>
      <c r="X139">
        <f>MEDIAN(R[0]C[-15],R[0]C[-11],R[0]C[-7],R[0]C[-3])</f>
        <v/>
      </c>
    </row>
    <row r="140">
      <c r="A140" t="inlineStr">
        <is>
          <t>Relative</t>
        </is>
      </c>
      <c r="B140" t="inlineStr">
        <is>
          <t>A19</t>
        </is>
      </c>
      <c r="C140" t="n">
        <v>19</v>
      </c>
      <c r="D140" t="n">
        <v>1</v>
      </c>
      <c r="E140" t="inlineStr">
        <is>
          <t>Input</t>
        </is>
      </c>
      <c r="F140" t="n">
        <v/>
      </c>
      <c r="G140" t="inlineStr">
        <is>
          <t>Leading PS</t>
        </is>
      </c>
      <c r="H140" t="inlineStr"/>
      <c r="I140" t="inlineStr">
        <is>
          <t>General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R140" t="b">
        <v>1</v>
      </c>
      <c r="S140" t="n">
        <v/>
      </c>
      <c r="T140" t="n">
        <v/>
      </c>
      <c r="U140" t="n">
        <v/>
      </c>
      <c r="V140" t="b">
        <v>0</v>
      </c>
      <c r="W140" t="inlineStr"/>
      <c r="X140" t="n">
        <v/>
      </c>
    </row>
    <row r="141">
      <c r="A141" t="inlineStr">
        <is>
          <t>Relative</t>
        </is>
      </c>
      <c r="B141" t="inlineStr">
        <is>
          <t>B19</t>
        </is>
      </c>
      <c r="C141" t="n">
        <v>19</v>
      </c>
      <c r="D141" t="n">
        <v>2</v>
      </c>
      <c r="E141" t="inlineStr">
        <is>
          <t>Calculation</t>
        </is>
      </c>
      <c r="F141" t="inlineStr">
        <is>
          <t>'=B9/(C4/B8)</t>
        </is>
      </c>
      <c r="G141" t="n">
        <v>2.276504676709047</v>
      </c>
      <c r="H141" t="inlineStr"/>
      <c r="I141" t="inlineStr">
        <is>
          <t>0.00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R141" t="b">
        <v>1</v>
      </c>
      <c r="S141" t="inlineStr">
        <is>
          <t>G000188</t>
        </is>
      </c>
      <c r="T141" t="inlineStr">
        <is>
          <t>Block</t>
        </is>
      </c>
      <c r="U141" t="n">
        <v>4</v>
      </c>
      <c r="V141" t="b">
        <v>1</v>
      </c>
      <c r="W141" t="inlineStr">
        <is>
          <t>Relative!B19:N19</t>
        </is>
      </c>
      <c r="X141">
        <f>R[-10]C[0]/(R[-15]C[1]/R[-11]C[0])</f>
        <v/>
      </c>
    </row>
    <row r="142">
      <c r="A142" t="inlineStr">
        <is>
          <t>Relative</t>
        </is>
      </c>
      <c r="B142" t="inlineStr">
        <is>
          <t>F19</t>
        </is>
      </c>
      <c r="C142" t="n">
        <v>19</v>
      </c>
      <c r="D142" t="n">
        <v>6</v>
      </c>
      <c r="E142" t="inlineStr">
        <is>
          <t>Calculation</t>
        </is>
      </c>
      <c r="F142" t="inlineStr">
        <is>
          <t>'=F9/(G4/F8)</t>
        </is>
      </c>
      <c r="G142" t="n">
        <v>2.964969906500579</v>
      </c>
      <c r="H142" t="inlineStr"/>
      <c r="I142" t="inlineStr">
        <is>
          <t>0.00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R142" t="b">
        <v>1</v>
      </c>
      <c r="S142" t="inlineStr">
        <is>
          <t>G000188</t>
        </is>
      </c>
      <c r="T142" t="inlineStr">
        <is>
          <t>Block</t>
        </is>
      </c>
      <c r="U142" t="n">
        <v>4</v>
      </c>
      <c r="V142" t="b">
        <v>1</v>
      </c>
      <c r="W142" t="inlineStr">
        <is>
          <t>Relative!B19:N19</t>
        </is>
      </c>
      <c r="X142">
        <f>R[-10]C[0]/(R[-15]C[1]/R[-11]C[0])</f>
        <v/>
      </c>
    </row>
    <row r="143">
      <c r="A143" t="inlineStr">
        <is>
          <t>Relative</t>
        </is>
      </c>
      <c r="B143" t="inlineStr">
        <is>
          <t>J19</t>
        </is>
      </c>
      <c r="C143" t="n">
        <v>19</v>
      </c>
      <c r="D143" t="n">
        <v>10</v>
      </c>
      <c r="E143" t="inlineStr">
        <is>
          <t>Calculation</t>
        </is>
      </c>
      <c r="F143" t="inlineStr">
        <is>
          <t>'=J9/(K4/J8)</t>
        </is>
      </c>
      <c r="G143" t="n">
        <v>4.037687586754782</v>
      </c>
      <c r="H143" t="inlineStr"/>
      <c r="I143" t="inlineStr">
        <is>
          <t>0.00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R143" t="b">
        <v>1</v>
      </c>
      <c r="S143" t="inlineStr">
        <is>
          <t>G000188</t>
        </is>
      </c>
      <c r="T143" t="inlineStr">
        <is>
          <t>Block</t>
        </is>
      </c>
      <c r="U143" t="n">
        <v>4</v>
      </c>
      <c r="V143" t="b">
        <v>1</v>
      </c>
      <c r="W143" t="inlineStr">
        <is>
          <t>Relative!B19:N19</t>
        </is>
      </c>
      <c r="X143">
        <f>R[-10]C[0]/(R[-15]C[1]/R[-11]C[0])</f>
        <v/>
      </c>
    </row>
    <row r="144">
      <c r="A144" t="inlineStr">
        <is>
          <t>Relative</t>
        </is>
      </c>
      <c r="B144" t="inlineStr">
        <is>
          <t>N19</t>
        </is>
      </c>
      <c r="C144" t="n">
        <v>19</v>
      </c>
      <c r="D144" t="n">
        <v>14</v>
      </c>
      <c r="E144" t="inlineStr">
        <is>
          <t>Calculation</t>
        </is>
      </c>
      <c r="F144" t="inlineStr">
        <is>
          <t>'=N9/(O4/N8)</t>
        </is>
      </c>
      <c r="G144" t="n">
        <v>2.58047138047138</v>
      </c>
      <c r="H144" t="inlineStr"/>
      <c r="I144" t="inlineStr">
        <is>
          <t>0.00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R144" t="b">
        <v>1</v>
      </c>
      <c r="S144" t="inlineStr">
        <is>
          <t>G000188</t>
        </is>
      </c>
      <c r="T144" t="inlineStr">
        <is>
          <t>Block</t>
        </is>
      </c>
      <c r="U144" t="n">
        <v>4</v>
      </c>
      <c r="V144" t="b">
        <v>1</v>
      </c>
      <c r="W144" t="inlineStr">
        <is>
          <t>Relative!B19:N19</t>
        </is>
      </c>
      <c r="X144">
        <f>R[-10]C[0]/(R[-15]C[1]/R[-11]C[0])</f>
        <v/>
      </c>
    </row>
    <row r="145">
      <c r="A145" t="inlineStr">
        <is>
          <t>Relative</t>
        </is>
      </c>
      <c r="B145" t="inlineStr">
        <is>
          <t>P19</t>
        </is>
      </c>
      <c r="C145" t="n">
        <v>19</v>
      </c>
      <c r="D145" t="n">
        <v>16</v>
      </c>
      <c r="E145" t="inlineStr">
        <is>
          <t>Output</t>
        </is>
      </c>
      <c r="F145" t="inlineStr">
        <is>
          <t>'=AVERAGE(B19,F19,J19,N19)</t>
        </is>
      </c>
      <c r="G145" t="n">
        <v>2.964908387608947</v>
      </c>
      <c r="H145" t="inlineStr"/>
      <c r="I145" t="inlineStr">
        <is>
          <t>_-* #,##0_-;\-* #,##0_-;_-* "-"??_-;_-@_-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R145" t="b">
        <v>1</v>
      </c>
      <c r="S145" t="inlineStr">
        <is>
          <t>G000178</t>
        </is>
      </c>
      <c r="T145" t="inlineStr">
        <is>
          <t>Vertical</t>
        </is>
      </c>
      <c r="U145" t="n">
        <v>3</v>
      </c>
      <c r="V145" t="b">
        <v>1</v>
      </c>
      <c r="W145" t="inlineStr">
        <is>
          <t>Relative!P18:P20</t>
        </is>
      </c>
      <c r="X145">
        <f>AVERAGE(R[0]C[-14],R[0]C[-10],R[0]C[-6],R[0]C[-2])</f>
        <v/>
      </c>
    </row>
    <row r="146">
      <c r="A146" t="inlineStr">
        <is>
          <t>Relative</t>
        </is>
      </c>
      <c r="B146" t="inlineStr">
        <is>
          <t>Q19</t>
        </is>
      </c>
      <c r="C146" t="n">
        <v>19</v>
      </c>
      <c r="D146" t="n">
        <v>17</v>
      </c>
      <c r="E146" t="inlineStr">
        <is>
          <t>Calculation</t>
        </is>
      </c>
      <c r="F146" t="inlineStr">
        <is>
          <t>'=MEDIAN(B19,F19,J19,N19)</t>
        </is>
      </c>
      <c r="G146" t="n">
        <v>2.77272064348598</v>
      </c>
      <c r="H146" t="inlineStr"/>
      <c r="I146" t="inlineStr">
        <is>
          <t>_-* #,##0_-;\-* #,##0_-;_-* "-"??_-;_-@_-</t>
        </is>
      </c>
      <c r="J146" t="b">
        <v>0</v>
      </c>
      <c r="K146" t="b">
        <v>0</v>
      </c>
      <c r="L146" t="n">
        <v>11</v>
      </c>
      <c r="M146" t="inlineStr">
        <is>
          <t>FF000000</t>
        </is>
      </c>
      <c r="N146" t="inlineStr">
        <is>
          <t>00000000</t>
        </is>
      </c>
      <c r="O146" t="n">
        <v/>
      </c>
      <c r="R146" t="b">
        <v>1</v>
      </c>
      <c r="S146" t="inlineStr">
        <is>
          <t>G000181</t>
        </is>
      </c>
      <c r="T146" t="inlineStr">
        <is>
          <t>Vertical</t>
        </is>
      </c>
      <c r="U146" t="n">
        <v>3</v>
      </c>
      <c r="V146" t="b">
        <v>1</v>
      </c>
      <c r="W146" t="inlineStr">
        <is>
          <t>Relative!Q18:Q20</t>
        </is>
      </c>
      <c r="X146">
        <f>MEDIAN(R[0]C[-15],R[0]C[-11],R[0]C[-7],R[0]C[-3])</f>
        <v/>
      </c>
    </row>
    <row r="147">
      <c r="A147" t="inlineStr">
        <is>
          <t>Relative</t>
        </is>
      </c>
      <c r="B147" t="inlineStr">
        <is>
          <t>A20</t>
        </is>
      </c>
      <c r="C147" t="n">
        <v>20</v>
      </c>
      <c r="D147" t="n">
        <v>1</v>
      </c>
      <c r="E147" t="inlineStr">
        <is>
          <t>Input</t>
        </is>
      </c>
      <c r="F147" t="n">
        <v/>
      </c>
      <c r="G147" t="inlineStr">
        <is>
          <t>Leading PEG</t>
        </is>
      </c>
      <c r="H147" t="inlineStr"/>
      <c r="I147" t="inlineStr">
        <is>
          <t>General</t>
        </is>
      </c>
      <c r="J147" t="b">
        <v>0</v>
      </c>
      <c r="K147" t="b">
        <v>0</v>
      </c>
      <c r="L147" t="n">
        <v>11</v>
      </c>
      <c r="M147" t="inlineStr">
        <is>
          <t>FF000000</t>
        </is>
      </c>
      <c r="N147" t="inlineStr">
        <is>
          <t>00000000</t>
        </is>
      </c>
      <c r="O147" t="n">
        <v/>
      </c>
      <c r="R147" t="b">
        <v>1</v>
      </c>
      <c r="S147" t="n">
        <v/>
      </c>
      <c r="T147" t="n">
        <v/>
      </c>
      <c r="U147" t="n">
        <v/>
      </c>
      <c r="V147" t="b">
        <v>0</v>
      </c>
      <c r="W147" t="inlineStr"/>
      <c r="X147" t="n">
        <v/>
      </c>
    </row>
    <row r="148">
      <c r="A148" t="inlineStr">
        <is>
          <t>Relative</t>
        </is>
      </c>
      <c r="B148" t="inlineStr">
        <is>
          <t>B20</t>
        </is>
      </c>
      <c r="C148" t="n">
        <v>20</v>
      </c>
      <c r="D148" t="n">
        <v>2</v>
      </c>
      <c r="E148" t="inlineStr">
        <is>
          <t>Calculation</t>
        </is>
      </c>
      <c r="F148" t="inlineStr">
        <is>
          <t>'=B18/B13</t>
        </is>
      </c>
      <c r="G148" t="n">
        <v>461.3806088211855</v>
      </c>
      <c r="H148" t="inlineStr"/>
      <c r="I148" t="inlineStr">
        <is>
          <t>0.0</t>
        </is>
      </c>
      <c r="J148" t="b">
        <v>0</v>
      </c>
      <c r="K148" t="b">
        <v>0</v>
      </c>
      <c r="L148" t="n">
        <v>11</v>
      </c>
      <c r="M148" t="inlineStr">
        <is>
          <t>FF000000</t>
        </is>
      </c>
      <c r="N148" t="inlineStr">
        <is>
          <t>00000000</t>
        </is>
      </c>
      <c r="O148" t="n">
        <v/>
      </c>
      <c r="R148" t="b">
        <v>1</v>
      </c>
      <c r="S148" t="inlineStr">
        <is>
          <t>G000189</t>
        </is>
      </c>
      <c r="T148" t="inlineStr">
        <is>
          <t>Block</t>
        </is>
      </c>
      <c r="U148" t="n">
        <v>4</v>
      </c>
      <c r="V148" t="b">
        <v>1</v>
      </c>
      <c r="W148" t="inlineStr">
        <is>
          <t>Relative!B20:N20</t>
        </is>
      </c>
      <c r="X148">
        <f>R[-2]C[0]/R[-7]C[0]</f>
        <v/>
      </c>
    </row>
    <row r="149">
      <c r="A149" t="inlineStr">
        <is>
          <t>Relative</t>
        </is>
      </c>
      <c r="B149" t="inlineStr">
        <is>
          <t>F20</t>
        </is>
      </c>
      <c r="C149" t="n">
        <v>20</v>
      </c>
      <c r="D149" t="n">
        <v>6</v>
      </c>
      <c r="E149" t="inlineStr">
        <is>
          <t>Calculation</t>
        </is>
      </c>
      <c r="F149" t="inlineStr">
        <is>
          <t>'=F18/F13</t>
        </is>
      </c>
      <c r="G149" t="n">
        <v>278.3633314767698</v>
      </c>
      <c r="H149" t="inlineStr"/>
      <c r="I149" t="inlineStr">
        <is>
          <t>0.0</t>
        </is>
      </c>
      <c r="J149" t="b">
        <v>0</v>
      </c>
      <c r="K149" t="b">
        <v>0</v>
      </c>
      <c r="L149" t="n">
        <v>11</v>
      </c>
      <c r="M149" t="inlineStr">
        <is>
          <t>FF000000</t>
        </is>
      </c>
      <c r="N149" t="inlineStr">
        <is>
          <t>00000000</t>
        </is>
      </c>
      <c r="O149" t="n">
        <v/>
      </c>
      <c r="R149" t="b">
        <v>1</v>
      </c>
      <c r="S149" t="inlineStr">
        <is>
          <t>G000189</t>
        </is>
      </c>
      <c r="T149" t="inlineStr">
        <is>
          <t>Block</t>
        </is>
      </c>
      <c r="U149" t="n">
        <v>4</v>
      </c>
      <c r="V149" t="b">
        <v>1</v>
      </c>
      <c r="W149" t="inlineStr">
        <is>
          <t>Relative!B20:N20</t>
        </is>
      </c>
      <c r="X149">
        <f>R[-2]C[0]/R[-7]C[0]</f>
        <v/>
      </c>
    </row>
    <row r="150">
      <c r="A150" t="inlineStr">
        <is>
          <t>Relative</t>
        </is>
      </c>
      <c r="B150" t="inlineStr">
        <is>
          <t>J20</t>
        </is>
      </c>
      <c r="C150" t="n">
        <v>20</v>
      </c>
      <c r="D150" t="n">
        <v>10</v>
      </c>
      <c r="E150" t="inlineStr">
        <is>
          <t>Calculation</t>
        </is>
      </c>
      <c r="F150" t="inlineStr">
        <is>
          <t>'=J18/J13</t>
        </is>
      </c>
      <c r="G150" t="n">
        <v>357.6177466004904</v>
      </c>
      <c r="H150" t="inlineStr"/>
      <c r="I150" t="inlineStr">
        <is>
          <t>0.0</t>
        </is>
      </c>
      <c r="J150" t="b">
        <v>0</v>
      </c>
      <c r="K150" t="b">
        <v>0</v>
      </c>
      <c r="L150" t="n">
        <v>11</v>
      </c>
      <c r="M150" t="inlineStr">
        <is>
          <t>FF000000</t>
        </is>
      </c>
      <c r="N150" t="inlineStr">
        <is>
          <t>00000000</t>
        </is>
      </c>
      <c r="O150" t="n">
        <v/>
      </c>
      <c r="R150" t="b">
        <v>1</v>
      </c>
      <c r="S150" t="inlineStr">
        <is>
          <t>G000189</t>
        </is>
      </c>
      <c r="T150" t="inlineStr">
        <is>
          <t>Block</t>
        </is>
      </c>
      <c r="U150" t="n">
        <v>4</v>
      </c>
      <c r="V150" t="b">
        <v>1</v>
      </c>
      <c r="W150" t="inlineStr">
        <is>
          <t>Relative!B20:N20</t>
        </is>
      </c>
      <c r="X150">
        <f>R[-2]C[0]/R[-7]C[0]</f>
        <v/>
      </c>
    </row>
    <row r="151">
      <c r="A151" t="inlineStr">
        <is>
          <t>Relative</t>
        </is>
      </c>
      <c r="B151" t="inlineStr">
        <is>
          <t>N20</t>
        </is>
      </c>
      <c r="C151" t="n">
        <v>20</v>
      </c>
      <c r="D151" t="n">
        <v>14</v>
      </c>
      <c r="E151" t="inlineStr">
        <is>
          <t>Calculation</t>
        </is>
      </c>
      <c r="F151" t="inlineStr">
        <is>
          <t>'=N18/N13</t>
        </is>
      </c>
      <c r="G151" t="n">
        <v>624.172625992558</v>
      </c>
      <c r="H151" t="inlineStr"/>
      <c r="I151" t="inlineStr">
        <is>
          <t>0.0</t>
        </is>
      </c>
      <c r="J151" t="b">
        <v>0</v>
      </c>
      <c r="K151" t="b">
        <v>0</v>
      </c>
      <c r="L151" t="n">
        <v>11</v>
      </c>
      <c r="M151" t="inlineStr">
        <is>
          <t>FF000000</t>
        </is>
      </c>
      <c r="N151" t="inlineStr">
        <is>
          <t>00000000</t>
        </is>
      </c>
      <c r="O151" t="n">
        <v/>
      </c>
      <c r="R151" t="b">
        <v>1</v>
      </c>
      <c r="S151" t="inlineStr">
        <is>
          <t>G000189</t>
        </is>
      </c>
      <c r="T151" t="inlineStr">
        <is>
          <t>Block</t>
        </is>
      </c>
      <c r="U151" t="n">
        <v>4</v>
      </c>
      <c r="V151" t="b">
        <v>1</v>
      </c>
      <c r="W151" t="inlineStr">
        <is>
          <t>Relative!B20:N20</t>
        </is>
      </c>
      <c r="X151">
        <f>R[-2]C[0]/R[-7]C[0]</f>
        <v/>
      </c>
    </row>
    <row r="152">
      <c r="A152" t="inlineStr">
        <is>
          <t>Relative</t>
        </is>
      </c>
      <c r="B152" t="inlineStr">
        <is>
          <t>P20</t>
        </is>
      </c>
      <c r="C152" t="n">
        <v>20</v>
      </c>
      <c r="D152" t="n">
        <v>16</v>
      </c>
      <c r="E152" t="inlineStr">
        <is>
          <t>Output</t>
        </is>
      </c>
      <c r="F152" t="inlineStr">
        <is>
          <t>'=AVERAGE(B20,F20,J20,N20)</t>
        </is>
      </c>
      <c r="G152" t="n">
        <v>430.3835782227509</v>
      </c>
      <c r="H152" t="inlineStr"/>
      <c r="I152" t="inlineStr">
        <is>
          <t>_-* #,##0_-;\-* #,##0_-;_-* "-"??_-;_-@_-</t>
        </is>
      </c>
      <c r="J152" t="b">
        <v>0</v>
      </c>
      <c r="K152" t="b">
        <v>0</v>
      </c>
      <c r="L152" t="n">
        <v>11</v>
      </c>
      <c r="M152" t="inlineStr">
        <is>
          <t>FF000000</t>
        </is>
      </c>
      <c r="N152" t="inlineStr">
        <is>
          <t>00000000</t>
        </is>
      </c>
      <c r="O152" t="n">
        <v/>
      </c>
      <c r="R152" t="b">
        <v>1</v>
      </c>
      <c r="S152" t="inlineStr">
        <is>
          <t>G000178</t>
        </is>
      </c>
      <c r="T152" t="inlineStr">
        <is>
          <t>Vertical</t>
        </is>
      </c>
      <c r="U152" t="n">
        <v>3</v>
      </c>
      <c r="V152" t="b">
        <v>1</v>
      </c>
      <c r="W152" t="inlineStr">
        <is>
          <t>Relative!P18:P20</t>
        </is>
      </c>
      <c r="X152">
        <f>AVERAGE(R[0]C[-14],R[0]C[-10],R[0]C[-6],R[0]C[-2])</f>
        <v/>
      </c>
    </row>
    <row r="153">
      <c r="A153" t="inlineStr">
        <is>
          <t>Relative</t>
        </is>
      </c>
      <c r="B153" t="inlineStr">
        <is>
          <t>Q20</t>
        </is>
      </c>
      <c r="C153" t="n">
        <v>20</v>
      </c>
      <c r="D153" t="n">
        <v>17</v>
      </c>
      <c r="E153" t="inlineStr">
        <is>
          <t>Calculation</t>
        </is>
      </c>
      <c r="F153" t="inlineStr">
        <is>
          <t>'=MEDIAN(B20,F20,J20,N20)</t>
        </is>
      </c>
      <c r="G153" t="n">
        <v>409.4991777108379</v>
      </c>
      <c r="H153" t="inlineStr"/>
      <c r="I153" t="inlineStr">
        <is>
          <t>_-* #,##0_-;\-* #,##0_-;_-* "-"??_-;_-@_-</t>
        </is>
      </c>
      <c r="J153" t="b">
        <v>0</v>
      </c>
      <c r="K153" t="b">
        <v>0</v>
      </c>
      <c r="L153" t="n">
        <v>11</v>
      </c>
      <c r="M153" t="inlineStr">
        <is>
          <t>FF000000</t>
        </is>
      </c>
      <c r="N153" t="inlineStr">
        <is>
          <t>00000000</t>
        </is>
      </c>
      <c r="O153" t="n">
        <v/>
      </c>
      <c r="R153" t="b">
        <v>1</v>
      </c>
      <c r="S153" t="inlineStr">
        <is>
          <t>G000181</t>
        </is>
      </c>
      <c r="T153" t="inlineStr">
        <is>
          <t>Vertical</t>
        </is>
      </c>
      <c r="U153" t="n">
        <v>3</v>
      </c>
      <c r="V153" t="b">
        <v>1</v>
      </c>
      <c r="W153" t="inlineStr">
        <is>
          <t>Relative!Q18:Q20</t>
        </is>
      </c>
      <c r="X153">
        <f>MEDIAN(R[0]C[-15],R[0]C[-11],R[0]C[-7],R[0]C[-3])</f>
        <v/>
      </c>
    </row>
    <row r="154">
      <c r="A154" t="inlineStr">
        <is>
          <t>Relative</t>
        </is>
      </c>
      <c r="B154" t="inlineStr">
        <is>
          <t>A22</t>
        </is>
      </c>
      <c r="C154" t="n">
        <v>22</v>
      </c>
      <c r="D154" t="n">
        <v>1</v>
      </c>
      <c r="E154" t="inlineStr">
        <is>
          <t>Input</t>
        </is>
      </c>
      <c r="F154" t="n">
        <v/>
      </c>
      <c r="G154" t="inlineStr">
        <is>
          <t>Trailing EV/EBITDA</t>
        </is>
      </c>
      <c r="H154" t="inlineStr"/>
      <c r="I154" t="inlineStr">
        <is>
          <t>General</t>
        </is>
      </c>
      <c r="J154" t="b">
        <v>0</v>
      </c>
      <c r="K154" t="b">
        <v>0</v>
      </c>
      <c r="L154" t="n">
        <v>11</v>
      </c>
      <c r="M154" t="inlineStr">
        <is>
          <t>FF000000</t>
        </is>
      </c>
      <c r="N154" t="inlineStr">
        <is>
          <t>00000000</t>
        </is>
      </c>
      <c r="O154" t="n">
        <v/>
      </c>
      <c r="R154" t="b">
        <v>1</v>
      </c>
      <c r="S154" t="n">
        <v/>
      </c>
      <c r="T154" t="n">
        <v/>
      </c>
      <c r="U154" t="n">
        <v/>
      </c>
      <c r="V154" t="b">
        <v>0</v>
      </c>
      <c r="W154" t="inlineStr"/>
      <c r="X154" t="n">
        <v/>
      </c>
    </row>
    <row r="155">
      <c r="A155" t="inlineStr">
        <is>
          <t>Relative</t>
        </is>
      </c>
      <c r="B155" t="inlineStr">
        <is>
          <t>B22</t>
        </is>
      </c>
      <c r="C155" t="n">
        <v>22</v>
      </c>
      <c r="D155" t="n">
        <v>2</v>
      </c>
      <c r="E155" t="inlineStr">
        <is>
          <t>Calculation</t>
        </is>
      </c>
      <c r="F155" t="inlineStr">
        <is>
          <t>'=B12/B5</t>
        </is>
      </c>
      <c r="G155" t="n">
        <v>14.89860670844085</v>
      </c>
      <c r="H155" t="inlineStr"/>
      <c r="I155" t="inlineStr">
        <is>
          <t>0.0</t>
        </is>
      </c>
      <c r="J155" t="b">
        <v>0</v>
      </c>
      <c r="K155" t="b">
        <v>0</v>
      </c>
      <c r="L155" t="n">
        <v>11</v>
      </c>
      <c r="M155" t="inlineStr">
        <is>
          <t>FF000000</t>
        </is>
      </c>
      <c r="N155" t="inlineStr">
        <is>
          <t>00000000</t>
        </is>
      </c>
      <c r="O155" t="n">
        <v/>
      </c>
      <c r="R155" t="b">
        <v>1</v>
      </c>
      <c r="S155" t="inlineStr">
        <is>
          <t>G000190</t>
        </is>
      </c>
      <c r="T155" t="inlineStr">
        <is>
          <t>Block</t>
        </is>
      </c>
      <c r="U155" t="n">
        <v>4</v>
      </c>
      <c r="V155" t="b">
        <v>1</v>
      </c>
      <c r="W155" t="inlineStr">
        <is>
          <t>Relative!B22:N22</t>
        </is>
      </c>
      <c r="X155">
        <f>R[-10]C[0]/R[-17]C[0]</f>
        <v/>
      </c>
    </row>
    <row r="156">
      <c r="A156" t="inlineStr">
        <is>
          <t>Relative</t>
        </is>
      </c>
      <c r="B156" t="inlineStr">
        <is>
          <t>F22</t>
        </is>
      </c>
      <c r="C156" t="n">
        <v>22</v>
      </c>
      <c r="D156" t="n">
        <v>6</v>
      </c>
      <c r="E156" t="inlineStr">
        <is>
          <t>Calculation</t>
        </is>
      </c>
      <c r="F156" t="inlineStr">
        <is>
          <t>'=F12/F5</t>
        </is>
      </c>
      <c r="G156" t="n">
        <v>20.60762871834928</v>
      </c>
      <c r="H156" t="inlineStr"/>
      <c r="I156" t="inlineStr">
        <is>
          <t>0.0</t>
        </is>
      </c>
      <c r="J156" t="b">
        <v>0</v>
      </c>
      <c r="K156" t="b">
        <v>0</v>
      </c>
      <c r="L156" t="n">
        <v>11</v>
      </c>
      <c r="M156" t="inlineStr">
        <is>
          <t>FF000000</t>
        </is>
      </c>
      <c r="N156" t="inlineStr">
        <is>
          <t>00000000</t>
        </is>
      </c>
      <c r="O156" t="n">
        <v/>
      </c>
      <c r="R156" t="b">
        <v>1</v>
      </c>
      <c r="S156" t="inlineStr">
        <is>
          <t>G000190</t>
        </is>
      </c>
      <c r="T156" t="inlineStr">
        <is>
          <t>Block</t>
        </is>
      </c>
      <c r="U156" t="n">
        <v>4</v>
      </c>
      <c r="V156" t="b">
        <v>1</v>
      </c>
      <c r="W156" t="inlineStr">
        <is>
          <t>Relative!B22:N22</t>
        </is>
      </c>
      <c r="X156">
        <f>R[-10]C[0]/R[-17]C[0]</f>
        <v/>
      </c>
    </row>
    <row r="157">
      <c r="A157" t="inlineStr">
        <is>
          <t>Relative</t>
        </is>
      </c>
      <c r="B157" t="inlineStr">
        <is>
          <t>J22</t>
        </is>
      </c>
      <c r="C157" t="n">
        <v>22</v>
      </c>
      <c r="D157" t="n">
        <v>10</v>
      </c>
      <c r="E157" t="inlineStr">
        <is>
          <t>Calculation</t>
        </is>
      </c>
      <c r="F157" t="inlineStr">
        <is>
          <t>'=J12/J5</t>
        </is>
      </c>
      <c r="G157" t="n">
        <v>20.63991546827483</v>
      </c>
      <c r="H157" t="inlineStr"/>
      <c r="I157" t="inlineStr">
        <is>
          <t>0.0</t>
        </is>
      </c>
      <c r="J157" t="b">
        <v>0</v>
      </c>
      <c r="K157" t="b">
        <v>0</v>
      </c>
      <c r="L157" t="n">
        <v>11</v>
      </c>
      <c r="M157" t="inlineStr">
        <is>
          <t>FF000000</t>
        </is>
      </c>
      <c r="N157" t="inlineStr">
        <is>
          <t>00000000</t>
        </is>
      </c>
      <c r="O157" t="n">
        <v/>
      </c>
      <c r="R157" t="b">
        <v>1</v>
      </c>
      <c r="S157" t="inlineStr">
        <is>
          <t>G000190</t>
        </is>
      </c>
      <c r="T157" t="inlineStr">
        <is>
          <t>Block</t>
        </is>
      </c>
      <c r="U157" t="n">
        <v>4</v>
      </c>
      <c r="V157" t="b">
        <v>1</v>
      </c>
      <c r="W157" t="inlineStr">
        <is>
          <t>Relative!B22:N22</t>
        </is>
      </c>
      <c r="X157">
        <f>R[-10]C[0]/R[-17]C[0]</f>
        <v/>
      </c>
    </row>
    <row r="158">
      <c r="A158" t="inlineStr">
        <is>
          <t>Relative</t>
        </is>
      </c>
      <c r="B158" t="inlineStr">
        <is>
          <t>N22</t>
        </is>
      </c>
      <c r="C158" t="n">
        <v>22</v>
      </c>
      <c r="D158" t="n">
        <v>14</v>
      </c>
      <c r="E158" t="inlineStr">
        <is>
          <t>Calculation</t>
        </is>
      </c>
      <c r="F158" t="inlineStr">
        <is>
          <t>'=N12/N5</t>
        </is>
      </c>
      <c r="G158" t="n">
        <v>15.25167785234899</v>
      </c>
      <c r="H158" t="inlineStr"/>
      <c r="I158" t="inlineStr">
        <is>
          <t>0.0</t>
        </is>
      </c>
      <c r="J158" t="b">
        <v>0</v>
      </c>
      <c r="K158" t="b">
        <v>0</v>
      </c>
      <c r="L158" t="n">
        <v>11</v>
      </c>
      <c r="M158" t="inlineStr">
        <is>
          <t>FF000000</t>
        </is>
      </c>
      <c r="N158" t="inlineStr">
        <is>
          <t>00000000</t>
        </is>
      </c>
      <c r="O158" t="n">
        <v/>
      </c>
      <c r="R158" t="b">
        <v>1</v>
      </c>
      <c r="S158" t="inlineStr">
        <is>
          <t>G000190</t>
        </is>
      </c>
      <c r="T158" t="inlineStr">
        <is>
          <t>Block</t>
        </is>
      </c>
      <c r="U158" t="n">
        <v>4</v>
      </c>
      <c r="V158" t="b">
        <v>1</v>
      </c>
      <c r="W158" t="inlineStr">
        <is>
          <t>Relative!B22:N22</t>
        </is>
      </c>
      <c r="X158">
        <f>R[-10]C[0]/R[-17]C[0]</f>
        <v/>
      </c>
    </row>
    <row r="159">
      <c r="A159" t="inlineStr">
        <is>
          <t>Relative</t>
        </is>
      </c>
      <c r="B159" t="inlineStr">
        <is>
          <t>P22</t>
        </is>
      </c>
      <c r="C159" t="n">
        <v>22</v>
      </c>
      <c r="D159" t="n">
        <v>16</v>
      </c>
      <c r="E159" t="inlineStr">
        <is>
          <t>Output</t>
        </is>
      </c>
      <c r="F159" t="inlineStr">
        <is>
          <t>'=AVERAGE(B22,F22,J22,N22)</t>
        </is>
      </c>
      <c r="G159" t="n">
        <v>17.84945718685349</v>
      </c>
      <c r="H159" t="inlineStr"/>
      <c r="I159" t="inlineStr">
        <is>
          <t>_-* #,##0_-;\-* #,##0_-;_-* "-"??_-;_-@_-</t>
        </is>
      </c>
      <c r="J159" t="b">
        <v>0</v>
      </c>
      <c r="K159" t="b">
        <v>0</v>
      </c>
      <c r="L159" t="n">
        <v>11</v>
      </c>
      <c r="M159" t="inlineStr">
        <is>
          <t>FF000000</t>
        </is>
      </c>
      <c r="N159" t="inlineStr">
        <is>
          <t>00000000</t>
        </is>
      </c>
      <c r="O159" t="n">
        <v/>
      </c>
      <c r="R159" t="b">
        <v>1</v>
      </c>
      <c r="S159" t="inlineStr">
        <is>
          <t>G000179</t>
        </is>
      </c>
      <c r="T159" t="inlineStr">
        <is>
          <t>Vertical</t>
        </is>
      </c>
      <c r="U159" t="n">
        <v>4</v>
      </c>
      <c r="V159" t="b">
        <v>1</v>
      </c>
      <c r="W159" t="inlineStr">
        <is>
          <t>Relative!P22:P25</t>
        </is>
      </c>
      <c r="X159">
        <f>AVERAGE(R[0]C[-14],R[0]C[-10],R[0]C[-6],R[0]C[-2])</f>
        <v/>
      </c>
    </row>
    <row r="160">
      <c r="A160" t="inlineStr">
        <is>
          <t>Relative</t>
        </is>
      </c>
      <c r="B160" t="inlineStr">
        <is>
          <t>Q22</t>
        </is>
      </c>
      <c r="C160" t="n">
        <v>22</v>
      </c>
      <c r="D160" t="n">
        <v>17</v>
      </c>
      <c r="E160" t="inlineStr">
        <is>
          <t>Calculation</t>
        </is>
      </c>
      <c r="F160" t="inlineStr">
        <is>
          <t>'=MEDIAN(B22,F22,J22,N22)</t>
        </is>
      </c>
      <c r="G160" t="n">
        <v>17.92965328534914</v>
      </c>
      <c r="H160" t="inlineStr"/>
      <c r="I160" t="inlineStr">
        <is>
          <t>_-* #,##0_-;\-* #,##0_-;_-* "-"??_-;_-@_-</t>
        </is>
      </c>
      <c r="J160" t="b">
        <v>0</v>
      </c>
      <c r="K160" t="b">
        <v>0</v>
      </c>
      <c r="L160" t="n">
        <v>11</v>
      </c>
      <c r="M160" t="inlineStr">
        <is>
          <t>FF000000</t>
        </is>
      </c>
      <c r="N160" t="inlineStr">
        <is>
          <t>00000000</t>
        </is>
      </c>
      <c r="O160" t="n">
        <v/>
      </c>
      <c r="R160" t="b">
        <v>1</v>
      </c>
      <c r="S160" t="inlineStr">
        <is>
          <t>G000182</t>
        </is>
      </c>
      <c r="T160" t="inlineStr">
        <is>
          <t>Vertical</t>
        </is>
      </c>
      <c r="U160" t="n">
        <v>4</v>
      </c>
      <c r="V160" t="b">
        <v>1</v>
      </c>
      <c r="W160" t="inlineStr">
        <is>
          <t>Relative!Q22:Q25</t>
        </is>
      </c>
      <c r="X160">
        <f>MEDIAN(R[0]C[-15],R[0]C[-11],R[0]C[-7],R[0]C[-3])</f>
        <v/>
      </c>
    </row>
    <row r="161">
      <c r="A161" t="inlineStr">
        <is>
          <t>Relative</t>
        </is>
      </c>
      <c r="B161" t="inlineStr">
        <is>
          <t>A23</t>
        </is>
      </c>
      <c r="C161" t="n">
        <v>23</v>
      </c>
      <c r="D161" t="n">
        <v>1</v>
      </c>
      <c r="E161" t="inlineStr">
        <is>
          <t>Input</t>
        </is>
      </c>
      <c r="F161" t="n">
        <v/>
      </c>
      <c r="G161" t="inlineStr">
        <is>
          <t>Trailing EV/Sales</t>
        </is>
      </c>
      <c r="H161" t="inlineStr"/>
      <c r="I161" t="inlineStr">
        <is>
          <t>General</t>
        </is>
      </c>
      <c r="J161" t="b">
        <v>0</v>
      </c>
      <c r="K161" t="b">
        <v>0</v>
      </c>
      <c r="L161" t="n">
        <v>11</v>
      </c>
      <c r="M161" t="inlineStr">
        <is>
          <t>FF000000</t>
        </is>
      </c>
      <c r="N161" t="inlineStr">
        <is>
          <t>00000000</t>
        </is>
      </c>
      <c r="O161" t="n">
        <v/>
      </c>
      <c r="R161" t="b">
        <v>1</v>
      </c>
      <c r="S161" t="n">
        <v/>
      </c>
      <c r="T161" t="n">
        <v/>
      </c>
      <c r="U161" t="n">
        <v/>
      </c>
      <c r="V161" t="b">
        <v>0</v>
      </c>
      <c r="W161" t="inlineStr"/>
      <c r="X161" t="n">
        <v/>
      </c>
    </row>
    <row r="162">
      <c r="A162" t="inlineStr">
        <is>
          <t>Relative</t>
        </is>
      </c>
      <c r="B162" t="inlineStr">
        <is>
          <t>B23</t>
        </is>
      </c>
      <c r="C162" t="n">
        <v>23</v>
      </c>
      <c r="D162" t="n">
        <v>2</v>
      </c>
      <c r="E162" t="inlineStr">
        <is>
          <t>Calculation</t>
        </is>
      </c>
      <c r="F162" t="inlineStr">
        <is>
          <t>'=B12/B4</t>
        </is>
      </c>
      <c r="G162" t="n">
        <v>2.26001857818718</v>
      </c>
      <c r="H162" t="inlineStr"/>
      <c r="I162" t="inlineStr">
        <is>
          <t>0.0</t>
        </is>
      </c>
      <c r="J162" t="b">
        <v>0</v>
      </c>
      <c r="K162" t="b">
        <v>0</v>
      </c>
      <c r="L162" t="n">
        <v>11</v>
      </c>
      <c r="M162" t="inlineStr">
        <is>
          <t>FF000000</t>
        </is>
      </c>
      <c r="N162" t="inlineStr">
        <is>
          <t>00000000</t>
        </is>
      </c>
      <c r="O162" t="n">
        <v/>
      </c>
      <c r="R162" t="b">
        <v>1</v>
      </c>
      <c r="S162" t="inlineStr">
        <is>
          <t>G000191</t>
        </is>
      </c>
      <c r="T162" t="inlineStr">
        <is>
          <t>Block</t>
        </is>
      </c>
      <c r="U162" t="n">
        <v>4</v>
      </c>
      <c r="V162" t="b">
        <v>1</v>
      </c>
      <c r="W162" t="inlineStr">
        <is>
          <t>Relative!B23:N23</t>
        </is>
      </c>
      <c r="X162">
        <f>R[-11]C[0]/R[-19]C[0]</f>
        <v/>
      </c>
    </row>
    <row r="163">
      <c r="A163" t="inlineStr">
        <is>
          <t>Relative</t>
        </is>
      </c>
      <c r="B163" t="inlineStr">
        <is>
          <t>F23</t>
        </is>
      </c>
      <c r="C163" t="n">
        <v>23</v>
      </c>
      <c r="D163" t="n">
        <v>6</v>
      </c>
      <c r="E163" t="inlineStr">
        <is>
          <t>Calculation</t>
        </is>
      </c>
      <c r="F163" t="inlineStr">
        <is>
          <t>'=F12/F4</t>
        </is>
      </c>
      <c r="G163" t="n">
        <v>3.920122830804282</v>
      </c>
      <c r="H163" t="inlineStr"/>
      <c r="I163" t="inlineStr">
        <is>
          <t>0.0</t>
        </is>
      </c>
      <c r="J163" t="b">
        <v>0</v>
      </c>
      <c r="K163" t="b">
        <v>0</v>
      </c>
      <c r="L163" t="n">
        <v>11</v>
      </c>
      <c r="M163" t="inlineStr">
        <is>
          <t>FF000000</t>
        </is>
      </c>
      <c r="N163" t="inlineStr">
        <is>
          <t>00000000</t>
        </is>
      </c>
      <c r="O163" t="n">
        <v/>
      </c>
      <c r="R163" t="b">
        <v>1</v>
      </c>
      <c r="S163" t="inlineStr">
        <is>
          <t>G000191</t>
        </is>
      </c>
      <c r="T163" t="inlineStr">
        <is>
          <t>Block</t>
        </is>
      </c>
      <c r="U163" t="n">
        <v>4</v>
      </c>
      <c r="V163" t="b">
        <v>1</v>
      </c>
      <c r="W163" t="inlineStr">
        <is>
          <t>Relative!B23:N23</t>
        </is>
      </c>
      <c r="X163">
        <f>R[-11]C[0]/R[-19]C[0]</f>
        <v/>
      </c>
    </row>
    <row r="164">
      <c r="A164" t="inlineStr">
        <is>
          <t>Relative</t>
        </is>
      </c>
      <c r="B164" t="inlineStr">
        <is>
          <t>J23</t>
        </is>
      </c>
      <c r="C164" t="n">
        <v>23</v>
      </c>
      <c r="D164" t="n">
        <v>10</v>
      </c>
      <c r="E164" t="inlineStr">
        <is>
          <t>Calculation</t>
        </is>
      </c>
      <c r="F164" t="inlineStr">
        <is>
          <t>'=J12/J4</t>
        </is>
      </c>
      <c r="G164" t="n">
        <v>3.833050952914262</v>
      </c>
      <c r="H164" t="inlineStr"/>
      <c r="I164" t="inlineStr">
        <is>
          <t>0.0</t>
        </is>
      </c>
      <c r="J164" t="b">
        <v>0</v>
      </c>
      <c r="K164" t="b">
        <v>0</v>
      </c>
      <c r="L164" t="n">
        <v>11</v>
      </c>
      <c r="M164" t="inlineStr">
        <is>
          <t>FF000000</t>
        </is>
      </c>
      <c r="N164" t="inlineStr">
        <is>
          <t>00000000</t>
        </is>
      </c>
      <c r="O164" t="n">
        <v/>
      </c>
      <c r="R164" t="b">
        <v>1</v>
      </c>
      <c r="S164" t="inlineStr">
        <is>
          <t>G000191</t>
        </is>
      </c>
      <c r="T164" t="inlineStr">
        <is>
          <t>Block</t>
        </is>
      </c>
      <c r="U164" t="n">
        <v>4</v>
      </c>
      <c r="V164" t="b">
        <v>1</v>
      </c>
      <c r="W164" t="inlineStr">
        <is>
          <t>Relative!B23:N23</t>
        </is>
      </c>
      <c r="X164">
        <f>R[-11]C[0]/R[-19]C[0]</f>
        <v/>
      </c>
    </row>
    <row r="165">
      <c r="A165" t="inlineStr">
        <is>
          <t>Relative</t>
        </is>
      </c>
      <c r="B165" t="inlineStr">
        <is>
          <t>N23</t>
        </is>
      </c>
      <c r="C165" t="n">
        <v>23</v>
      </c>
      <c r="D165" t="n">
        <v>14</v>
      </c>
      <c r="E165" t="inlineStr">
        <is>
          <t>Calculation</t>
        </is>
      </c>
      <c r="F165" t="inlineStr">
        <is>
          <t>'=N12/N4</t>
        </is>
      </c>
      <c r="G165" t="n">
        <v>3.590047393364929</v>
      </c>
      <c r="H165" t="inlineStr"/>
      <c r="I165" t="inlineStr">
        <is>
          <t>0.0</t>
        </is>
      </c>
      <c r="J165" t="b">
        <v>0</v>
      </c>
      <c r="K165" t="b">
        <v>0</v>
      </c>
      <c r="L165" t="n">
        <v>11</v>
      </c>
      <c r="M165" t="inlineStr">
        <is>
          <t>FF000000</t>
        </is>
      </c>
      <c r="N165" t="inlineStr">
        <is>
          <t>00000000</t>
        </is>
      </c>
      <c r="O165" t="n">
        <v/>
      </c>
      <c r="R165" t="b">
        <v>1</v>
      </c>
      <c r="S165" t="inlineStr">
        <is>
          <t>G000191</t>
        </is>
      </c>
      <c r="T165" t="inlineStr">
        <is>
          <t>Block</t>
        </is>
      </c>
      <c r="U165" t="n">
        <v>4</v>
      </c>
      <c r="V165" t="b">
        <v>1</v>
      </c>
      <c r="W165" t="inlineStr">
        <is>
          <t>Relative!B23:N23</t>
        </is>
      </c>
      <c r="X165">
        <f>R[-11]C[0]/R[-19]C[0]</f>
        <v/>
      </c>
    </row>
    <row r="166">
      <c r="A166" t="inlineStr">
        <is>
          <t>Relative</t>
        </is>
      </c>
      <c r="B166" t="inlineStr">
        <is>
          <t>P23</t>
        </is>
      </c>
      <c r="C166" t="n">
        <v>23</v>
      </c>
      <c r="D166" t="n">
        <v>16</v>
      </c>
      <c r="E166" t="inlineStr">
        <is>
          <t>Output</t>
        </is>
      </c>
      <c r="F166" t="inlineStr">
        <is>
          <t>'=AVERAGE(B23,F23,J23,N23)</t>
        </is>
      </c>
      <c r="G166" t="n">
        <v>3.400809938817663</v>
      </c>
      <c r="H166" t="inlineStr"/>
      <c r="I166" t="inlineStr">
        <is>
          <t>_-* #,##0_-;\-* #,##0_-;_-* "-"??_-;_-@_-</t>
        </is>
      </c>
      <c r="J166" t="b">
        <v>0</v>
      </c>
      <c r="K166" t="b">
        <v>0</v>
      </c>
      <c r="L166" t="n">
        <v>11</v>
      </c>
      <c r="M166" t="inlineStr">
        <is>
          <t>FF000000</t>
        </is>
      </c>
      <c r="N166" t="inlineStr">
        <is>
          <t>00000000</t>
        </is>
      </c>
      <c r="O166" t="n">
        <v/>
      </c>
      <c r="R166" t="b">
        <v>1</v>
      </c>
      <c r="S166" t="inlineStr">
        <is>
          <t>G000179</t>
        </is>
      </c>
      <c r="T166" t="inlineStr">
        <is>
          <t>Vertical</t>
        </is>
      </c>
      <c r="U166" t="n">
        <v>4</v>
      </c>
      <c r="V166" t="b">
        <v>1</v>
      </c>
      <c r="W166" t="inlineStr">
        <is>
          <t>Relative!P22:P25</t>
        </is>
      </c>
      <c r="X166">
        <f>AVERAGE(R[0]C[-14],R[0]C[-10],R[0]C[-6],R[0]C[-2])</f>
        <v/>
      </c>
    </row>
    <row r="167">
      <c r="A167" t="inlineStr">
        <is>
          <t>Relative</t>
        </is>
      </c>
      <c r="B167" t="inlineStr">
        <is>
          <t>Q23</t>
        </is>
      </c>
      <c r="C167" t="n">
        <v>23</v>
      </c>
      <c r="D167" t="n">
        <v>17</v>
      </c>
      <c r="E167" t="inlineStr">
        <is>
          <t>Calculation</t>
        </is>
      </c>
      <c r="F167" t="inlineStr">
        <is>
          <t>'=MEDIAN(B23,F23,J23,N23)</t>
        </is>
      </c>
      <c r="G167" t="n">
        <v>3.711549173139596</v>
      </c>
      <c r="H167" t="inlineStr"/>
      <c r="I167" t="inlineStr">
        <is>
          <t>_-* #,##0_-;\-* #,##0_-;_-* "-"??_-;_-@_-</t>
        </is>
      </c>
      <c r="J167" t="b">
        <v>0</v>
      </c>
      <c r="K167" t="b">
        <v>0</v>
      </c>
      <c r="L167" t="n">
        <v>11</v>
      </c>
      <c r="M167" t="inlineStr">
        <is>
          <t>FF000000</t>
        </is>
      </c>
      <c r="N167" t="inlineStr">
        <is>
          <t>00000000</t>
        </is>
      </c>
      <c r="O167" t="n">
        <v/>
      </c>
      <c r="R167" t="b">
        <v>1</v>
      </c>
      <c r="S167" t="inlineStr">
        <is>
          <t>G000182</t>
        </is>
      </c>
      <c r="T167" t="inlineStr">
        <is>
          <t>Vertical</t>
        </is>
      </c>
      <c r="U167" t="n">
        <v>4</v>
      </c>
      <c r="V167" t="b">
        <v>1</v>
      </c>
      <c r="W167" t="inlineStr">
        <is>
          <t>Relative!Q22:Q25</t>
        </is>
      </c>
      <c r="X167">
        <f>MEDIAN(R[0]C[-15],R[0]C[-11],R[0]C[-7],R[0]C[-3])</f>
        <v/>
      </c>
    </row>
    <row r="168">
      <c r="A168" t="inlineStr">
        <is>
          <t>Relative</t>
        </is>
      </c>
      <c r="B168" t="inlineStr">
        <is>
          <t>A24</t>
        </is>
      </c>
      <c r="C168" t="n">
        <v>24</v>
      </c>
      <c r="D168" t="n">
        <v>1</v>
      </c>
      <c r="E168" t="inlineStr">
        <is>
          <t>Input</t>
        </is>
      </c>
      <c r="F168" t="n">
        <v/>
      </c>
      <c r="G168" t="inlineStr">
        <is>
          <t>Leading EV/EBITDA</t>
        </is>
      </c>
      <c r="H168" t="inlineStr"/>
      <c r="I168" t="inlineStr">
        <is>
          <t>General</t>
        </is>
      </c>
      <c r="J168" t="b">
        <v>0</v>
      </c>
      <c r="K168" t="b">
        <v>0</v>
      </c>
      <c r="L168" t="n">
        <v>11</v>
      </c>
      <c r="M168" t="inlineStr">
        <is>
          <t>FF000000</t>
        </is>
      </c>
      <c r="N168" t="inlineStr">
        <is>
          <t>00000000</t>
        </is>
      </c>
      <c r="O168" t="n">
        <v/>
      </c>
      <c r="R168" t="b">
        <v>1</v>
      </c>
      <c r="S168" t="n">
        <v/>
      </c>
      <c r="T168" t="n">
        <v/>
      </c>
      <c r="U168" t="n">
        <v/>
      </c>
      <c r="V168" t="b">
        <v>0</v>
      </c>
      <c r="W168" t="inlineStr"/>
      <c r="X168" t="n">
        <v/>
      </c>
    </row>
    <row r="169">
      <c r="A169" t="inlineStr">
        <is>
          <t>Relative</t>
        </is>
      </c>
      <c r="B169" t="inlineStr">
        <is>
          <t>B24</t>
        </is>
      </c>
      <c r="C169" t="n">
        <v>24</v>
      </c>
      <c r="D169" t="n">
        <v>2</v>
      </c>
      <c r="E169" t="inlineStr">
        <is>
          <t>Calculation</t>
        </is>
      </c>
      <c r="F169" t="inlineStr">
        <is>
          <t>'=B12/C5</t>
        </is>
      </c>
      <c r="G169" t="n">
        <v>15.35739678892468</v>
      </c>
      <c r="H169" t="inlineStr"/>
      <c r="I169" t="inlineStr">
        <is>
          <t>0.0</t>
        </is>
      </c>
      <c r="J169" t="b">
        <v>0</v>
      </c>
      <c r="K169" t="b">
        <v>0</v>
      </c>
      <c r="L169" t="n">
        <v>11</v>
      </c>
      <c r="M169" t="inlineStr">
        <is>
          <t>FF000000</t>
        </is>
      </c>
      <c r="N169" t="inlineStr">
        <is>
          <t>00000000</t>
        </is>
      </c>
      <c r="O169" t="n">
        <v/>
      </c>
      <c r="R169" t="b">
        <v>1</v>
      </c>
      <c r="S169" t="inlineStr">
        <is>
          <t>G000192</t>
        </is>
      </c>
      <c r="T169" t="inlineStr">
        <is>
          <t>Block</t>
        </is>
      </c>
      <c r="U169" t="n">
        <v>4</v>
      </c>
      <c r="V169" t="b">
        <v>1</v>
      </c>
      <c r="W169" t="inlineStr">
        <is>
          <t>Relative!B24:N24</t>
        </is>
      </c>
      <c r="X169">
        <f>R[-12]C[0]/R[-19]C[1]</f>
        <v/>
      </c>
    </row>
    <row r="170">
      <c r="A170" t="inlineStr">
        <is>
          <t>Relative</t>
        </is>
      </c>
      <c r="B170" t="inlineStr">
        <is>
          <t>F24</t>
        </is>
      </c>
      <c r="C170" t="n">
        <v>24</v>
      </c>
      <c r="D170" t="n">
        <v>6</v>
      </c>
      <c r="E170" t="inlineStr">
        <is>
          <t>Calculation</t>
        </is>
      </c>
      <c r="F170" t="inlineStr">
        <is>
          <t>'=F12/G5</t>
        </is>
      </c>
      <c r="G170" t="n">
        <v>18.63885904361008</v>
      </c>
      <c r="H170" t="inlineStr"/>
      <c r="I170" t="inlineStr">
        <is>
          <t>0.0</t>
        </is>
      </c>
      <c r="J170" t="b">
        <v>0</v>
      </c>
      <c r="K170" t="b">
        <v>0</v>
      </c>
      <c r="L170" t="n">
        <v>11</v>
      </c>
      <c r="M170" t="inlineStr">
        <is>
          <t>FF000000</t>
        </is>
      </c>
      <c r="N170" t="inlineStr">
        <is>
          <t>00000000</t>
        </is>
      </c>
      <c r="O170" t="n">
        <v/>
      </c>
      <c r="R170" t="b">
        <v>1</v>
      </c>
      <c r="S170" t="inlineStr">
        <is>
          <t>G000192</t>
        </is>
      </c>
      <c r="T170" t="inlineStr">
        <is>
          <t>Block</t>
        </is>
      </c>
      <c r="U170" t="n">
        <v>4</v>
      </c>
      <c r="V170" t="b">
        <v>1</v>
      </c>
      <c r="W170" t="inlineStr">
        <is>
          <t>Relative!B24:N24</t>
        </is>
      </c>
      <c r="X170">
        <f>R[-12]C[0]/R[-19]C[1]</f>
        <v/>
      </c>
    </row>
    <row r="171">
      <c r="A171" t="inlineStr">
        <is>
          <t>Relative</t>
        </is>
      </c>
      <c r="B171" t="inlineStr">
        <is>
          <t>J24</t>
        </is>
      </c>
      <c r="C171" t="n">
        <v>24</v>
      </c>
      <c r="D171" t="n">
        <v>10</v>
      </c>
      <c r="E171" t="inlineStr">
        <is>
          <t>Calculation</t>
        </is>
      </c>
      <c r="F171" t="inlineStr">
        <is>
          <t>'=J12/K5</t>
        </is>
      </c>
      <c r="G171" t="n">
        <v>19.02755999049656</v>
      </c>
      <c r="H171" t="inlineStr"/>
      <c r="I171" t="inlineStr">
        <is>
          <t>0.0</t>
        </is>
      </c>
      <c r="J171" t="b">
        <v>0</v>
      </c>
      <c r="K171" t="b">
        <v>0</v>
      </c>
      <c r="L171" t="n">
        <v>11</v>
      </c>
      <c r="M171" t="inlineStr">
        <is>
          <t>FF000000</t>
        </is>
      </c>
      <c r="N171" t="inlineStr">
        <is>
          <t>00000000</t>
        </is>
      </c>
      <c r="O171" t="n">
        <v/>
      </c>
      <c r="R171" t="b">
        <v>1</v>
      </c>
      <c r="S171" t="inlineStr">
        <is>
          <t>G000192</t>
        </is>
      </c>
      <c r="T171" t="inlineStr">
        <is>
          <t>Block</t>
        </is>
      </c>
      <c r="U171" t="n">
        <v>4</v>
      </c>
      <c r="V171" t="b">
        <v>1</v>
      </c>
      <c r="W171" t="inlineStr">
        <is>
          <t>Relative!B24:N24</t>
        </is>
      </c>
      <c r="X171">
        <f>R[-12]C[0]/R[-19]C[1]</f>
        <v/>
      </c>
    </row>
    <row r="172">
      <c r="A172" t="inlineStr">
        <is>
          <t>Relative</t>
        </is>
      </c>
      <c r="B172" t="inlineStr">
        <is>
          <t>N24</t>
        </is>
      </c>
      <c r="C172" t="n">
        <v>24</v>
      </c>
      <c r="D172" t="n">
        <v>14</v>
      </c>
      <c r="E172" t="inlineStr">
        <is>
          <t>Calculation</t>
        </is>
      </c>
      <c r="F172" t="inlineStr">
        <is>
          <t>'=N12/O5</t>
        </is>
      </c>
      <c r="G172" t="n">
        <v>14.55907292255512</v>
      </c>
      <c r="H172" t="inlineStr"/>
      <c r="I172" t="inlineStr">
        <is>
          <t>0.0</t>
        </is>
      </c>
      <c r="J172" t="b">
        <v>0</v>
      </c>
      <c r="K172" t="b">
        <v>0</v>
      </c>
      <c r="L172" t="n">
        <v>11</v>
      </c>
      <c r="M172" t="inlineStr">
        <is>
          <t>FF000000</t>
        </is>
      </c>
      <c r="N172" t="inlineStr">
        <is>
          <t>00000000</t>
        </is>
      </c>
      <c r="O172" t="n">
        <v/>
      </c>
      <c r="R172" t="b">
        <v>1</v>
      </c>
      <c r="S172" t="inlineStr">
        <is>
          <t>G000192</t>
        </is>
      </c>
      <c r="T172" t="inlineStr">
        <is>
          <t>Block</t>
        </is>
      </c>
      <c r="U172" t="n">
        <v>4</v>
      </c>
      <c r="V172" t="b">
        <v>1</v>
      </c>
      <c r="W172" t="inlineStr">
        <is>
          <t>Relative!B24:N24</t>
        </is>
      </c>
      <c r="X172">
        <f>R[-12]C[0]/R[-19]C[1]</f>
        <v/>
      </c>
    </row>
    <row r="173">
      <c r="A173" t="inlineStr">
        <is>
          <t>Relative</t>
        </is>
      </c>
      <c r="B173" t="inlineStr">
        <is>
          <t>P24</t>
        </is>
      </c>
      <c r="C173" t="n">
        <v>24</v>
      </c>
      <c r="D173" t="n">
        <v>16</v>
      </c>
      <c r="E173" t="inlineStr">
        <is>
          <t>Output</t>
        </is>
      </c>
      <c r="F173" t="inlineStr">
        <is>
          <t>'=AVERAGE(B24,F24,J24,N24)</t>
        </is>
      </c>
      <c r="G173" t="n">
        <v>16.89572218639661</v>
      </c>
      <c r="H173" t="inlineStr"/>
      <c r="I173" t="inlineStr">
        <is>
          <t>_-* #,##0_-;\-* #,##0_-;_-* "-"??_-;_-@_-</t>
        </is>
      </c>
      <c r="J173" t="b">
        <v>0</v>
      </c>
      <c r="K173" t="b">
        <v>0</v>
      </c>
      <c r="L173" t="n">
        <v>11</v>
      </c>
      <c r="M173" t="inlineStr">
        <is>
          <t>FF000000</t>
        </is>
      </c>
      <c r="N173" t="inlineStr">
        <is>
          <t>00000000</t>
        </is>
      </c>
      <c r="O173" t="n">
        <v/>
      </c>
      <c r="R173" t="b">
        <v>1</v>
      </c>
      <c r="S173" t="inlineStr">
        <is>
          <t>G000179</t>
        </is>
      </c>
      <c r="T173" t="inlineStr">
        <is>
          <t>Vertical</t>
        </is>
      </c>
      <c r="U173" t="n">
        <v>4</v>
      </c>
      <c r="V173" t="b">
        <v>1</v>
      </c>
      <c r="W173" t="inlineStr">
        <is>
          <t>Relative!P22:P25</t>
        </is>
      </c>
      <c r="X173">
        <f>AVERAGE(R[0]C[-14],R[0]C[-10],R[0]C[-6],R[0]C[-2])</f>
        <v/>
      </c>
    </row>
    <row r="174">
      <c r="A174" t="inlineStr">
        <is>
          <t>Relative</t>
        </is>
      </c>
      <c r="B174" t="inlineStr">
        <is>
          <t>Q24</t>
        </is>
      </c>
      <c r="C174" t="n">
        <v>24</v>
      </c>
      <c r="D174" t="n">
        <v>17</v>
      </c>
      <c r="E174" t="inlineStr">
        <is>
          <t>Calculation</t>
        </is>
      </c>
      <c r="F174" t="inlineStr">
        <is>
          <t>'=MEDIAN(B24,F24,J24,N24)</t>
        </is>
      </c>
      <c r="G174" t="n">
        <v>16.99812791626738</v>
      </c>
      <c r="H174" t="inlineStr"/>
      <c r="I174" t="inlineStr">
        <is>
          <t>_-* #,##0_-;\-* #,##0_-;_-* "-"??_-;_-@_-</t>
        </is>
      </c>
      <c r="J174" t="b">
        <v>0</v>
      </c>
      <c r="K174" t="b">
        <v>0</v>
      </c>
      <c r="L174" t="n">
        <v>11</v>
      </c>
      <c r="M174" t="inlineStr">
        <is>
          <t>FF000000</t>
        </is>
      </c>
      <c r="N174" t="inlineStr">
        <is>
          <t>00000000</t>
        </is>
      </c>
      <c r="O174" t="n">
        <v/>
      </c>
      <c r="R174" t="b">
        <v>1</v>
      </c>
      <c r="S174" t="inlineStr">
        <is>
          <t>G000182</t>
        </is>
      </c>
      <c r="T174" t="inlineStr">
        <is>
          <t>Vertical</t>
        </is>
      </c>
      <c r="U174" t="n">
        <v>4</v>
      </c>
      <c r="V174" t="b">
        <v>1</v>
      </c>
      <c r="W174" t="inlineStr">
        <is>
          <t>Relative!Q22:Q25</t>
        </is>
      </c>
      <c r="X174">
        <f>MEDIAN(R[0]C[-15],R[0]C[-11],R[0]C[-7],R[0]C[-3])</f>
        <v/>
      </c>
    </row>
    <row r="175">
      <c r="A175" t="inlineStr">
        <is>
          <t>Relative</t>
        </is>
      </c>
      <c r="B175" t="inlineStr">
        <is>
          <t>A25</t>
        </is>
      </c>
      <c r="C175" t="n">
        <v>25</v>
      </c>
      <c r="D175" t="n">
        <v>1</v>
      </c>
      <c r="E175" t="inlineStr">
        <is>
          <t>Input</t>
        </is>
      </c>
      <c r="F175" t="n">
        <v/>
      </c>
      <c r="G175" t="inlineStr">
        <is>
          <t xml:space="preserve">Leading EV/Sales </t>
        </is>
      </c>
      <c r="H175" t="inlineStr"/>
      <c r="I175" t="inlineStr">
        <is>
          <t>General</t>
        </is>
      </c>
      <c r="J175" t="b">
        <v>0</v>
      </c>
      <c r="K175" t="b">
        <v>0</v>
      </c>
      <c r="L175" t="n">
        <v>11</v>
      </c>
      <c r="M175" t="inlineStr">
        <is>
          <t>FF000000</t>
        </is>
      </c>
      <c r="N175" t="inlineStr">
        <is>
          <t>00000000</t>
        </is>
      </c>
      <c r="O175" t="n">
        <v/>
      </c>
      <c r="R175" t="b">
        <v>1</v>
      </c>
      <c r="S175" t="n">
        <v/>
      </c>
      <c r="T175" t="n">
        <v/>
      </c>
      <c r="U175" t="n">
        <v/>
      </c>
      <c r="V175" t="b">
        <v>0</v>
      </c>
      <c r="W175" t="inlineStr"/>
      <c r="X175" t="n">
        <v/>
      </c>
    </row>
    <row r="176">
      <c r="A176" t="inlineStr">
        <is>
          <t>Relative</t>
        </is>
      </c>
      <c r="B176" t="inlineStr">
        <is>
          <t>B25</t>
        </is>
      </c>
      <c r="C176" t="n">
        <v>25</v>
      </c>
      <c r="D176" t="n">
        <v>2</v>
      </c>
      <c r="E176" t="inlineStr">
        <is>
          <t>Calculation</t>
        </is>
      </c>
      <c r="F176" t="inlineStr">
        <is>
          <t>'=B12/C4</t>
        </is>
      </c>
      <c r="G176" t="n">
        <v>2.099253000314959</v>
      </c>
      <c r="H176" t="inlineStr"/>
      <c r="I176" t="inlineStr">
        <is>
          <t>0.0</t>
        </is>
      </c>
      <c r="J176" t="b">
        <v>0</v>
      </c>
      <c r="K176" t="b">
        <v>0</v>
      </c>
      <c r="L176" t="n">
        <v>11</v>
      </c>
      <c r="M176" t="inlineStr">
        <is>
          <t>FF000000</t>
        </is>
      </c>
      <c r="N176" t="inlineStr">
        <is>
          <t>00000000</t>
        </is>
      </c>
      <c r="O176" t="n">
        <v/>
      </c>
      <c r="R176" t="b">
        <v>1</v>
      </c>
      <c r="S176" t="inlineStr">
        <is>
          <t>G000193</t>
        </is>
      </c>
      <c r="T176" t="inlineStr">
        <is>
          <t>Block</t>
        </is>
      </c>
      <c r="U176" t="n">
        <v>4</v>
      </c>
      <c r="V176" t="b">
        <v>1</v>
      </c>
      <c r="W176" t="inlineStr">
        <is>
          <t>Relative!B25:N25</t>
        </is>
      </c>
      <c r="X176">
        <f>R[-13]C[0]/R[-21]C[1]</f>
        <v/>
      </c>
    </row>
    <row r="177">
      <c r="A177" t="inlineStr">
        <is>
          <t>Relative</t>
        </is>
      </c>
      <c r="B177" t="inlineStr">
        <is>
          <t>F25</t>
        </is>
      </c>
      <c r="C177" t="n">
        <v>25</v>
      </c>
      <c r="D177" t="n">
        <v>6</v>
      </c>
      <c r="E177" t="inlineStr">
        <is>
          <t>Calculation</t>
        </is>
      </c>
      <c r="F177" t="inlineStr">
        <is>
          <t>'=F12/G4</t>
        </is>
      </c>
      <c r="G177" t="n">
        <v>3.469258606850414</v>
      </c>
      <c r="H177" t="inlineStr"/>
      <c r="I177" t="inlineStr">
        <is>
          <t>0.0</t>
        </is>
      </c>
      <c r="J177" t="b">
        <v>0</v>
      </c>
      <c r="K177" t="b">
        <v>0</v>
      </c>
      <c r="L177" t="n">
        <v>11</v>
      </c>
      <c r="M177" t="inlineStr">
        <is>
          <t>FF000000</t>
        </is>
      </c>
      <c r="N177" t="inlineStr">
        <is>
          <t>00000000</t>
        </is>
      </c>
      <c r="O177" t="n">
        <v/>
      </c>
      <c r="R177" t="b">
        <v>1</v>
      </c>
      <c r="S177" t="inlineStr">
        <is>
          <t>G000193</t>
        </is>
      </c>
      <c r="T177" t="inlineStr">
        <is>
          <t>Block</t>
        </is>
      </c>
      <c r="U177" t="n">
        <v>4</v>
      </c>
      <c r="V177" t="b">
        <v>1</v>
      </c>
      <c r="W177" t="inlineStr">
        <is>
          <t>Relative!B25:N25</t>
        </is>
      </c>
      <c r="X177">
        <f>R[-13]C[0]/R[-21]C[1]</f>
        <v/>
      </c>
    </row>
    <row r="178">
      <c r="A178" t="inlineStr">
        <is>
          <t>Relative</t>
        </is>
      </c>
      <c r="B178" t="inlineStr">
        <is>
          <t>J25</t>
        </is>
      </c>
      <c r="C178" t="n">
        <v>25</v>
      </c>
      <c r="D178" t="n">
        <v>10</v>
      </c>
      <c r="E178" t="inlineStr">
        <is>
          <t>Calculation</t>
        </is>
      </c>
      <c r="F178" t="inlineStr">
        <is>
          <t>'=J12/K4</t>
        </is>
      </c>
      <c r="G178" t="n">
        <v>3.495813945367404</v>
      </c>
      <c r="H178" t="inlineStr"/>
      <c r="I178" t="inlineStr">
        <is>
          <t>0.0</t>
        </is>
      </c>
      <c r="J178" t="b">
        <v>0</v>
      </c>
      <c r="K178" t="b">
        <v>0</v>
      </c>
      <c r="L178" t="n">
        <v>11</v>
      </c>
      <c r="M178" t="inlineStr">
        <is>
          <t>FF000000</t>
        </is>
      </c>
      <c r="N178" t="inlineStr">
        <is>
          <t>00000000</t>
        </is>
      </c>
      <c r="O178" t="n">
        <v/>
      </c>
      <c r="R178" t="b">
        <v>1</v>
      </c>
      <c r="S178" t="inlineStr">
        <is>
          <t>G000193</t>
        </is>
      </c>
      <c r="T178" t="inlineStr">
        <is>
          <t>Block</t>
        </is>
      </c>
      <c r="U178" t="n">
        <v>4</v>
      </c>
      <c r="V178" t="b">
        <v>1</v>
      </c>
      <c r="W178" t="inlineStr">
        <is>
          <t>Relative!B25:N25</t>
        </is>
      </c>
      <c r="X178">
        <f>R[-13]C[0]/R[-21]C[1]</f>
        <v/>
      </c>
    </row>
    <row r="179">
      <c r="A179" t="inlineStr">
        <is>
          <t>Relative</t>
        </is>
      </c>
      <c r="B179" t="inlineStr">
        <is>
          <t>N25</t>
        </is>
      </c>
      <c r="C179" t="n">
        <v>25</v>
      </c>
      <c r="D179" t="n">
        <v>14</v>
      </c>
      <c r="E179" t="inlineStr">
        <is>
          <t>Calculation</t>
        </is>
      </c>
      <c r="F179" t="inlineStr">
        <is>
          <t>'=N12/O4</t>
        </is>
      </c>
      <c r="G179" t="n">
        <v>3.153351698806244</v>
      </c>
      <c r="H179" t="inlineStr"/>
      <c r="I179" t="inlineStr">
        <is>
          <t>0.0</t>
        </is>
      </c>
      <c r="J179" t="b">
        <v>0</v>
      </c>
      <c r="K179" t="b">
        <v>0</v>
      </c>
      <c r="L179" t="n">
        <v>11</v>
      </c>
      <c r="M179" t="inlineStr">
        <is>
          <t>FF000000</t>
        </is>
      </c>
      <c r="N179" t="inlineStr">
        <is>
          <t>00000000</t>
        </is>
      </c>
      <c r="O179" t="n">
        <v/>
      </c>
      <c r="R179" t="b">
        <v>1</v>
      </c>
      <c r="S179" t="inlineStr">
        <is>
          <t>G000193</t>
        </is>
      </c>
      <c r="T179" t="inlineStr">
        <is>
          <t>Block</t>
        </is>
      </c>
      <c r="U179" t="n">
        <v>4</v>
      </c>
      <c r="V179" t="b">
        <v>1</v>
      </c>
      <c r="W179" t="inlineStr">
        <is>
          <t>Relative!B25:N25</t>
        </is>
      </c>
      <c r="X179">
        <f>R[-13]C[0]/R[-21]C[1]</f>
        <v/>
      </c>
    </row>
    <row r="180">
      <c r="A180" t="inlineStr">
        <is>
          <t>Relative</t>
        </is>
      </c>
      <c r="B180" t="inlineStr">
        <is>
          <t>P25</t>
        </is>
      </c>
      <c r="C180" t="n">
        <v>25</v>
      </c>
      <c r="D180" t="n">
        <v>16</v>
      </c>
      <c r="E180" t="inlineStr">
        <is>
          <t>Output</t>
        </is>
      </c>
      <c r="F180" t="inlineStr">
        <is>
          <t>'=AVERAGE(B25,F25,J25,N25)</t>
        </is>
      </c>
      <c r="G180" t="n">
        <v>3.054419312834755</v>
      </c>
      <c r="H180" t="inlineStr"/>
      <c r="I180" t="inlineStr">
        <is>
          <t>_-* #,##0_-;\-* #,##0_-;_-* "-"??_-;_-@_-</t>
        </is>
      </c>
      <c r="J180" t="b">
        <v>0</v>
      </c>
      <c r="K180" t="b">
        <v>0</v>
      </c>
      <c r="L180" t="n">
        <v>11</v>
      </c>
      <c r="M180" t="inlineStr">
        <is>
          <t>FF000000</t>
        </is>
      </c>
      <c r="N180" t="inlineStr">
        <is>
          <t>00000000</t>
        </is>
      </c>
      <c r="O180" t="n">
        <v/>
      </c>
      <c r="R180" t="b">
        <v>1</v>
      </c>
      <c r="S180" t="inlineStr">
        <is>
          <t>G000179</t>
        </is>
      </c>
      <c r="T180" t="inlineStr">
        <is>
          <t>Vertical</t>
        </is>
      </c>
      <c r="U180" t="n">
        <v>4</v>
      </c>
      <c r="V180" t="b">
        <v>1</v>
      </c>
      <c r="W180" t="inlineStr">
        <is>
          <t>Relative!P22:P25</t>
        </is>
      </c>
      <c r="X180">
        <f>AVERAGE(R[0]C[-14],R[0]C[-10],R[0]C[-6],R[0]C[-2])</f>
        <v/>
      </c>
    </row>
    <row r="181">
      <c r="A181" t="inlineStr">
        <is>
          <t>Relative</t>
        </is>
      </c>
      <c r="B181" t="inlineStr">
        <is>
          <t>Q25</t>
        </is>
      </c>
      <c r="C181" t="n">
        <v>25</v>
      </c>
      <c r="D181" t="n">
        <v>17</v>
      </c>
      <c r="E181" t="inlineStr">
        <is>
          <t>Calculation</t>
        </is>
      </c>
      <c r="F181" t="inlineStr">
        <is>
          <t>'=MEDIAN(B25,F25,J25,N25)</t>
        </is>
      </c>
      <c r="G181" t="n">
        <v>3.311305152828329</v>
      </c>
      <c r="H181" t="inlineStr"/>
      <c r="I181" t="inlineStr">
        <is>
          <t>_-* #,##0_-;\-* #,##0_-;_-* "-"??_-;_-@_-</t>
        </is>
      </c>
      <c r="J181" t="b">
        <v>0</v>
      </c>
      <c r="K181" t="b">
        <v>0</v>
      </c>
      <c r="L181" t="n">
        <v>11</v>
      </c>
      <c r="M181" t="inlineStr">
        <is>
          <t>FF000000</t>
        </is>
      </c>
      <c r="N181" t="inlineStr">
        <is>
          <t>00000000</t>
        </is>
      </c>
      <c r="O181" t="n">
        <v/>
      </c>
      <c r="R181" t="b">
        <v>1</v>
      </c>
      <c r="S181" t="inlineStr">
        <is>
          <t>G000182</t>
        </is>
      </c>
      <c r="T181" t="inlineStr">
        <is>
          <t>Vertical</t>
        </is>
      </c>
      <c r="U181" t="n">
        <v>4</v>
      </c>
      <c r="V181" t="b">
        <v>1</v>
      </c>
      <c r="W181" t="inlineStr">
        <is>
          <t>Relative!Q22:Q25</t>
        </is>
      </c>
      <c r="X181">
        <f>MEDIAN(R[0]C[-15],R[0]C[-11],R[0]C[-7],R[0]C[-3])</f>
        <v/>
      </c>
    </row>
    <row r="182">
      <c r="A182" t="inlineStr">
        <is>
          <t>Relative</t>
        </is>
      </c>
      <c r="B182" t="inlineStr">
        <is>
          <t>B28</t>
        </is>
      </c>
      <c r="C182" t="n">
        <v>28</v>
      </c>
      <c r="D182" t="n">
        <v>2</v>
      </c>
      <c r="E182" t="inlineStr">
        <is>
          <t>Input</t>
        </is>
      </c>
      <c r="F182" t="n">
        <v/>
      </c>
      <c r="G182" t="inlineStr">
        <is>
          <t>min</t>
        </is>
      </c>
      <c r="H182" t="inlineStr"/>
      <c r="I182" t="inlineStr">
        <is>
          <t>General</t>
        </is>
      </c>
      <c r="J182" t="b">
        <v>0</v>
      </c>
      <c r="K182" t="b">
        <v>0</v>
      </c>
      <c r="L182" t="n">
        <v>11</v>
      </c>
      <c r="M182" t="inlineStr">
        <is>
          <t>FF000000</t>
        </is>
      </c>
      <c r="N182" t="inlineStr">
        <is>
          <t>00000000</t>
        </is>
      </c>
      <c r="O182" t="n">
        <v/>
      </c>
      <c r="R182" t="b">
        <v>1</v>
      </c>
      <c r="S182" t="n">
        <v/>
      </c>
      <c r="T182" t="n">
        <v/>
      </c>
      <c r="U182" t="n">
        <v/>
      </c>
      <c r="V182" t="b">
        <v>0</v>
      </c>
      <c r="W182" t="inlineStr"/>
      <c r="X182" t="n">
        <v/>
      </c>
    </row>
    <row r="183">
      <c r="A183" t="inlineStr">
        <is>
          <t>Relative</t>
        </is>
      </c>
      <c r="B183" t="inlineStr">
        <is>
          <t>C28</t>
        </is>
      </c>
      <c r="C183" t="n">
        <v>28</v>
      </c>
      <c r="D183" t="n">
        <v>3</v>
      </c>
      <c r="E183" t="inlineStr">
        <is>
          <t>Input</t>
        </is>
      </c>
      <c r="F183" t="n">
        <v/>
      </c>
      <c r="G183" t="inlineStr">
        <is>
          <t>max</t>
        </is>
      </c>
      <c r="H183" t="inlineStr"/>
      <c r="I183" t="inlineStr">
        <is>
          <t>General</t>
        </is>
      </c>
      <c r="J183" t="b">
        <v>0</v>
      </c>
      <c r="K183" t="b">
        <v>0</v>
      </c>
      <c r="L183" t="n">
        <v>11</v>
      </c>
      <c r="M183" t="inlineStr">
        <is>
          <t>FF000000</t>
        </is>
      </c>
      <c r="N183" t="inlineStr">
        <is>
          <t>00000000</t>
        </is>
      </c>
      <c r="O183" t="n">
        <v/>
      </c>
      <c r="R183" t="b">
        <v>1</v>
      </c>
      <c r="S183" t="n">
        <v/>
      </c>
      <c r="T183" t="n">
        <v/>
      </c>
      <c r="U183" t="n">
        <v/>
      </c>
      <c r="V183" t="b">
        <v>0</v>
      </c>
      <c r="W183" t="inlineStr"/>
      <c r="X183" t="n">
        <v/>
      </c>
    </row>
    <row r="184">
      <c r="A184" t="inlineStr">
        <is>
          <t>Relative</t>
        </is>
      </c>
      <c r="B184" t="inlineStr">
        <is>
          <t>D28</t>
        </is>
      </c>
      <c r="C184" t="n">
        <v>28</v>
      </c>
      <c r="D184" t="n">
        <v>4</v>
      </c>
      <c r="E184" t="inlineStr">
        <is>
          <t>Input</t>
        </is>
      </c>
      <c r="F184" t="n">
        <v/>
      </c>
      <c r="G184" t="inlineStr">
        <is>
          <t>Weights</t>
        </is>
      </c>
      <c r="H184" t="inlineStr"/>
      <c r="I184" t="inlineStr">
        <is>
          <t>General</t>
        </is>
      </c>
      <c r="J184" t="b">
        <v>0</v>
      </c>
      <c r="K184" t="b">
        <v>0</v>
      </c>
      <c r="L184" t="n">
        <v>11</v>
      </c>
      <c r="M184" t="inlineStr">
        <is>
          <t>FF000000</t>
        </is>
      </c>
      <c r="N184" t="inlineStr">
        <is>
          <t>00000000</t>
        </is>
      </c>
      <c r="O184" t="n">
        <v/>
      </c>
      <c r="R184" t="b">
        <v>1</v>
      </c>
      <c r="S184" t="n">
        <v/>
      </c>
      <c r="T184" t="n">
        <v/>
      </c>
      <c r="U184" t="n">
        <v/>
      </c>
      <c r="V184" t="b">
        <v>0</v>
      </c>
      <c r="W184" t="inlineStr"/>
      <c r="X184" t="n">
        <v/>
      </c>
    </row>
    <row r="185">
      <c r="A185" t="inlineStr">
        <is>
          <t>Relative</t>
        </is>
      </c>
      <c r="B185" t="inlineStr">
        <is>
          <t>A29</t>
        </is>
      </c>
      <c r="C185" t="n">
        <v>29</v>
      </c>
      <c r="D185" t="n">
        <v>1</v>
      </c>
      <c r="E185" t="inlineStr">
        <is>
          <t>Input</t>
        </is>
      </c>
      <c r="F185" t="n">
        <v/>
      </c>
      <c r="G185" t="inlineStr">
        <is>
          <t>Trailing PE</t>
        </is>
      </c>
      <c r="H185" t="inlineStr"/>
      <c r="I185" t="inlineStr">
        <is>
          <t>General</t>
        </is>
      </c>
      <c r="J185" t="b">
        <v>0</v>
      </c>
      <c r="K185" t="b">
        <v>0</v>
      </c>
      <c r="L185" t="n">
        <v>11</v>
      </c>
      <c r="M185" t="inlineStr">
        <is>
          <t>FF000000</t>
        </is>
      </c>
      <c r="N185" t="inlineStr">
        <is>
          <t>00000000</t>
        </is>
      </c>
      <c r="O185" t="n">
        <v/>
      </c>
      <c r="R185" t="b">
        <v>1</v>
      </c>
      <c r="S185" t="n">
        <v/>
      </c>
      <c r="T185" t="n">
        <v/>
      </c>
      <c r="U185" t="n">
        <v/>
      </c>
      <c r="V185" t="b">
        <v>0</v>
      </c>
      <c r="W185" t="inlineStr"/>
      <c r="X185" t="n">
        <v/>
      </c>
    </row>
    <row r="186">
      <c r="A186" t="inlineStr">
        <is>
          <t>Relative</t>
        </is>
      </c>
      <c r="B186" t="inlineStr">
        <is>
          <t>B29</t>
        </is>
      </c>
      <c r="C186" t="n">
        <v>29</v>
      </c>
      <c r="D186" t="n">
        <v>2</v>
      </c>
      <c r="E186" t="inlineStr">
        <is>
          <t>Calculation</t>
        </is>
      </c>
      <c r="F186" t="inlineStr">
        <is>
          <t>'=$Q$14*$B$3*0.8</t>
        </is>
      </c>
      <c r="G186" t="n">
        <v>1649.625969799636</v>
      </c>
      <c r="H186" t="inlineStr"/>
      <c r="I186" t="inlineStr">
        <is>
          <t>_-* #,##0_-;\-* #,##0_-;_-* "-"??_-;_-@_-</t>
        </is>
      </c>
      <c r="J186" t="b">
        <v>0</v>
      </c>
      <c r="K186" t="b">
        <v>0</v>
      </c>
      <c r="L186" t="n">
        <v>11</v>
      </c>
      <c r="M186" t="inlineStr">
        <is>
          <t>FF000000</t>
        </is>
      </c>
      <c r="N186" t="inlineStr">
        <is>
          <t>00000000</t>
        </is>
      </c>
      <c r="O186" t="n">
        <v/>
      </c>
      <c r="R186" t="b">
        <v>1</v>
      </c>
      <c r="S186" t="n">
        <v/>
      </c>
      <c r="T186" t="n">
        <v/>
      </c>
      <c r="U186" t="n">
        <v/>
      </c>
      <c r="V186" t="b">
        <v>0</v>
      </c>
      <c r="W186" t="inlineStr"/>
      <c r="X186">
        <f>R14C17*R3C2*0.8</f>
        <v/>
      </c>
    </row>
    <row r="187">
      <c r="A187" t="inlineStr">
        <is>
          <t>Relative</t>
        </is>
      </c>
      <c r="B187" t="inlineStr">
        <is>
          <t>C29</t>
        </is>
      </c>
      <c r="C187" t="n">
        <v>29</v>
      </c>
      <c r="D187" t="n">
        <v>3</v>
      </c>
      <c r="E187" t="inlineStr">
        <is>
          <t>Calculation</t>
        </is>
      </c>
      <c r="F187" t="inlineStr">
        <is>
          <t>'=$Q$14*$B$3*1.2</t>
        </is>
      </c>
      <c r="G187" t="n">
        <v>2474.438954699453</v>
      </c>
      <c r="H187" t="inlineStr"/>
      <c r="I187" t="inlineStr">
        <is>
          <t>_-* #,##0_-;\-* #,##0_-;_-* "-"??_-;_-@_-</t>
        </is>
      </c>
      <c r="J187" t="b">
        <v>0</v>
      </c>
      <c r="K187" t="b">
        <v>0</v>
      </c>
      <c r="L187" t="n">
        <v>11</v>
      </c>
      <c r="M187" t="inlineStr">
        <is>
          <t>FF000000</t>
        </is>
      </c>
      <c r="N187" t="inlineStr">
        <is>
          <t>00000000</t>
        </is>
      </c>
      <c r="O187" t="n">
        <v/>
      </c>
      <c r="R187" t="b">
        <v>1</v>
      </c>
      <c r="S187" t="n">
        <v/>
      </c>
      <c r="T187" t="n">
        <v/>
      </c>
      <c r="U187" t="n">
        <v/>
      </c>
      <c r="V187" t="b">
        <v>0</v>
      </c>
      <c r="W187" t="inlineStr"/>
      <c r="X187">
        <f>R14C17*R3C2*1.2</f>
        <v/>
      </c>
    </row>
    <row r="188">
      <c r="A188" t="inlineStr">
        <is>
          <t>Relative</t>
        </is>
      </c>
      <c r="B188" t="inlineStr">
        <is>
          <t>D29</t>
        </is>
      </c>
      <c r="C188" t="n">
        <v>29</v>
      </c>
      <c r="D188" t="n">
        <v>4</v>
      </c>
      <c r="E188" t="inlineStr">
        <is>
          <t>Input</t>
        </is>
      </c>
      <c r="F188" t="n">
        <v/>
      </c>
      <c r="G188" t="n">
        <v>0.05</v>
      </c>
      <c r="H188" t="inlineStr"/>
      <c r="I188" t="inlineStr">
        <is>
          <t>0%</t>
        </is>
      </c>
      <c r="J188" t="b">
        <v>0</v>
      </c>
      <c r="K188" t="b">
        <v>0</v>
      </c>
      <c r="L188" t="n">
        <v>11</v>
      </c>
      <c r="M188" t="inlineStr">
        <is>
          <t>FF000000</t>
        </is>
      </c>
      <c r="N188" t="inlineStr">
        <is>
          <t>00000000</t>
        </is>
      </c>
      <c r="O188" t="n">
        <v/>
      </c>
      <c r="R188" t="b">
        <v>1</v>
      </c>
      <c r="S188" t="n">
        <v/>
      </c>
      <c r="T188" t="n">
        <v/>
      </c>
      <c r="U188" t="n">
        <v/>
      </c>
      <c r="V188" t="b">
        <v>0</v>
      </c>
      <c r="W188" t="inlineStr"/>
      <c r="X188" t="n">
        <v/>
      </c>
    </row>
    <row r="189">
      <c r="A189" t="inlineStr">
        <is>
          <t>Relative</t>
        </is>
      </c>
      <c r="B189" t="inlineStr">
        <is>
          <t>A30</t>
        </is>
      </c>
      <c r="C189" t="n">
        <v>30</v>
      </c>
      <c r="D189" t="n">
        <v>1</v>
      </c>
      <c r="E189" t="inlineStr">
        <is>
          <t>Input</t>
        </is>
      </c>
      <c r="F189" t="n">
        <v/>
      </c>
      <c r="G189" t="inlineStr">
        <is>
          <t>Trailing PS</t>
        </is>
      </c>
      <c r="H189" t="inlineStr"/>
      <c r="I189" t="inlineStr">
        <is>
          <t>General</t>
        </is>
      </c>
      <c r="J189" t="b">
        <v>0</v>
      </c>
      <c r="K189" t="b">
        <v>0</v>
      </c>
      <c r="L189" t="n">
        <v>11</v>
      </c>
      <c r="M189" t="inlineStr">
        <is>
          <t>FF000000</t>
        </is>
      </c>
      <c r="N189" t="inlineStr">
        <is>
          <t>00000000</t>
        </is>
      </c>
      <c r="O189" t="n">
        <v/>
      </c>
      <c r="R189" t="b">
        <v>1</v>
      </c>
      <c r="S189" t="n">
        <v/>
      </c>
      <c r="T189" t="n">
        <v/>
      </c>
      <c r="U189" t="n">
        <v/>
      </c>
      <c r="V189" t="b">
        <v>0</v>
      </c>
      <c r="W189" t="inlineStr"/>
      <c r="X189" t="n">
        <v/>
      </c>
    </row>
    <row r="190">
      <c r="A190" t="inlineStr">
        <is>
          <t>Relative</t>
        </is>
      </c>
      <c r="B190" t="inlineStr">
        <is>
          <t>B30</t>
        </is>
      </c>
      <c r="C190" t="n">
        <v>30</v>
      </c>
      <c r="D190" t="n">
        <v>2</v>
      </c>
      <c r="E190" t="inlineStr">
        <is>
          <t>Calculation</t>
        </is>
      </c>
      <c r="F190" t="inlineStr">
        <is>
          <t>'=$Q$15*($B$4/$B$8)*0.8</t>
        </is>
      </c>
      <c r="G190" t="n">
        <v>1804.199077708957</v>
      </c>
      <c r="H190" t="inlineStr"/>
      <c r="I190" t="inlineStr">
        <is>
          <t>_-* #,##0_-;\-* #,##0_-;_-* "-"??_-;_-@_-</t>
        </is>
      </c>
      <c r="J190" t="b">
        <v>0</v>
      </c>
      <c r="K190" t="b">
        <v>0</v>
      </c>
      <c r="L190" t="n">
        <v>11</v>
      </c>
      <c r="M190" t="inlineStr">
        <is>
          <t>FF000000</t>
        </is>
      </c>
      <c r="N190" t="inlineStr">
        <is>
          <t>00000000</t>
        </is>
      </c>
      <c r="O190" t="n">
        <v/>
      </c>
      <c r="R190" t="b">
        <v>1</v>
      </c>
      <c r="S190" t="n">
        <v/>
      </c>
      <c r="T190" t="n">
        <v/>
      </c>
      <c r="U190" t="n">
        <v/>
      </c>
      <c r="V190" t="b">
        <v>0</v>
      </c>
      <c r="W190" t="inlineStr"/>
      <c r="X190">
        <f>R15C17*(R4C2/R8C2)*0.8</f>
        <v/>
      </c>
    </row>
    <row r="191">
      <c r="A191" t="inlineStr">
        <is>
          <t>Relative</t>
        </is>
      </c>
      <c r="B191" t="inlineStr">
        <is>
          <t>C30</t>
        </is>
      </c>
      <c r="C191" t="n">
        <v>30</v>
      </c>
      <c r="D191" t="n">
        <v>3</v>
      </c>
      <c r="E191" t="inlineStr">
        <is>
          <t>Calculation</t>
        </is>
      </c>
      <c r="F191" t="inlineStr">
        <is>
          <t>'=$Q$15*($B$4/$B$8)*1.2</t>
        </is>
      </c>
      <c r="G191" t="n">
        <v>2706.298616563435</v>
      </c>
      <c r="H191" t="inlineStr"/>
      <c r="I191" t="inlineStr">
        <is>
          <t>_-* #,##0_-;\-* #,##0_-;_-* "-"??_-;_-@_-</t>
        </is>
      </c>
      <c r="J191" t="b">
        <v>0</v>
      </c>
      <c r="K191" t="b">
        <v>0</v>
      </c>
      <c r="L191" t="n">
        <v>11</v>
      </c>
      <c r="M191" t="inlineStr">
        <is>
          <t>FF000000</t>
        </is>
      </c>
      <c r="N191" t="inlineStr">
        <is>
          <t>00000000</t>
        </is>
      </c>
      <c r="O191" t="n">
        <v/>
      </c>
      <c r="R191" t="b">
        <v>1</v>
      </c>
      <c r="S191" t="n">
        <v/>
      </c>
      <c r="T191" t="n">
        <v/>
      </c>
      <c r="U191" t="n">
        <v/>
      </c>
      <c r="V191" t="b">
        <v>0</v>
      </c>
      <c r="W191" t="inlineStr"/>
      <c r="X191">
        <f>R15C17*(R4C2/R8C2)*1.2</f>
        <v/>
      </c>
    </row>
    <row r="192">
      <c r="A192" t="inlineStr">
        <is>
          <t>Relative</t>
        </is>
      </c>
      <c r="B192" t="inlineStr">
        <is>
          <t>D30</t>
        </is>
      </c>
      <c r="C192" t="n">
        <v>30</v>
      </c>
      <c r="D192" t="n">
        <v>4</v>
      </c>
      <c r="E192" t="inlineStr">
        <is>
          <t>Input</t>
        </is>
      </c>
      <c r="F192" t="n">
        <v/>
      </c>
      <c r="G192" t="n">
        <v>0.05</v>
      </c>
      <c r="H192" t="inlineStr"/>
      <c r="I192" t="inlineStr">
        <is>
          <t>0%</t>
        </is>
      </c>
      <c r="J192" t="b">
        <v>0</v>
      </c>
      <c r="K192" t="b">
        <v>0</v>
      </c>
      <c r="L192" t="n">
        <v>11</v>
      </c>
      <c r="M192" t="inlineStr">
        <is>
          <t>FF000000</t>
        </is>
      </c>
      <c r="N192" t="inlineStr">
        <is>
          <t>00000000</t>
        </is>
      </c>
      <c r="O192" t="n">
        <v/>
      </c>
      <c r="R192" t="b">
        <v>1</v>
      </c>
      <c r="S192" t="n">
        <v/>
      </c>
      <c r="T192" t="n">
        <v/>
      </c>
      <c r="U192" t="n">
        <v/>
      </c>
      <c r="V192" t="b">
        <v>0</v>
      </c>
      <c r="W192" t="inlineStr"/>
      <c r="X192" t="n">
        <v/>
      </c>
    </row>
    <row r="193">
      <c r="A193" t="inlineStr">
        <is>
          <t>Relative</t>
        </is>
      </c>
      <c r="B193" t="inlineStr">
        <is>
          <t>I30</t>
        </is>
      </c>
      <c r="C193" t="n">
        <v>30</v>
      </c>
      <c r="D193" t="n">
        <v>9</v>
      </c>
      <c r="E193" t="inlineStr">
        <is>
          <t>Input</t>
        </is>
      </c>
      <c r="F193" t="n">
        <v/>
      </c>
      <c r="G193" t="inlineStr">
        <is>
          <t>Final Valuation</t>
        </is>
      </c>
      <c r="H193" t="inlineStr"/>
      <c r="I193" t="inlineStr">
        <is>
          <t>General</t>
        </is>
      </c>
      <c r="J193" t="b">
        <v>0</v>
      </c>
      <c r="K193" t="b">
        <v>0</v>
      </c>
      <c r="L193" t="n">
        <v>11</v>
      </c>
      <c r="M193" t="inlineStr">
        <is>
          <t>FF000000</t>
        </is>
      </c>
      <c r="N193" t="inlineStr">
        <is>
          <t>FFFFFF00</t>
        </is>
      </c>
      <c r="O193" t="inlineStr">
        <is>
          <t>center</t>
        </is>
      </c>
      <c r="R193" t="b">
        <v>1</v>
      </c>
      <c r="S193" t="n">
        <v/>
      </c>
      <c r="T193" t="n">
        <v/>
      </c>
      <c r="U193" t="n">
        <v/>
      </c>
      <c r="V193" t="b">
        <v>0</v>
      </c>
      <c r="W193" t="inlineStr"/>
      <c r="X193" t="n">
        <v/>
      </c>
    </row>
    <row r="194">
      <c r="A194" t="inlineStr">
        <is>
          <t>Relative</t>
        </is>
      </c>
      <c r="B194" t="inlineStr">
        <is>
          <t>J30</t>
        </is>
      </c>
      <c r="C194" t="n">
        <v>30</v>
      </c>
      <c r="D194" t="n">
        <v>10</v>
      </c>
      <c r="E194" t="inlineStr">
        <is>
          <t>Input</t>
        </is>
      </c>
      <c r="F194" t="n">
        <v/>
      </c>
      <c r="H194" t="inlineStr"/>
      <c r="I194" t="inlineStr">
        <is>
          <t>General</t>
        </is>
      </c>
      <c r="J194" t="b">
        <v>0</v>
      </c>
      <c r="K194" t="b">
        <v>0</v>
      </c>
      <c r="L194" t="n">
        <v>11</v>
      </c>
      <c r="M194" t="inlineStr">
        <is>
          <t>FF000000</t>
        </is>
      </c>
      <c r="N194" t="inlineStr">
        <is>
          <t>00000000</t>
        </is>
      </c>
      <c r="O194" t="n">
        <v/>
      </c>
      <c r="R194" t="b">
        <v>0</v>
      </c>
      <c r="S194" t="n">
        <v/>
      </c>
      <c r="T194" t="n">
        <v/>
      </c>
      <c r="U194" t="n">
        <v/>
      </c>
      <c r="V194" t="b">
        <v>0</v>
      </c>
      <c r="W194" t="inlineStr"/>
      <c r="X194" t="n">
        <v/>
      </c>
    </row>
    <row r="195">
      <c r="A195" t="inlineStr">
        <is>
          <t>Relative</t>
        </is>
      </c>
      <c r="B195" t="inlineStr">
        <is>
          <t>A31</t>
        </is>
      </c>
      <c r="C195" t="n">
        <v>31</v>
      </c>
      <c r="D195" t="n">
        <v>1</v>
      </c>
      <c r="E195" t="inlineStr">
        <is>
          <t>Input</t>
        </is>
      </c>
      <c r="F195" t="n">
        <v/>
      </c>
      <c r="G195" t="inlineStr">
        <is>
          <t>Trailing PEG</t>
        </is>
      </c>
      <c r="H195" t="inlineStr"/>
      <c r="I195" t="inlineStr">
        <is>
          <t>General</t>
        </is>
      </c>
      <c r="J195" t="b">
        <v>0</v>
      </c>
      <c r="K195" t="b">
        <v>0</v>
      </c>
      <c r="L195" t="n">
        <v>11</v>
      </c>
      <c r="M195" t="inlineStr">
        <is>
          <t>FF000000</t>
        </is>
      </c>
      <c r="N195" t="inlineStr">
        <is>
          <t>00000000</t>
        </is>
      </c>
      <c r="O195" t="n">
        <v/>
      </c>
      <c r="R195" t="b">
        <v>1</v>
      </c>
      <c r="S195" t="n">
        <v/>
      </c>
      <c r="T195" t="n">
        <v/>
      </c>
      <c r="U195" t="n">
        <v/>
      </c>
      <c r="V195" t="b">
        <v>0</v>
      </c>
      <c r="W195" t="inlineStr"/>
      <c r="X195" t="n">
        <v/>
      </c>
    </row>
    <row r="196">
      <c r="A196" t="inlineStr">
        <is>
          <t>Relative</t>
        </is>
      </c>
      <c r="B196" t="inlineStr">
        <is>
          <t>B31</t>
        </is>
      </c>
      <c r="C196" t="n">
        <v>31</v>
      </c>
      <c r="D196" t="n">
        <v>2</v>
      </c>
      <c r="E196" t="inlineStr">
        <is>
          <t>Calculation</t>
        </is>
      </c>
      <c r="F196" t="inlineStr">
        <is>
          <t>'=$Q$16*$B$3*$B$13*0.8</t>
        </is>
      </c>
      <c r="G196" t="n">
        <v>1100.184510059806</v>
      </c>
      <c r="H196" t="inlineStr"/>
      <c r="I196" t="inlineStr">
        <is>
          <t>_-* #,##0_-;\-* #,##0_-;_-* "-"??_-;_-@_-</t>
        </is>
      </c>
      <c r="J196" t="b">
        <v>0</v>
      </c>
      <c r="K196" t="b">
        <v>0</v>
      </c>
      <c r="L196" t="n">
        <v>11</v>
      </c>
      <c r="M196" t="inlineStr">
        <is>
          <t>FF000000</t>
        </is>
      </c>
      <c r="N196" t="inlineStr">
        <is>
          <t>00000000</t>
        </is>
      </c>
      <c r="O196" t="n">
        <v/>
      </c>
      <c r="R196" t="b">
        <v>1</v>
      </c>
      <c r="S196" t="n">
        <v/>
      </c>
      <c r="T196" t="n">
        <v/>
      </c>
      <c r="U196" t="n">
        <v/>
      </c>
      <c r="V196" t="b">
        <v>0</v>
      </c>
      <c r="W196" t="inlineStr"/>
      <c r="X196">
        <f>R16C17*R3C2*R13C2*0.8</f>
        <v/>
      </c>
    </row>
    <row r="197">
      <c r="A197" t="inlineStr">
        <is>
          <t>Relative</t>
        </is>
      </c>
      <c r="B197" t="inlineStr">
        <is>
          <t>C31</t>
        </is>
      </c>
      <c r="C197" t="n">
        <v>31</v>
      </c>
      <c r="D197" t="n">
        <v>3</v>
      </c>
      <c r="E197" t="inlineStr">
        <is>
          <t>Calculation</t>
        </is>
      </c>
      <c r="F197" t="inlineStr">
        <is>
          <t>'=$Q$16*$B$3*$B$13*1.2</t>
        </is>
      </c>
      <c r="G197" t="n">
        <v>1650.276765089709</v>
      </c>
      <c r="H197" t="inlineStr"/>
      <c r="I197" t="inlineStr">
        <is>
          <t>_-* #,##0_-;\-* #,##0_-;_-* "-"??_-;_-@_-</t>
        </is>
      </c>
      <c r="J197" t="b">
        <v>0</v>
      </c>
      <c r="K197" t="b">
        <v>0</v>
      </c>
      <c r="L197" t="n">
        <v>11</v>
      </c>
      <c r="M197" t="inlineStr">
        <is>
          <t>FF000000</t>
        </is>
      </c>
      <c r="N197" t="inlineStr">
        <is>
          <t>00000000</t>
        </is>
      </c>
      <c r="O197" t="n">
        <v/>
      </c>
      <c r="R197" t="b">
        <v>1</v>
      </c>
      <c r="S197" t="n">
        <v/>
      </c>
      <c r="T197" t="n">
        <v/>
      </c>
      <c r="U197" t="n">
        <v/>
      </c>
      <c r="V197" t="b">
        <v>0</v>
      </c>
      <c r="W197" t="inlineStr"/>
      <c r="X197">
        <f>R16C17*R3C2*R13C2*1.2</f>
        <v/>
      </c>
    </row>
    <row r="198">
      <c r="A198" t="inlineStr">
        <is>
          <t>Relative</t>
        </is>
      </c>
      <c r="B198" t="inlineStr">
        <is>
          <t>D31</t>
        </is>
      </c>
      <c r="C198" t="n">
        <v>31</v>
      </c>
      <c r="D198" t="n">
        <v>4</v>
      </c>
      <c r="E198" t="inlineStr">
        <is>
          <t>Input</t>
        </is>
      </c>
      <c r="F198" t="n">
        <v/>
      </c>
      <c r="G198" t="n">
        <v>0.05</v>
      </c>
      <c r="H198" t="inlineStr"/>
      <c r="I198" t="inlineStr">
        <is>
          <t>0%</t>
        </is>
      </c>
      <c r="J198" t="b">
        <v>0</v>
      </c>
      <c r="K198" t="b">
        <v>0</v>
      </c>
      <c r="L198" t="n">
        <v>11</v>
      </c>
      <c r="M198" t="inlineStr">
        <is>
          <t>FF000000</t>
        </is>
      </c>
      <c r="N198" t="inlineStr">
        <is>
          <t>00000000</t>
        </is>
      </c>
      <c r="O198" t="n">
        <v/>
      </c>
      <c r="R198" t="b">
        <v>1</v>
      </c>
      <c r="S198" t="n">
        <v/>
      </c>
      <c r="T198" t="n">
        <v/>
      </c>
      <c r="U198" t="n">
        <v/>
      </c>
      <c r="V198" t="b">
        <v>0</v>
      </c>
      <c r="W198" t="inlineStr"/>
      <c r="X198" t="n">
        <v/>
      </c>
    </row>
    <row r="199">
      <c r="A199" t="inlineStr">
        <is>
          <t>Relative</t>
        </is>
      </c>
      <c r="B199" t="inlineStr">
        <is>
          <t>I31</t>
        </is>
      </c>
      <c r="C199" t="n">
        <v>31</v>
      </c>
      <c r="D199" t="n">
        <v>9</v>
      </c>
      <c r="E199" t="inlineStr">
        <is>
          <t>Input</t>
        </is>
      </c>
      <c r="F199" t="n">
        <v/>
      </c>
      <c r="G199" t="inlineStr">
        <is>
          <t>Min</t>
        </is>
      </c>
      <c r="H199" t="inlineStr"/>
      <c r="I199" t="inlineStr">
        <is>
          <t>General</t>
        </is>
      </c>
      <c r="J199" t="b">
        <v>0</v>
      </c>
      <c r="K199" t="b">
        <v>0</v>
      </c>
      <c r="L199" t="n">
        <v>11</v>
      </c>
      <c r="M199" t="inlineStr">
        <is>
          <t>FF000000</t>
        </is>
      </c>
      <c r="N199" t="inlineStr">
        <is>
          <t>FFFFFF00</t>
        </is>
      </c>
      <c r="O199" t="n">
        <v/>
      </c>
      <c r="R199" t="b">
        <v>1</v>
      </c>
      <c r="S199" t="n">
        <v/>
      </c>
      <c r="T199" t="n">
        <v/>
      </c>
      <c r="U199" t="n">
        <v/>
      </c>
      <c r="V199" t="b">
        <v>0</v>
      </c>
      <c r="W199" t="inlineStr"/>
      <c r="X199" t="n">
        <v/>
      </c>
    </row>
    <row r="200">
      <c r="A200" t="inlineStr">
        <is>
          <t>Relative</t>
        </is>
      </c>
      <c r="B200" t="inlineStr">
        <is>
          <t>J31</t>
        </is>
      </c>
      <c r="C200" t="n">
        <v>31</v>
      </c>
      <c r="D200" t="n">
        <v>10</v>
      </c>
      <c r="E200" t="inlineStr">
        <is>
          <t>Input</t>
        </is>
      </c>
      <c r="F200" t="n">
        <v/>
      </c>
      <c r="G200" t="inlineStr">
        <is>
          <t>Max</t>
        </is>
      </c>
      <c r="H200" t="inlineStr"/>
      <c r="I200" t="inlineStr">
        <is>
          <t>General</t>
        </is>
      </c>
      <c r="J200" t="b">
        <v>0</v>
      </c>
      <c r="K200" t="b">
        <v>0</v>
      </c>
      <c r="L200" t="n">
        <v>11</v>
      </c>
      <c r="M200" t="inlineStr">
        <is>
          <t>FF000000</t>
        </is>
      </c>
      <c r="N200" t="inlineStr">
        <is>
          <t>FFFFFF00</t>
        </is>
      </c>
      <c r="O200" t="n">
        <v/>
      </c>
      <c r="R200" t="b">
        <v>1</v>
      </c>
      <c r="S200" t="n">
        <v/>
      </c>
      <c r="T200" t="n">
        <v/>
      </c>
      <c r="U200" t="n">
        <v/>
      </c>
      <c r="V200" t="b">
        <v>0</v>
      </c>
      <c r="W200" t="inlineStr"/>
      <c r="X200" t="n">
        <v/>
      </c>
    </row>
    <row r="201">
      <c r="A201" t="inlineStr">
        <is>
          <t>Relative</t>
        </is>
      </c>
      <c r="B201" t="inlineStr">
        <is>
          <t>A32</t>
        </is>
      </c>
      <c r="C201" t="n">
        <v>32</v>
      </c>
      <c r="D201" t="n">
        <v>1</v>
      </c>
      <c r="E201" t="inlineStr">
        <is>
          <t>Input</t>
        </is>
      </c>
      <c r="F201" t="n">
        <v/>
      </c>
      <c r="G201" t="inlineStr">
        <is>
          <t>Leading PE</t>
        </is>
      </c>
      <c r="H201" t="inlineStr"/>
      <c r="I201" t="inlineStr">
        <is>
          <t>General</t>
        </is>
      </c>
      <c r="J201" t="b">
        <v>0</v>
      </c>
      <c r="K201" t="b">
        <v>0</v>
      </c>
      <c r="L201" t="n">
        <v>11</v>
      </c>
      <c r="M201" t="inlineStr">
        <is>
          <t>FF000000</t>
        </is>
      </c>
      <c r="N201" t="inlineStr">
        <is>
          <t>00000000</t>
        </is>
      </c>
      <c r="O201" t="n">
        <v/>
      </c>
      <c r="R201" t="b">
        <v>1</v>
      </c>
      <c r="S201" t="n">
        <v/>
      </c>
      <c r="T201" t="n">
        <v/>
      </c>
      <c r="U201" t="n">
        <v/>
      </c>
      <c r="V201" t="b">
        <v>0</v>
      </c>
      <c r="W201" t="inlineStr"/>
      <c r="X201" t="n">
        <v/>
      </c>
    </row>
    <row r="202">
      <c r="A202" t="inlineStr">
        <is>
          <t>Relative</t>
        </is>
      </c>
      <c r="B202" t="inlineStr">
        <is>
          <t>B32</t>
        </is>
      </c>
      <c r="C202" t="n">
        <v>32</v>
      </c>
      <c r="D202" t="n">
        <v>2</v>
      </c>
      <c r="E202" t="inlineStr">
        <is>
          <t>Calculation</t>
        </is>
      </c>
      <c r="F202" t="inlineStr">
        <is>
          <t>'=$Q$18*$C$3*0.8</t>
        </is>
      </c>
      <c r="G202" t="n">
        <v>1465.513489057271</v>
      </c>
      <c r="H202" t="inlineStr"/>
      <c r="I202" t="inlineStr">
        <is>
          <t>_-* #,##0_-;\-* #,##0_-;_-* "-"??_-;_-@_-</t>
        </is>
      </c>
      <c r="J202" t="b">
        <v>0</v>
      </c>
      <c r="K202" t="b">
        <v>0</v>
      </c>
      <c r="L202" t="n">
        <v>11</v>
      </c>
      <c r="M202" t="inlineStr">
        <is>
          <t>FF000000</t>
        </is>
      </c>
      <c r="N202" t="inlineStr">
        <is>
          <t>00000000</t>
        </is>
      </c>
      <c r="O202" t="n">
        <v/>
      </c>
      <c r="R202" t="b">
        <v>1</v>
      </c>
      <c r="S202" t="n">
        <v/>
      </c>
      <c r="T202" t="n">
        <v/>
      </c>
      <c r="U202" t="n">
        <v/>
      </c>
      <c r="V202" t="b">
        <v>0</v>
      </c>
      <c r="W202" t="inlineStr"/>
      <c r="X202">
        <f>R18C17*R3C3*0.8</f>
        <v/>
      </c>
    </row>
    <row r="203">
      <c r="A203" t="inlineStr">
        <is>
          <t>Relative</t>
        </is>
      </c>
      <c r="B203" t="inlineStr">
        <is>
          <t>C32</t>
        </is>
      </c>
      <c r="C203" t="n">
        <v>32</v>
      </c>
      <c r="D203" t="n">
        <v>3</v>
      </c>
      <c r="E203" t="inlineStr">
        <is>
          <t>Calculation</t>
        </is>
      </c>
      <c r="F203" t="inlineStr">
        <is>
          <t>'=$Q$18*$C$3*1.2</t>
        </is>
      </c>
      <c r="G203" t="n">
        <v>2198.270233585906</v>
      </c>
      <c r="H203" t="inlineStr"/>
      <c r="I203" t="inlineStr">
        <is>
          <t>_-* #,##0_-;\-* #,##0_-;_-* "-"??_-;_-@_-</t>
        </is>
      </c>
      <c r="J203" t="b">
        <v>0</v>
      </c>
      <c r="K203" t="b">
        <v>0</v>
      </c>
      <c r="L203" t="n">
        <v>11</v>
      </c>
      <c r="M203" t="inlineStr">
        <is>
          <t>FF000000</t>
        </is>
      </c>
      <c r="N203" t="inlineStr">
        <is>
          <t>00000000</t>
        </is>
      </c>
      <c r="O203" t="n">
        <v/>
      </c>
      <c r="R203" t="b">
        <v>1</v>
      </c>
      <c r="S203" t="n">
        <v/>
      </c>
      <c r="T203" t="n">
        <v/>
      </c>
      <c r="U203" t="n">
        <v/>
      </c>
      <c r="V203" t="b">
        <v>0</v>
      </c>
      <c r="W203" t="inlineStr"/>
      <c r="X203">
        <f>R18C17*R3C3*1.2</f>
        <v/>
      </c>
    </row>
    <row r="204">
      <c r="A204" t="inlineStr">
        <is>
          <t>Relative</t>
        </is>
      </c>
      <c r="B204" t="inlineStr">
        <is>
          <t>D32</t>
        </is>
      </c>
      <c r="C204" t="n">
        <v>32</v>
      </c>
      <c r="D204" t="n">
        <v>4</v>
      </c>
      <c r="E204" t="inlineStr">
        <is>
          <t>Input</t>
        </is>
      </c>
      <c r="F204" t="n">
        <v/>
      </c>
      <c r="G204" t="n">
        <v>0.05</v>
      </c>
      <c r="H204" t="inlineStr"/>
      <c r="I204" t="inlineStr">
        <is>
          <t>0%</t>
        </is>
      </c>
      <c r="J204" t="b">
        <v>0</v>
      </c>
      <c r="K204" t="b">
        <v>0</v>
      </c>
      <c r="L204" t="n">
        <v>11</v>
      </c>
      <c r="M204" t="inlineStr">
        <is>
          <t>FF000000</t>
        </is>
      </c>
      <c r="N204" t="inlineStr">
        <is>
          <t>00000000</t>
        </is>
      </c>
      <c r="O204" t="n">
        <v/>
      </c>
      <c r="R204" t="b">
        <v>1</v>
      </c>
      <c r="S204" t="n">
        <v/>
      </c>
      <c r="T204" t="n">
        <v/>
      </c>
      <c r="U204" t="n">
        <v/>
      </c>
      <c r="V204" t="b">
        <v>0</v>
      </c>
      <c r="W204" t="inlineStr"/>
      <c r="X204" t="n">
        <v/>
      </c>
    </row>
    <row r="205">
      <c r="A205" t="inlineStr">
        <is>
          <t>Relative</t>
        </is>
      </c>
      <c r="B205" t="inlineStr">
        <is>
          <t>I32</t>
        </is>
      </c>
      <c r="C205" t="n">
        <v>32</v>
      </c>
      <c r="D205" t="n">
        <v>9</v>
      </c>
      <c r="E205" t="inlineStr">
        <is>
          <t>Output</t>
        </is>
      </c>
      <c r="F205" t="inlineStr">
        <is>
          <t>'=SUMPRODUCT(B29:B40,D29:D40)</t>
        </is>
      </c>
      <c r="G205" t="n">
        <v>1090.853753518176</v>
      </c>
      <c r="H205" t="inlineStr"/>
      <c r="I205" t="inlineStr">
        <is>
          <t>0.0</t>
        </is>
      </c>
      <c r="J205" t="b">
        <v>0</v>
      </c>
      <c r="K205" t="b">
        <v>0</v>
      </c>
      <c r="L205" t="n">
        <v>11</v>
      </c>
      <c r="M205" t="inlineStr">
        <is>
          <t>FF000000</t>
        </is>
      </c>
      <c r="N205" t="inlineStr">
        <is>
          <t>FFFFFF00</t>
        </is>
      </c>
      <c r="O205" t="n">
        <v/>
      </c>
      <c r="R205" t="b">
        <v>1</v>
      </c>
      <c r="S205" t="n">
        <v/>
      </c>
      <c r="T205" t="n">
        <v/>
      </c>
      <c r="U205" t="n">
        <v/>
      </c>
      <c r="V205" t="b">
        <v>0</v>
      </c>
      <c r="W205" t="inlineStr"/>
      <c r="X205">
        <f>SUMPRODUCT(R[-3]C[-7]:R[8]C[-7],R[-3]C[-5]:R[8]C[-5])</f>
        <v/>
      </c>
    </row>
    <row r="206">
      <c r="A206" t="inlineStr">
        <is>
          <t>Relative</t>
        </is>
      </c>
      <c r="B206" t="inlineStr">
        <is>
          <t>J32</t>
        </is>
      </c>
      <c r="C206" t="n">
        <v>32</v>
      </c>
      <c r="D206" t="n">
        <v>10</v>
      </c>
      <c r="E206" t="inlineStr">
        <is>
          <t>Output</t>
        </is>
      </c>
      <c r="F206" t="inlineStr">
        <is>
          <t>'=SUMPRODUCT(C29:C40,D29:D40)</t>
        </is>
      </c>
      <c r="G206" t="n">
        <v>1636.280630277264</v>
      </c>
      <c r="H206" t="inlineStr"/>
      <c r="I206" t="inlineStr">
        <is>
          <t>0.0</t>
        </is>
      </c>
      <c r="J206" t="b">
        <v>0</v>
      </c>
      <c r="K206" t="b">
        <v>0</v>
      </c>
      <c r="L206" t="n">
        <v>11</v>
      </c>
      <c r="M206" t="inlineStr">
        <is>
          <t>FF000000</t>
        </is>
      </c>
      <c r="N206" t="inlineStr">
        <is>
          <t>FFFFFF00</t>
        </is>
      </c>
      <c r="O206" t="n">
        <v/>
      </c>
      <c r="R206" t="b">
        <v>1</v>
      </c>
      <c r="S206" t="n">
        <v/>
      </c>
      <c r="T206" t="n">
        <v/>
      </c>
      <c r="U206" t="n">
        <v/>
      </c>
      <c r="V206" t="b">
        <v>0</v>
      </c>
      <c r="W206" t="inlineStr"/>
      <c r="X206">
        <f>SUMPRODUCT(R[-3]C[-7]:R[8]C[-7],R[-3]C[-6]:R[8]C[-6])</f>
        <v/>
      </c>
    </row>
    <row r="207">
      <c r="A207" t="inlineStr">
        <is>
          <t>Relative</t>
        </is>
      </c>
      <c r="B207" t="inlineStr">
        <is>
          <t>A33</t>
        </is>
      </c>
      <c r="C207" t="n">
        <v>33</v>
      </c>
      <c r="D207" t="n">
        <v>1</v>
      </c>
      <c r="E207" t="inlineStr">
        <is>
          <t>Input</t>
        </is>
      </c>
      <c r="F207" t="n">
        <v/>
      </c>
      <c r="G207" t="inlineStr">
        <is>
          <t>Leading PS</t>
        </is>
      </c>
      <c r="H207" t="inlineStr"/>
      <c r="I207" t="inlineStr">
        <is>
          <t>General</t>
        </is>
      </c>
      <c r="J207" t="b">
        <v>0</v>
      </c>
      <c r="K207" t="b">
        <v>0</v>
      </c>
      <c r="L207" t="n">
        <v>11</v>
      </c>
      <c r="M207" t="inlineStr">
        <is>
          <t>FF000000</t>
        </is>
      </c>
      <c r="N207" t="inlineStr">
        <is>
          <t>00000000</t>
        </is>
      </c>
      <c r="O207" t="n">
        <v/>
      </c>
      <c r="R207" t="b">
        <v>1</v>
      </c>
      <c r="S207" t="n">
        <v/>
      </c>
      <c r="T207" t="n">
        <v/>
      </c>
      <c r="U207" t="n">
        <v/>
      </c>
      <c r="V207" t="b">
        <v>0</v>
      </c>
      <c r="W207" t="inlineStr"/>
      <c r="X207" t="n">
        <v/>
      </c>
    </row>
    <row r="208">
      <c r="A208" t="inlineStr">
        <is>
          <t>Relative</t>
        </is>
      </c>
      <c r="B208" t="inlineStr">
        <is>
          <t>B33</t>
        </is>
      </c>
      <c r="C208" t="n">
        <v>33</v>
      </c>
      <c r="D208" t="n">
        <v>2</v>
      </c>
      <c r="E208" t="inlineStr">
        <is>
          <t>Calculation</t>
        </is>
      </c>
      <c r="F208" t="inlineStr">
        <is>
          <t>'=$Q$19*($C$4/$B$8)*0.8</t>
        </is>
      </c>
      <c r="G208" t="n">
        <v>1712.956864483996</v>
      </c>
      <c r="H208" t="inlineStr"/>
      <c r="I208" t="inlineStr">
        <is>
          <t>_-* #,##0_-;\-* #,##0_-;_-* "-"??_-;_-@_-</t>
        </is>
      </c>
      <c r="J208" t="b">
        <v>0</v>
      </c>
      <c r="K208" t="b">
        <v>0</v>
      </c>
      <c r="L208" t="n">
        <v>11</v>
      </c>
      <c r="M208" t="inlineStr">
        <is>
          <t>FF000000</t>
        </is>
      </c>
      <c r="N208" t="inlineStr">
        <is>
          <t>00000000</t>
        </is>
      </c>
      <c r="O208" t="n">
        <v/>
      </c>
      <c r="R208" t="b">
        <v>1</v>
      </c>
      <c r="S208" t="n">
        <v/>
      </c>
      <c r="T208" t="n">
        <v/>
      </c>
      <c r="U208" t="n">
        <v/>
      </c>
      <c r="V208" t="b">
        <v>0</v>
      </c>
      <c r="W208" t="inlineStr"/>
      <c r="X208">
        <f>R19C17*(R4C3/R8C2)*0.8</f>
        <v/>
      </c>
    </row>
    <row r="209">
      <c r="A209" t="inlineStr">
        <is>
          <t>Relative</t>
        </is>
      </c>
      <c r="B209" t="inlineStr">
        <is>
          <t>C33</t>
        </is>
      </c>
      <c r="C209" t="n">
        <v>33</v>
      </c>
      <c r="D209" t="n">
        <v>3</v>
      </c>
      <c r="E209" t="inlineStr">
        <is>
          <t>Calculation</t>
        </is>
      </c>
      <c r="F209" t="inlineStr">
        <is>
          <t>'=$Q$19*($C$4/$B$8)*1.2</t>
        </is>
      </c>
      <c r="G209" t="n">
        <v>2569.435296725994</v>
      </c>
      <c r="H209" t="inlineStr"/>
      <c r="I209" t="inlineStr">
        <is>
          <t>_-* #,##0_-;\-* #,##0_-;_-* "-"??_-;_-@_-</t>
        </is>
      </c>
      <c r="J209" t="b">
        <v>0</v>
      </c>
      <c r="K209" t="b">
        <v>0</v>
      </c>
      <c r="L209" t="n">
        <v>11</v>
      </c>
      <c r="M209" t="inlineStr">
        <is>
          <t>FF000000</t>
        </is>
      </c>
      <c r="N209" t="inlineStr">
        <is>
          <t>00000000</t>
        </is>
      </c>
      <c r="O209" t="n">
        <v/>
      </c>
      <c r="R209" t="b">
        <v>1</v>
      </c>
      <c r="S209" t="n">
        <v/>
      </c>
      <c r="T209" t="n">
        <v/>
      </c>
      <c r="U209" t="n">
        <v/>
      </c>
      <c r="V209" t="b">
        <v>0</v>
      </c>
      <c r="W209" t="inlineStr"/>
      <c r="X209">
        <f>R19C17*(R4C3/R8C2)*1.2</f>
        <v/>
      </c>
    </row>
    <row r="210">
      <c r="A210" t="inlineStr">
        <is>
          <t>Relative</t>
        </is>
      </c>
      <c r="B210" t="inlineStr">
        <is>
          <t>D33</t>
        </is>
      </c>
      <c r="C210" t="n">
        <v>33</v>
      </c>
      <c r="D210" t="n">
        <v>4</v>
      </c>
      <c r="E210" t="inlineStr">
        <is>
          <t>Input</t>
        </is>
      </c>
      <c r="F210" t="n">
        <v/>
      </c>
      <c r="G210" t="n">
        <v>0.05</v>
      </c>
      <c r="H210" t="inlineStr"/>
      <c r="I210" t="inlineStr">
        <is>
          <t>0%</t>
        </is>
      </c>
      <c r="J210" t="b">
        <v>0</v>
      </c>
      <c r="K210" t="b">
        <v>0</v>
      </c>
      <c r="L210" t="n">
        <v>11</v>
      </c>
      <c r="M210" t="inlineStr">
        <is>
          <t>FF000000</t>
        </is>
      </c>
      <c r="N210" t="inlineStr">
        <is>
          <t>00000000</t>
        </is>
      </c>
      <c r="O210" t="n">
        <v/>
      </c>
      <c r="R210" t="b">
        <v>1</v>
      </c>
      <c r="S210" t="n">
        <v/>
      </c>
      <c r="T210" t="n">
        <v/>
      </c>
      <c r="U210" t="n">
        <v/>
      </c>
      <c r="V210" t="b">
        <v>0</v>
      </c>
      <c r="W210" t="inlineStr"/>
      <c r="X210" t="n">
        <v/>
      </c>
    </row>
    <row r="211">
      <c r="A211" t="inlineStr">
        <is>
          <t>Relative</t>
        </is>
      </c>
      <c r="B211" t="inlineStr">
        <is>
          <t>A34</t>
        </is>
      </c>
      <c r="C211" t="n">
        <v>34</v>
      </c>
      <c r="D211" t="n">
        <v>1</v>
      </c>
      <c r="E211" t="inlineStr">
        <is>
          <t>Input</t>
        </is>
      </c>
      <c r="F211" t="n">
        <v/>
      </c>
      <c r="G211" t="inlineStr">
        <is>
          <t>Leading PEG</t>
        </is>
      </c>
      <c r="H211" t="inlineStr"/>
      <c r="I211" t="inlineStr">
        <is>
          <t>General</t>
        </is>
      </c>
      <c r="J211" t="b">
        <v>0</v>
      </c>
      <c r="K211" t="b">
        <v>0</v>
      </c>
      <c r="L211" t="n">
        <v>11</v>
      </c>
      <c r="M211" t="inlineStr">
        <is>
          <t>FF000000</t>
        </is>
      </c>
      <c r="N211" t="inlineStr">
        <is>
          <t>00000000</t>
        </is>
      </c>
      <c r="O211" t="n">
        <v/>
      </c>
      <c r="R211" t="b">
        <v>1</v>
      </c>
      <c r="S211" t="n">
        <v/>
      </c>
      <c r="T211" t="n">
        <v/>
      </c>
      <c r="U211" t="n">
        <v/>
      </c>
      <c r="V211" t="b">
        <v>0</v>
      </c>
      <c r="W211" t="inlineStr"/>
      <c r="X211" t="n">
        <v/>
      </c>
    </row>
    <row r="212">
      <c r="A212" t="inlineStr">
        <is>
          <t>Relative</t>
        </is>
      </c>
      <c r="B212" t="inlineStr">
        <is>
          <t>B34</t>
        </is>
      </c>
      <c r="C212" t="n">
        <v>34</v>
      </c>
      <c r="D212" t="n">
        <v>2</v>
      </c>
      <c r="E212" t="inlineStr">
        <is>
          <t>Calculation</t>
        </is>
      </c>
      <c r="F212" t="inlineStr">
        <is>
          <t>'=$Q$20*$C$3*$B$13*0.8</t>
        </is>
      </c>
      <c r="G212" t="n">
        <v>1248.252814534146</v>
      </c>
      <c r="H212" t="inlineStr"/>
      <c r="I212" t="inlineStr">
        <is>
          <t>_-* #,##0_-;\-* #,##0_-;_-* "-"??_-;_-@_-</t>
        </is>
      </c>
      <c r="J212" t="b">
        <v>0</v>
      </c>
      <c r="K212" t="b">
        <v>0</v>
      </c>
      <c r="L212" t="n">
        <v>11</v>
      </c>
      <c r="M212" t="inlineStr">
        <is>
          <t>FF000000</t>
        </is>
      </c>
      <c r="N212" t="inlineStr">
        <is>
          <t>00000000</t>
        </is>
      </c>
      <c r="O212" t="n">
        <v/>
      </c>
      <c r="R212" t="b">
        <v>1</v>
      </c>
      <c r="S212" t="n">
        <v/>
      </c>
      <c r="T212" t="n">
        <v/>
      </c>
      <c r="U212" t="n">
        <v/>
      </c>
      <c r="V212" t="b">
        <v>0</v>
      </c>
      <c r="W212" t="inlineStr"/>
      <c r="X212">
        <f>R20C17*R3C3*R13C2*0.8</f>
        <v/>
      </c>
    </row>
    <row r="213">
      <c r="A213" t="inlineStr">
        <is>
          <t>Relative</t>
        </is>
      </c>
      <c r="B213" t="inlineStr">
        <is>
          <t>C34</t>
        </is>
      </c>
      <c r="C213" t="n">
        <v>34</v>
      </c>
      <c r="D213" t="n">
        <v>3</v>
      </c>
      <c r="E213" t="inlineStr">
        <is>
          <t>Calculation</t>
        </is>
      </c>
      <c r="F213" t="inlineStr">
        <is>
          <t>'=$Q$20*$C$3*$B$13*1.2</t>
        </is>
      </c>
      <c r="G213" t="n">
        <v>1872.379221801218</v>
      </c>
      <c r="H213" t="inlineStr"/>
      <c r="I213" t="inlineStr">
        <is>
          <t>_-* #,##0_-;\-* #,##0_-;_-* "-"??_-;_-@_-</t>
        </is>
      </c>
      <c r="J213" t="b">
        <v>0</v>
      </c>
      <c r="K213" t="b">
        <v>0</v>
      </c>
      <c r="L213" t="n">
        <v>11</v>
      </c>
      <c r="M213" t="inlineStr">
        <is>
          <t>FF000000</t>
        </is>
      </c>
      <c r="N213" t="inlineStr">
        <is>
          <t>00000000</t>
        </is>
      </c>
      <c r="O213" t="n">
        <v/>
      </c>
      <c r="R213" t="b">
        <v>1</v>
      </c>
      <c r="S213" t="n">
        <v/>
      </c>
      <c r="T213" t="n">
        <v/>
      </c>
      <c r="U213" t="n">
        <v/>
      </c>
      <c r="V213" t="b">
        <v>0</v>
      </c>
      <c r="W213" t="inlineStr"/>
      <c r="X213">
        <f>R20C17*R3C3*R13C2*1.2</f>
        <v/>
      </c>
    </row>
    <row r="214">
      <c r="A214" t="inlineStr">
        <is>
          <t>Relative</t>
        </is>
      </c>
      <c r="B214" t="inlineStr">
        <is>
          <t>D34</t>
        </is>
      </c>
      <c r="C214" t="n">
        <v>34</v>
      </c>
      <c r="D214" t="n">
        <v>4</v>
      </c>
      <c r="E214" t="inlineStr">
        <is>
          <t>Input</t>
        </is>
      </c>
      <c r="F214" t="n">
        <v/>
      </c>
      <c r="G214" t="n">
        <v>0.05</v>
      </c>
      <c r="H214" t="inlineStr"/>
      <c r="I214" t="inlineStr">
        <is>
          <t>0%</t>
        </is>
      </c>
      <c r="J214" t="b">
        <v>0</v>
      </c>
      <c r="K214" t="b">
        <v>0</v>
      </c>
      <c r="L214" t="n">
        <v>11</v>
      </c>
      <c r="M214" t="inlineStr">
        <is>
          <t>FF000000</t>
        </is>
      </c>
      <c r="N214" t="inlineStr">
        <is>
          <t>00000000</t>
        </is>
      </c>
      <c r="O214" t="n">
        <v/>
      </c>
      <c r="R214" t="b">
        <v>1</v>
      </c>
      <c r="S214" t="n">
        <v/>
      </c>
      <c r="T214" t="n">
        <v/>
      </c>
      <c r="U214" t="n">
        <v/>
      </c>
      <c r="V214" t="b">
        <v>0</v>
      </c>
      <c r="W214" t="inlineStr"/>
      <c r="X214" t="n">
        <v/>
      </c>
    </row>
    <row r="215">
      <c r="A215" t="inlineStr">
        <is>
          <t>Relative</t>
        </is>
      </c>
      <c r="B215" t="inlineStr">
        <is>
          <t>A35</t>
        </is>
      </c>
      <c r="C215" t="n">
        <v>35</v>
      </c>
      <c r="D215" t="n">
        <v>1</v>
      </c>
      <c r="E215" t="inlineStr">
        <is>
          <t>Input</t>
        </is>
      </c>
      <c r="F215" t="n">
        <v/>
      </c>
      <c r="G215" t="inlineStr">
        <is>
          <t>Trailing EV/EBITDA</t>
        </is>
      </c>
      <c r="H215" t="inlineStr"/>
      <c r="I215" t="inlineStr">
        <is>
          <t>General</t>
        </is>
      </c>
      <c r="J215" t="b">
        <v>0</v>
      </c>
      <c r="K215" t="b">
        <v>0</v>
      </c>
      <c r="L215" t="n">
        <v>11</v>
      </c>
      <c r="M215" t="inlineStr">
        <is>
          <t>FF000000</t>
        </is>
      </c>
      <c r="N215" t="inlineStr">
        <is>
          <t>00000000</t>
        </is>
      </c>
      <c r="O215" t="n">
        <v/>
      </c>
      <c r="R215" t="b">
        <v>1</v>
      </c>
      <c r="S215" t="n">
        <v/>
      </c>
      <c r="T215" t="n">
        <v/>
      </c>
      <c r="U215" t="n">
        <v/>
      </c>
      <c r="V215" t="b">
        <v>0</v>
      </c>
      <c r="W215" t="inlineStr"/>
      <c r="X215" t="n">
        <v/>
      </c>
    </row>
    <row r="216">
      <c r="A216" t="inlineStr">
        <is>
          <t>Relative</t>
        </is>
      </c>
      <c r="B216" t="inlineStr">
        <is>
          <t>B35</t>
        </is>
      </c>
      <c r="C216" t="n">
        <v>35</v>
      </c>
      <c r="D216" t="n">
        <v>2</v>
      </c>
      <c r="E216" t="inlineStr">
        <is>
          <t>Calculation</t>
        </is>
      </c>
      <c r="F216" t="inlineStr">
        <is>
          <t>'=D45*0.8</t>
        </is>
      </c>
      <c r="G216" t="n">
        <v>1670.246931438038</v>
      </c>
      <c r="H216" t="inlineStr"/>
      <c r="I216" t="inlineStr">
        <is>
          <t>_-* #,##0_-;\-* #,##0_-;_-* "-"??_-;_-@_-</t>
        </is>
      </c>
      <c r="J216" t="b">
        <v>0</v>
      </c>
      <c r="K216" t="b">
        <v>0</v>
      </c>
      <c r="L216" t="n">
        <v>11</v>
      </c>
      <c r="M216" t="inlineStr">
        <is>
          <t>FF000000</t>
        </is>
      </c>
      <c r="N216" t="inlineStr">
        <is>
          <t>00000000</t>
        </is>
      </c>
      <c r="O216" t="n">
        <v/>
      </c>
      <c r="R216" t="b">
        <v>1</v>
      </c>
      <c r="S216" t="inlineStr">
        <is>
          <t>G000194</t>
        </is>
      </c>
      <c r="T216" t="inlineStr">
        <is>
          <t>Vertical</t>
        </is>
      </c>
      <c r="U216" t="n">
        <v>4</v>
      </c>
      <c r="V216" t="b">
        <v>1</v>
      </c>
      <c r="W216" t="inlineStr">
        <is>
          <t>Relative!B35:B38</t>
        </is>
      </c>
      <c r="X216">
        <f>R[10]C[2]*0.8</f>
        <v/>
      </c>
    </row>
    <row r="217">
      <c r="A217" t="inlineStr">
        <is>
          <t>Relative</t>
        </is>
      </c>
      <c r="B217" t="inlineStr">
        <is>
          <t>C35</t>
        </is>
      </c>
      <c r="C217" t="n">
        <v>35</v>
      </c>
      <c r="D217" t="n">
        <v>3</v>
      </c>
      <c r="E217" t="inlineStr">
        <is>
          <t>Calculation</t>
        </is>
      </c>
      <c r="F217" t="inlineStr">
        <is>
          <t>'=D45*1.2</t>
        </is>
      </c>
      <c r="G217" t="n">
        <v>2505.370397157056</v>
      </c>
      <c r="H217" t="inlineStr"/>
      <c r="I217" t="inlineStr">
        <is>
          <t>_-* #,##0_-;\-* #,##0_-;_-* "-"??_-;_-@_-</t>
        </is>
      </c>
      <c r="J217" t="b">
        <v>0</v>
      </c>
      <c r="K217" t="b">
        <v>0</v>
      </c>
      <c r="L217" t="n">
        <v>11</v>
      </c>
      <c r="M217" t="inlineStr">
        <is>
          <t>FF000000</t>
        </is>
      </c>
      <c r="N217" t="inlineStr">
        <is>
          <t>00000000</t>
        </is>
      </c>
      <c r="O217" t="n">
        <v/>
      </c>
      <c r="R217" t="b">
        <v>1</v>
      </c>
      <c r="S217" t="inlineStr">
        <is>
          <t>G000195</t>
        </is>
      </c>
      <c r="T217" t="inlineStr">
        <is>
          <t>Vertical</t>
        </is>
      </c>
      <c r="U217" t="n">
        <v>4</v>
      </c>
      <c r="V217" t="b">
        <v>1</v>
      </c>
      <c r="W217" t="inlineStr">
        <is>
          <t>Relative!C35:C38</t>
        </is>
      </c>
      <c r="X217">
        <f>R[10]C[1]*1.2</f>
        <v/>
      </c>
    </row>
    <row r="218">
      <c r="A218" t="inlineStr">
        <is>
          <t>Relative</t>
        </is>
      </c>
      <c r="B218" t="inlineStr">
        <is>
          <t>D35</t>
        </is>
      </c>
      <c r="C218" t="n">
        <v>35</v>
      </c>
      <c r="D218" t="n">
        <v>4</v>
      </c>
      <c r="E218" t="inlineStr">
        <is>
          <t>Input</t>
        </is>
      </c>
      <c r="F218" t="n">
        <v/>
      </c>
      <c r="G218" t="n">
        <v>0.05</v>
      </c>
      <c r="H218" t="inlineStr"/>
      <c r="I218" t="inlineStr">
        <is>
          <t>0%</t>
        </is>
      </c>
      <c r="J218" t="b">
        <v>0</v>
      </c>
      <c r="K218" t="b">
        <v>0</v>
      </c>
      <c r="L218" t="n">
        <v>11</v>
      </c>
      <c r="M218" t="inlineStr">
        <is>
          <t>FF000000</t>
        </is>
      </c>
      <c r="N218" t="inlineStr">
        <is>
          <t>00000000</t>
        </is>
      </c>
      <c r="O218" t="n">
        <v/>
      </c>
      <c r="R218" t="b">
        <v>1</v>
      </c>
      <c r="S218" t="n">
        <v/>
      </c>
      <c r="T218" t="n">
        <v/>
      </c>
      <c r="U218" t="n">
        <v/>
      </c>
      <c r="V218" t="b">
        <v>0</v>
      </c>
      <c r="W218" t="inlineStr"/>
      <c r="X218" t="n">
        <v/>
      </c>
    </row>
    <row r="219">
      <c r="A219" t="inlineStr">
        <is>
          <t>Relative</t>
        </is>
      </c>
      <c r="B219" t="inlineStr">
        <is>
          <t>A36</t>
        </is>
      </c>
      <c r="C219" t="n">
        <v>36</v>
      </c>
      <c r="D219" t="n">
        <v>1</v>
      </c>
      <c r="E219" t="inlineStr">
        <is>
          <t>Input</t>
        </is>
      </c>
      <c r="F219" t="n">
        <v/>
      </c>
      <c r="G219" t="inlineStr">
        <is>
          <t>Trailing EV/Sales</t>
        </is>
      </c>
      <c r="H219" t="inlineStr"/>
      <c r="I219" t="inlineStr">
        <is>
          <t>General</t>
        </is>
      </c>
      <c r="J219" t="b">
        <v>0</v>
      </c>
      <c r="K219" t="b">
        <v>0</v>
      </c>
      <c r="L219" t="n">
        <v>11</v>
      </c>
      <c r="M219" t="inlineStr">
        <is>
          <t>FF000000</t>
        </is>
      </c>
      <c r="N219" t="inlineStr">
        <is>
          <t>00000000</t>
        </is>
      </c>
      <c r="O219" t="n">
        <v/>
      </c>
      <c r="R219" t="b">
        <v>1</v>
      </c>
      <c r="S219" t="n">
        <v/>
      </c>
      <c r="T219" t="n">
        <v/>
      </c>
      <c r="U219" t="n">
        <v/>
      </c>
      <c r="V219" t="b">
        <v>0</v>
      </c>
      <c r="W219" t="inlineStr"/>
      <c r="X219" t="n">
        <v/>
      </c>
    </row>
    <row r="220">
      <c r="A220" t="inlineStr">
        <is>
          <t>Relative</t>
        </is>
      </c>
      <c r="B220" t="inlineStr">
        <is>
          <t>B36</t>
        </is>
      </c>
      <c r="C220" t="n">
        <v>36</v>
      </c>
      <c r="D220" t="n">
        <v>2</v>
      </c>
      <c r="E220" t="inlineStr">
        <is>
          <t>Calculation</t>
        </is>
      </c>
      <c r="F220" t="inlineStr">
        <is>
          <t>'=D46*0.8</t>
        </is>
      </c>
      <c r="G220" t="n">
        <v>2239.350663437083</v>
      </c>
      <c r="H220" t="inlineStr"/>
      <c r="I220" t="inlineStr">
        <is>
          <t>_-* #,##0_-;\-* #,##0_-;_-* "-"??_-;_-@_-</t>
        </is>
      </c>
      <c r="J220" t="b">
        <v>0</v>
      </c>
      <c r="K220" t="b">
        <v>0</v>
      </c>
      <c r="L220" t="n">
        <v>11</v>
      </c>
      <c r="M220" t="inlineStr">
        <is>
          <t>FF000000</t>
        </is>
      </c>
      <c r="N220" t="inlineStr">
        <is>
          <t>00000000</t>
        </is>
      </c>
      <c r="O220" t="n">
        <v/>
      </c>
      <c r="R220" t="b">
        <v>1</v>
      </c>
      <c r="S220" t="inlineStr">
        <is>
          <t>G000194</t>
        </is>
      </c>
      <c r="T220" t="inlineStr">
        <is>
          <t>Vertical</t>
        </is>
      </c>
      <c r="U220" t="n">
        <v>4</v>
      </c>
      <c r="V220" t="b">
        <v>1</v>
      </c>
      <c r="W220" t="inlineStr">
        <is>
          <t>Relative!B35:B38</t>
        </is>
      </c>
      <c r="X220">
        <f>R[10]C[2]*0.8</f>
        <v/>
      </c>
    </row>
    <row r="221">
      <c r="A221" t="inlineStr">
        <is>
          <t>Relative</t>
        </is>
      </c>
      <c r="B221" t="inlineStr">
        <is>
          <t>C36</t>
        </is>
      </c>
      <c r="C221" t="n">
        <v>36</v>
      </c>
      <c r="D221" t="n">
        <v>3</v>
      </c>
      <c r="E221" t="inlineStr">
        <is>
          <t>Calculation</t>
        </is>
      </c>
      <c r="F221" t="inlineStr">
        <is>
          <t>'=D46*1.2</t>
        </is>
      </c>
      <c r="G221" t="n">
        <v>3359.025995155624</v>
      </c>
      <c r="H221" t="inlineStr"/>
      <c r="I221" t="inlineStr">
        <is>
          <t>_-* #,##0_-;\-* #,##0_-;_-* "-"??_-;_-@_-</t>
        </is>
      </c>
      <c r="J221" t="b">
        <v>0</v>
      </c>
      <c r="K221" t="b">
        <v>0</v>
      </c>
      <c r="L221" t="n">
        <v>11</v>
      </c>
      <c r="M221" t="inlineStr">
        <is>
          <t>FF000000</t>
        </is>
      </c>
      <c r="N221" t="inlineStr">
        <is>
          <t>00000000</t>
        </is>
      </c>
      <c r="O221" t="n">
        <v/>
      </c>
      <c r="R221" t="b">
        <v>1</v>
      </c>
      <c r="S221" t="inlineStr">
        <is>
          <t>G000195</t>
        </is>
      </c>
      <c r="T221" t="inlineStr">
        <is>
          <t>Vertical</t>
        </is>
      </c>
      <c r="U221" t="n">
        <v>4</v>
      </c>
      <c r="V221" t="b">
        <v>1</v>
      </c>
      <c r="W221" t="inlineStr">
        <is>
          <t>Relative!C35:C38</t>
        </is>
      </c>
      <c r="X221">
        <f>R[10]C[1]*1.2</f>
        <v/>
      </c>
    </row>
    <row r="222">
      <c r="A222" t="inlineStr">
        <is>
          <t>Relative</t>
        </is>
      </c>
      <c r="B222" t="inlineStr">
        <is>
          <t>D36</t>
        </is>
      </c>
      <c r="C222" t="n">
        <v>36</v>
      </c>
      <c r="D222" t="n">
        <v>4</v>
      </c>
      <c r="E222" t="inlineStr">
        <is>
          <t>Input</t>
        </is>
      </c>
      <c r="F222" t="n">
        <v/>
      </c>
      <c r="G222" t="n">
        <v>0.05</v>
      </c>
      <c r="H222" t="inlineStr"/>
      <c r="I222" t="inlineStr">
        <is>
          <t>0%</t>
        </is>
      </c>
      <c r="J222" t="b">
        <v>0</v>
      </c>
      <c r="K222" t="b">
        <v>0</v>
      </c>
      <c r="L222" t="n">
        <v>11</v>
      </c>
      <c r="M222" t="inlineStr">
        <is>
          <t>FF000000</t>
        </is>
      </c>
      <c r="N222" t="inlineStr">
        <is>
          <t>00000000</t>
        </is>
      </c>
      <c r="O222" t="n">
        <v/>
      </c>
      <c r="R222" t="b">
        <v>1</v>
      </c>
      <c r="S222" t="n">
        <v/>
      </c>
      <c r="T222" t="n">
        <v/>
      </c>
      <c r="U222" t="n">
        <v/>
      </c>
      <c r="V222" t="b">
        <v>0</v>
      </c>
      <c r="W222" t="inlineStr"/>
      <c r="X222" t="n">
        <v/>
      </c>
    </row>
    <row r="223">
      <c r="A223" t="inlineStr">
        <is>
          <t>Relative</t>
        </is>
      </c>
      <c r="B223" t="inlineStr">
        <is>
          <t>A37</t>
        </is>
      </c>
      <c r="C223" t="n">
        <v>37</v>
      </c>
      <c r="D223" t="n">
        <v>1</v>
      </c>
      <c r="E223" t="inlineStr">
        <is>
          <t>Input</t>
        </is>
      </c>
      <c r="F223" t="n">
        <v/>
      </c>
      <c r="G223" t="inlineStr">
        <is>
          <t>Leading EV/EBITDA</t>
        </is>
      </c>
      <c r="H223" t="inlineStr"/>
      <c r="I223" t="inlineStr">
        <is>
          <t>General</t>
        </is>
      </c>
      <c r="J223" t="b">
        <v>0</v>
      </c>
      <c r="K223" t="b">
        <v>0</v>
      </c>
      <c r="L223" t="n">
        <v>11</v>
      </c>
      <c r="M223" t="inlineStr">
        <is>
          <t>FF000000</t>
        </is>
      </c>
      <c r="N223" t="inlineStr">
        <is>
          <t>00000000</t>
        </is>
      </c>
      <c r="O223" t="n">
        <v/>
      </c>
      <c r="R223" t="b">
        <v>1</v>
      </c>
      <c r="S223" t="n">
        <v/>
      </c>
      <c r="T223" t="n">
        <v/>
      </c>
      <c r="U223" t="n">
        <v/>
      </c>
      <c r="V223" t="b">
        <v>0</v>
      </c>
      <c r="W223" t="inlineStr"/>
      <c r="X223" t="n">
        <v/>
      </c>
    </row>
    <row r="224">
      <c r="A224" t="inlineStr">
        <is>
          <t>Relative</t>
        </is>
      </c>
      <c r="B224" t="inlineStr">
        <is>
          <t>B37</t>
        </is>
      </c>
      <c r="C224" t="n">
        <v>37</v>
      </c>
      <c r="D224" t="n">
        <v>2</v>
      </c>
      <c r="E224" t="inlineStr">
        <is>
          <t>Calculation</t>
        </is>
      </c>
      <c r="F224" t="inlineStr">
        <is>
          <t>'=D47*0.8</t>
        </is>
      </c>
      <c r="G224" t="n">
        <v>1544.955862338204</v>
      </c>
      <c r="H224" t="inlineStr"/>
      <c r="I224" t="inlineStr">
        <is>
          <t>_-* #,##0_-;\-* #,##0_-;_-* "-"??_-;_-@_-</t>
        </is>
      </c>
      <c r="J224" t="b">
        <v>0</v>
      </c>
      <c r="K224" t="b">
        <v>0</v>
      </c>
      <c r="L224" t="n">
        <v>11</v>
      </c>
      <c r="M224" t="inlineStr">
        <is>
          <t>FF000000</t>
        </is>
      </c>
      <c r="N224" t="inlineStr">
        <is>
          <t>00000000</t>
        </is>
      </c>
      <c r="O224" t="n">
        <v/>
      </c>
      <c r="R224" t="b">
        <v>1</v>
      </c>
      <c r="S224" t="inlineStr">
        <is>
          <t>G000194</t>
        </is>
      </c>
      <c r="T224" t="inlineStr">
        <is>
          <t>Vertical</t>
        </is>
      </c>
      <c r="U224" t="n">
        <v>4</v>
      </c>
      <c r="V224" t="b">
        <v>1</v>
      </c>
      <c r="W224" t="inlineStr">
        <is>
          <t>Relative!B35:B38</t>
        </is>
      </c>
      <c r="X224">
        <f>R[10]C[2]*0.8</f>
        <v/>
      </c>
    </row>
    <row r="225">
      <c r="A225" t="inlineStr">
        <is>
          <t>Relative</t>
        </is>
      </c>
      <c r="B225" t="inlineStr">
        <is>
          <t>C37</t>
        </is>
      </c>
      <c r="C225" t="n">
        <v>37</v>
      </c>
      <c r="D225" t="n">
        <v>3</v>
      </c>
      <c r="E225" t="inlineStr">
        <is>
          <t>Calculation</t>
        </is>
      </c>
      <c r="F225" t="inlineStr">
        <is>
          <t>'=D47*1.2</t>
        </is>
      </c>
      <c r="G225" t="n">
        <v>2317.433793507305</v>
      </c>
      <c r="H225" t="inlineStr"/>
      <c r="I225" t="inlineStr">
        <is>
          <t>_-* #,##0_-;\-* #,##0_-;_-* "-"??_-;_-@_-</t>
        </is>
      </c>
      <c r="J225" t="b">
        <v>0</v>
      </c>
      <c r="K225" t="b">
        <v>0</v>
      </c>
      <c r="L225" t="n">
        <v>11</v>
      </c>
      <c r="M225" t="inlineStr">
        <is>
          <t>FF000000</t>
        </is>
      </c>
      <c r="N225" t="inlineStr">
        <is>
          <t>00000000</t>
        </is>
      </c>
      <c r="O225" t="n">
        <v/>
      </c>
      <c r="R225" t="b">
        <v>1</v>
      </c>
      <c r="S225" t="inlineStr">
        <is>
          <t>G000195</t>
        </is>
      </c>
      <c r="T225" t="inlineStr">
        <is>
          <t>Vertical</t>
        </is>
      </c>
      <c r="U225" t="n">
        <v>4</v>
      </c>
      <c r="V225" t="b">
        <v>1</v>
      </c>
      <c r="W225" t="inlineStr">
        <is>
          <t>Relative!C35:C38</t>
        </is>
      </c>
      <c r="X225">
        <f>R[10]C[1]*1.2</f>
        <v/>
      </c>
    </row>
    <row r="226">
      <c r="A226" t="inlineStr">
        <is>
          <t>Relative</t>
        </is>
      </c>
      <c r="B226" t="inlineStr">
        <is>
          <t>D37</t>
        </is>
      </c>
      <c r="C226" t="n">
        <v>37</v>
      </c>
      <c r="D226" t="n">
        <v>4</v>
      </c>
      <c r="E226" t="inlineStr">
        <is>
          <t>Input</t>
        </is>
      </c>
      <c r="F226" t="n">
        <v/>
      </c>
      <c r="G226" t="n">
        <v>0.05</v>
      </c>
      <c r="H226" t="inlineStr"/>
      <c r="I226" t="inlineStr">
        <is>
          <t>0%</t>
        </is>
      </c>
      <c r="J226" t="b">
        <v>0</v>
      </c>
      <c r="K226" t="b">
        <v>0</v>
      </c>
      <c r="L226" t="n">
        <v>11</v>
      </c>
      <c r="M226" t="inlineStr">
        <is>
          <t>FF000000</t>
        </is>
      </c>
      <c r="N226" t="inlineStr">
        <is>
          <t>00000000</t>
        </is>
      </c>
      <c r="O226" t="n">
        <v/>
      </c>
      <c r="R226" t="b">
        <v>1</v>
      </c>
      <c r="S226" t="n">
        <v/>
      </c>
      <c r="T226" t="n">
        <v/>
      </c>
      <c r="U226" t="n">
        <v/>
      </c>
      <c r="V226" t="b">
        <v>0</v>
      </c>
      <c r="W226" t="inlineStr"/>
      <c r="X226" t="n">
        <v/>
      </c>
    </row>
    <row r="227">
      <c r="A227" t="inlineStr">
        <is>
          <t>Relative</t>
        </is>
      </c>
      <c r="B227" t="inlineStr">
        <is>
          <t>A38</t>
        </is>
      </c>
      <c r="C227" t="n">
        <v>38</v>
      </c>
      <c r="D227" t="n">
        <v>1</v>
      </c>
      <c r="E227" t="inlineStr">
        <is>
          <t>Input</t>
        </is>
      </c>
      <c r="F227" t="n">
        <v/>
      </c>
      <c r="G227" t="inlineStr">
        <is>
          <t xml:space="preserve">Leading EV/Sales </t>
        </is>
      </c>
      <c r="H227" t="inlineStr"/>
      <c r="I227" t="inlineStr">
        <is>
          <t>General</t>
        </is>
      </c>
      <c r="J227" t="b">
        <v>0</v>
      </c>
      <c r="K227" t="b">
        <v>0</v>
      </c>
      <c r="L227" t="n">
        <v>11</v>
      </c>
      <c r="M227" t="inlineStr">
        <is>
          <t>FF000000</t>
        </is>
      </c>
      <c r="N227" t="inlineStr">
        <is>
          <t>00000000</t>
        </is>
      </c>
      <c r="O227" t="n">
        <v/>
      </c>
      <c r="R227" t="b">
        <v>1</v>
      </c>
      <c r="S227" t="n">
        <v/>
      </c>
      <c r="T227" t="n">
        <v/>
      </c>
      <c r="U227" t="n">
        <v/>
      </c>
      <c r="V227" t="b">
        <v>0</v>
      </c>
      <c r="W227" t="inlineStr"/>
      <c r="X227" t="n">
        <v/>
      </c>
    </row>
    <row r="228">
      <c r="A228" t="inlineStr">
        <is>
          <t>Relative</t>
        </is>
      </c>
      <c r="B228" t="inlineStr">
        <is>
          <t>B38</t>
        </is>
      </c>
      <c r="C228" t="n">
        <v>38</v>
      </c>
      <c r="D228" t="n">
        <v>2</v>
      </c>
      <c r="E228" t="inlineStr">
        <is>
          <t>Calculation</t>
        </is>
      </c>
      <c r="F228" t="inlineStr">
        <is>
          <t>'=D48*0.8</t>
        </is>
      </c>
      <c r="G228" t="n">
        <v>2155.19272805143</v>
      </c>
      <c r="H228" t="inlineStr"/>
      <c r="I228" t="inlineStr">
        <is>
          <t>_-* #,##0_-;\-* #,##0_-;_-* "-"??_-;_-@_-</t>
        </is>
      </c>
      <c r="J228" t="b">
        <v>0</v>
      </c>
      <c r="K228" t="b">
        <v>0</v>
      </c>
      <c r="L228" t="n">
        <v>11</v>
      </c>
      <c r="M228" t="inlineStr">
        <is>
          <t>FF000000</t>
        </is>
      </c>
      <c r="N228" t="inlineStr">
        <is>
          <t>00000000</t>
        </is>
      </c>
      <c r="O228" t="n">
        <v/>
      </c>
      <c r="R228" t="b">
        <v>1</v>
      </c>
      <c r="S228" t="inlineStr">
        <is>
          <t>G000194</t>
        </is>
      </c>
      <c r="T228" t="inlineStr">
        <is>
          <t>Vertical</t>
        </is>
      </c>
      <c r="U228" t="n">
        <v>4</v>
      </c>
      <c r="V228" t="b">
        <v>1</v>
      </c>
      <c r="W228" t="inlineStr">
        <is>
          <t>Relative!B35:B38</t>
        </is>
      </c>
      <c r="X228">
        <f>R[10]C[2]*0.8</f>
        <v/>
      </c>
    </row>
    <row r="229">
      <c r="A229" t="inlineStr">
        <is>
          <t>Relative</t>
        </is>
      </c>
      <c r="B229" t="inlineStr">
        <is>
          <t>C38</t>
        </is>
      </c>
      <c r="C229" t="n">
        <v>38</v>
      </c>
      <c r="D229" t="n">
        <v>3</v>
      </c>
      <c r="E229" t="inlineStr">
        <is>
          <t>Calculation</t>
        </is>
      </c>
      <c r="F229" t="inlineStr">
        <is>
          <t>'=D48*1.2</t>
        </is>
      </c>
      <c r="G229" t="n">
        <v>3232.789092077145</v>
      </c>
      <c r="H229" t="inlineStr"/>
      <c r="I229" t="inlineStr">
        <is>
          <t>_-* #,##0_-;\-* #,##0_-;_-* "-"??_-;_-@_-</t>
        </is>
      </c>
      <c r="J229" t="b">
        <v>0</v>
      </c>
      <c r="K229" t="b">
        <v>0</v>
      </c>
      <c r="L229" t="n">
        <v>11</v>
      </c>
      <c r="M229" t="inlineStr">
        <is>
          <t>FF000000</t>
        </is>
      </c>
      <c r="N229" t="inlineStr">
        <is>
          <t>00000000</t>
        </is>
      </c>
      <c r="O229" t="n">
        <v/>
      </c>
      <c r="R229" t="b">
        <v>1</v>
      </c>
      <c r="S229" t="inlineStr">
        <is>
          <t>G000195</t>
        </is>
      </c>
      <c r="T229" t="inlineStr">
        <is>
          <t>Vertical</t>
        </is>
      </c>
      <c r="U229" t="n">
        <v>4</v>
      </c>
      <c r="V229" t="b">
        <v>1</v>
      </c>
      <c r="W229" t="inlineStr">
        <is>
          <t>Relative!C35:C38</t>
        </is>
      </c>
      <c r="X229">
        <f>R[10]C[1]*1.2</f>
        <v/>
      </c>
    </row>
    <row r="230">
      <c r="A230" t="inlineStr">
        <is>
          <t>Relative</t>
        </is>
      </c>
      <c r="B230" t="inlineStr">
        <is>
          <t>D38</t>
        </is>
      </c>
      <c r="C230" t="n">
        <v>38</v>
      </c>
      <c r="D230" t="n">
        <v>4</v>
      </c>
      <c r="E230" t="inlineStr">
        <is>
          <t>Input</t>
        </is>
      </c>
      <c r="F230" t="n">
        <v/>
      </c>
      <c r="G230" t="n">
        <v>0.05</v>
      </c>
      <c r="H230" t="inlineStr"/>
      <c r="I230" t="inlineStr">
        <is>
          <t>0%</t>
        </is>
      </c>
      <c r="J230" t="b">
        <v>0</v>
      </c>
      <c r="K230" t="b">
        <v>0</v>
      </c>
      <c r="L230" t="n">
        <v>11</v>
      </c>
      <c r="M230" t="inlineStr">
        <is>
          <t>FF000000</t>
        </is>
      </c>
      <c r="N230" t="inlineStr">
        <is>
          <t>00000000</t>
        </is>
      </c>
      <c r="O230" t="n">
        <v/>
      </c>
      <c r="R230" t="b">
        <v>1</v>
      </c>
      <c r="S230" t="n">
        <v/>
      </c>
      <c r="T230" t="n">
        <v/>
      </c>
      <c r="U230" t="n">
        <v/>
      </c>
      <c r="V230" t="b">
        <v>0</v>
      </c>
      <c r="W230" t="inlineStr"/>
      <c r="X230" t="n">
        <v/>
      </c>
    </row>
    <row r="231">
      <c r="A231" t="inlineStr">
        <is>
          <t>Relative</t>
        </is>
      </c>
      <c r="B231" t="inlineStr">
        <is>
          <t>A40</t>
        </is>
      </c>
      <c r="C231" t="n">
        <v>40</v>
      </c>
      <c r="D231" t="n">
        <v>1</v>
      </c>
      <c r="E231" t="inlineStr">
        <is>
          <t>Input</t>
        </is>
      </c>
      <c r="F231" t="n">
        <v/>
      </c>
      <c r="G231" t="inlineStr">
        <is>
          <t>DCF</t>
        </is>
      </c>
      <c r="H231" t="inlineStr"/>
      <c r="I231" t="inlineStr">
        <is>
          <t>General</t>
        </is>
      </c>
      <c r="J231" t="b">
        <v>0</v>
      </c>
      <c r="K231" t="b">
        <v>0</v>
      </c>
      <c r="L231" t="n">
        <v>11</v>
      </c>
      <c r="M231" t="inlineStr">
        <is>
          <t>FF000000</t>
        </is>
      </c>
      <c r="N231" t="inlineStr">
        <is>
          <t>00000000</t>
        </is>
      </c>
      <c r="O231" t="n">
        <v/>
      </c>
      <c r="R231" t="b">
        <v>1</v>
      </c>
      <c r="S231" t="n">
        <v/>
      </c>
      <c r="T231" t="n">
        <v/>
      </c>
      <c r="U231" t="n">
        <v/>
      </c>
      <c r="V231" t="b">
        <v>0</v>
      </c>
      <c r="W231" t="inlineStr"/>
      <c r="X231" t="n">
        <v/>
      </c>
    </row>
    <row r="232">
      <c r="A232" t="inlineStr">
        <is>
          <t>Relative</t>
        </is>
      </c>
      <c r="B232" t="inlineStr">
        <is>
          <t>B40</t>
        </is>
      </c>
      <c r="C232" t="n">
        <v>40</v>
      </c>
      <c r="D232" t="n">
        <v>2</v>
      </c>
      <c r="E232" t="inlineStr">
        <is>
          <t>Calculation</t>
        </is>
      </c>
      <c r="F232" t="inlineStr">
        <is>
          <t>'=DCF!H27*0.8</t>
        </is>
      </c>
      <c r="G232" t="n">
        <v>522.6596159454955</v>
      </c>
      <c r="H232" t="inlineStr"/>
      <c r="I232" t="inlineStr">
        <is>
          <t>_-* #,##0_-;\-* #,##0_-;_-* "-"??_-;_-@_-</t>
        </is>
      </c>
      <c r="J232" t="b">
        <v>0</v>
      </c>
      <c r="K232" t="b">
        <v>0</v>
      </c>
      <c r="L232" t="n">
        <v>11</v>
      </c>
      <c r="M232" t="inlineStr">
        <is>
          <t>FF000000</t>
        </is>
      </c>
      <c r="N232" t="inlineStr">
        <is>
          <t>00000000</t>
        </is>
      </c>
      <c r="O232" t="n">
        <v/>
      </c>
      <c r="R232" t="b">
        <v>1</v>
      </c>
      <c r="S232" t="n">
        <v/>
      </c>
      <c r="T232" t="n">
        <v/>
      </c>
      <c r="U232" t="n">
        <v/>
      </c>
      <c r="V232" t="b">
        <v>0</v>
      </c>
      <c r="W232" t="inlineStr"/>
      <c r="X232">
        <f>'DCF'!R[-13]C[6]*0.8</f>
        <v/>
      </c>
    </row>
    <row r="233">
      <c r="A233" t="inlineStr">
        <is>
          <t>Relative</t>
        </is>
      </c>
      <c r="B233" t="inlineStr">
        <is>
          <t>C40</t>
        </is>
      </c>
      <c r="C233" t="n">
        <v>40</v>
      </c>
      <c r="D233" t="n">
        <v>3</v>
      </c>
      <c r="E233" t="inlineStr">
        <is>
          <t>Calculation</t>
        </is>
      </c>
      <c r="F233" t="inlineStr">
        <is>
          <t>'=DCF!H27*1.2</t>
        </is>
      </c>
      <c r="G233" t="n">
        <v>783.9894239182431</v>
      </c>
      <c r="H233" t="inlineStr"/>
      <c r="I233" t="inlineStr">
        <is>
          <t>_-* #,##0_-;\-* #,##0_-;_-* "-"??_-;_-@_-</t>
        </is>
      </c>
      <c r="J233" t="b">
        <v>0</v>
      </c>
      <c r="K233" t="b">
        <v>0</v>
      </c>
      <c r="L233" t="n">
        <v>11</v>
      </c>
      <c r="M233" t="inlineStr">
        <is>
          <t>FF000000</t>
        </is>
      </c>
      <c r="N233" t="inlineStr">
        <is>
          <t>00000000</t>
        </is>
      </c>
      <c r="O233" t="n">
        <v/>
      </c>
      <c r="R233" t="b">
        <v>1</v>
      </c>
      <c r="S233" t="n">
        <v/>
      </c>
      <c r="T233" t="n">
        <v/>
      </c>
      <c r="U233" t="n">
        <v/>
      </c>
      <c r="V233" t="b">
        <v>0</v>
      </c>
      <c r="W233" t="inlineStr"/>
      <c r="X233">
        <f>'DCF'!R[-13]C[5]*1.2</f>
        <v/>
      </c>
    </row>
    <row r="234">
      <c r="A234" t="inlineStr">
        <is>
          <t>Relative</t>
        </is>
      </c>
      <c r="B234" t="inlineStr">
        <is>
          <t>D40</t>
        </is>
      </c>
      <c r="C234" t="n">
        <v>40</v>
      </c>
      <c r="D234" t="n">
        <v>4</v>
      </c>
      <c r="E234" t="inlineStr">
        <is>
          <t>Input</t>
        </is>
      </c>
      <c r="F234" t="n">
        <v/>
      </c>
      <c r="G234" t="n">
        <v>0.5</v>
      </c>
      <c r="H234" t="inlineStr"/>
      <c r="I234" t="inlineStr">
        <is>
          <t>0%</t>
        </is>
      </c>
      <c r="J234" t="b">
        <v>0</v>
      </c>
      <c r="K234" t="b">
        <v>0</v>
      </c>
      <c r="L234" t="n">
        <v>11</v>
      </c>
      <c r="M234" t="inlineStr">
        <is>
          <t>FF000000</t>
        </is>
      </c>
      <c r="N234" t="inlineStr">
        <is>
          <t>00000000</t>
        </is>
      </c>
      <c r="O234" t="n">
        <v/>
      </c>
      <c r="R234" t="b">
        <v>1</v>
      </c>
      <c r="S234" t="n">
        <v/>
      </c>
      <c r="T234" t="n">
        <v/>
      </c>
      <c r="U234" t="n">
        <v/>
      </c>
      <c r="V234" t="b">
        <v>0</v>
      </c>
      <c r="W234" t="inlineStr"/>
      <c r="X234" t="n">
        <v/>
      </c>
    </row>
    <row r="235">
      <c r="A235" t="inlineStr">
        <is>
          <t>Relative</t>
        </is>
      </c>
      <c r="B235" t="inlineStr">
        <is>
          <t>B44</t>
        </is>
      </c>
      <c r="C235" t="n">
        <v>44</v>
      </c>
      <c r="D235" t="n">
        <v>2</v>
      </c>
      <c r="E235" t="inlineStr">
        <is>
          <t>Input</t>
        </is>
      </c>
      <c r="F235" t="n">
        <v/>
      </c>
      <c r="G235" t="inlineStr">
        <is>
          <t>EV</t>
        </is>
      </c>
      <c r="H235" t="inlineStr"/>
      <c r="I235" t="inlineStr">
        <is>
          <t>General</t>
        </is>
      </c>
      <c r="J235" t="b">
        <v>0</v>
      </c>
      <c r="K235" t="b">
        <v>0</v>
      </c>
      <c r="L235" t="n">
        <v>11</v>
      </c>
      <c r="M235" t="inlineStr">
        <is>
          <t>FF000000</t>
        </is>
      </c>
      <c r="N235" t="inlineStr">
        <is>
          <t>00000000</t>
        </is>
      </c>
      <c r="O235" t="n">
        <v/>
      </c>
      <c r="R235" t="b">
        <v>1</v>
      </c>
      <c r="S235" t="n">
        <v/>
      </c>
      <c r="T235" t="n">
        <v/>
      </c>
      <c r="U235" t="n">
        <v/>
      </c>
      <c r="V235" t="b">
        <v>0</v>
      </c>
      <c r="W235" t="inlineStr"/>
      <c r="X235" t="n">
        <v/>
      </c>
    </row>
    <row r="236">
      <c r="A236" t="inlineStr">
        <is>
          <t>Relative</t>
        </is>
      </c>
      <c r="B236" t="inlineStr">
        <is>
          <t>C44</t>
        </is>
      </c>
      <c r="C236" t="n">
        <v>44</v>
      </c>
      <c r="D236" t="n">
        <v>3</v>
      </c>
      <c r="E236" t="inlineStr">
        <is>
          <t>Input</t>
        </is>
      </c>
      <c r="F236" t="n">
        <v/>
      </c>
      <c r="G236" t="inlineStr">
        <is>
          <t>Equity value</t>
        </is>
      </c>
      <c r="H236" t="inlineStr"/>
      <c r="I236" t="inlineStr">
        <is>
          <t>General</t>
        </is>
      </c>
      <c r="J236" t="b">
        <v>0</v>
      </c>
      <c r="K236" t="b">
        <v>0</v>
      </c>
      <c r="L236" t="n">
        <v>11</v>
      </c>
      <c r="M236" t="inlineStr">
        <is>
          <t>FF000000</t>
        </is>
      </c>
      <c r="N236" t="inlineStr">
        <is>
          <t>00000000</t>
        </is>
      </c>
      <c r="O236" t="n">
        <v/>
      </c>
      <c r="R236" t="b">
        <v>1</v>
      </c>
      <c r="S236" t="n">
        <v/>
      </c>
      <c r="T236" t="n">
        <v/>
      </c>
      <c r="U236" t="n">
        <v/>
      </c>
      <c r="V236" t="b">
        <v>0</v>
      </c>
      <c r="W236" t="inlineStr"/>
      <c r="X236" t="n">
        <v/>
      </c>
    </row>
    <row r="237">
      <c r="A237" t="inlineStr">
        <is>
          <t>Relative</t>
        </is>
      </c>
      <c r="B237" t="inlineStr">
        <is>
          <t>D44</t>
        </is>
      </c>
      <c r="C237" t="n">
        <v>44</v>
      </c>
      <c r="D237" t="n">
        <v>4</v>
      </c>
      <c r="E237" t="inlineStr">
        <is>
          <t>Input</t>
        </is>
      </c>
      <c r="F237" t="n">
        <v/>
      </c>
      <c r="G237" t="inlineStr">
        <is>
          <t>Stock price</t>
        </is>
      </c>
      <c r="H237" t="inlineStr"/>
      <c r="I237" t="inlineStr">
        <is>
          <t>General</t>
        </is>
      </c>
      <c r="J237" t="b">
        <v>0</v>
      </c>
      <c r="K237" t="b">
        <v>0</v>
      </c>
      <c r="L237" t="n">
        <v>11</v>
      </c>
      <c r="M237" t="inlineStr">
        <is>
          <t>FF000000</t>
        </is>
      </c>
      <c r="N237" t="inlineStr">
        <is>
          <t>00000000</t>
        </is>
      </c>
      <c r="O237" t="n">
        <v/>
      </c>
      <c r="R237" t="b">
        <v>1</v>
      </c>
      <c r="S237" t="n">
        <v/>
      </c>
      <c r="T237" t="n">
        <v/>
      </c>
      <c r="U237" t="n">
        <v/>
      </c>
      <c r="V237" t="b">
        <v>0</v>
      </c>
      <c r="W237" t="inlineStr"/>
      <c r="X237" t="n">
        <v/>
      </c>
    </row>
    <row r="238">
      <c r="A238" t="inlineStr">
        <is>
          <t>Relative</t>
        </is>
      </c>
      <c r="B238" t="inlineStr">
        <is>
          <t>A45</t>
        </is>
      </c>
      <c r="C238" t="n">
        <v>45</v>
      </c>
      <c r="D238" t="n">
        <v>1</v>
      </c>
      <c r="E238" t="inlineStr">
        <is>
          <t>Input</t>
        </is>
      </c>
      <c r="F238" t="n">
        <v/>
      </c>
      <c r="G238" t="inlineStr">
        <is>
          <t>Trailing EV/EBITDA</t>
        </is>
      </c>
      <c r="H238" t="inlineStr"/>
      <c r="I238" t="inlineStr">
        <is>
          <t>General</t>
        </is>
      </c>
      <c r="J238" t="b">
        <v>0</v>
      </c>
      <c r="K238" t="b">
        <v>0</v>
      </c>
      <c r="L238" t="n">
        <v>11</v>
      </c>
      <c r="M238" t="inlineStr">
        <is>
          <t>FF000000</t>
        </is>
      </c>
      <c r="N238" t="inlineStr">
        <is>
          <t>00000000</t>
        </is>
      </c>
      <c r="O238" t="n">
        <v/>
      </c>
      <c r="R238" t="b">
        <v>1</v>
      </c>
      <c r="S238" t="n">
        <v/>
      </c>
      <c r="T238" t="n">
        <v/>
      </c>
      <c r="U238" t="n">
        <v/>
      </c>
      <c r="V238" t="b">
        <v>0</v>
      </c>
      <c r="W238" t="inlineStr"/>
      <c r="X238" t="n">
        <v/>
      </c>
    </row>
    <row r="239">
      <c r="A239" t="inlineStr">
        <is>
          <t>Relative</t>
        </is>
      </c>
      <c r="B239" t="inlineStr">
        <is>
          <t>B45</t>
        </is>
      </c>
      <c r="C239" t="n">
        <v>45</v>
      </c>
      <c r="D239" t="n">
        <v>2</v>
      </c>
      <c r="E239" t="inlineStr">
        <is>
          <t>Calculation</t>
        </is>
      </c>
      <c r="F239" t="inlineStr">
        <is>
          <t>'=Q22*B5</t>
        </is>
      </c>
      <c r="G239" t="n">
        <v>36482.36202236412</v>
      </c>
      <c r="H239" t="inlineStr"/>
      <c r="I239" t="inlineStr">
        <is>
          <t>_-* #,##0_-;\-* #,##0_-;_-* "-"??_-;_-@_-</t>
        </is>
      </c>
      <c r="J239" t="b">
        <v>0</v>
      </c>
      <c r="K239" t="b">
        <v>0</v>
      </c>
      <c r="L239" t="n">
        <v>11</v>
      </c>
      <c r="M239" t="inlineStr">
        <is>
          <t>FF000000</t>
        </is>
      </c>
      <c r="N239" t="inlineStr">
        <is>
          <t>00000000</t>
        </is>
      </c>
      <c r="O239" t="n">
        <v/>
      </c>
      <c r="R239" t="b">
        <v>1</v>
      </c>
      <c r="S239" t="n">
        <v/>
      </c>
      <c r="T239" t="n">
        <v/>
      </c>
      <c r="U239" t="n">
        <v/>
      </c>
      <c r="V239" t="b">
        <v>0</v>
      </c>
      <c r="W239" t="inlineStr"/>
      <c r="X239">
        <f>R[-23]C[15]*R[-40]C[0]</f>
        <v/>
      </c>
    </row>
    <row r="240">
      <c r="A240" t="inlineStr">
        <is>
          <t>Relative</t>
        </is>
      </c>
      <c r="B240" t="inlineStr">
        <is>
          <t>C45</t>
        </is>
      </c>
      <c r="C240" t="n">
        <v>45</v>
      </c>
      <c r="D240" t="n">
        <v>3</v>
      </c>
      <c r="E240" t="inlineStr">
        <is>
          <t>Calculation</t>
        </is>
      </c>
      <c r="F240" t="inlineStr">
        <is>
          <t>'=B45-$B$6+$B$7</t>
        </is>
      </c>
      <c r="G240" t="n">
        <v>39042.02202236412</v>
      </c>
      <c r="H240" t="inlineStr"/>
      <c r="I240" t="inlineStr">
        <is>
          <t>_-* #,##0_-;\-* #,##0_-;_-* "-"??_-;_-@_-</t>
        </is>
      </c>
      <c r="J240" t="b">
        <v>0</v>
      </c>
      <c r="K240" t="b">
        <v>0</v>
      </c>
      <c r="L240" t="n">
        <v>11</v>
      </c>
      <c r="M240" t="inlineStr">
        <is>
          <t>FF000000</t>
        </is>
      </c>
      <c r="N240" t="inlineStr">
        <is>
          <t>00000000</t>
        </is>
      </c>
      <c r="O240" t="n">
        <v/>
      </c>
      <c r="R240" t="b">
        <v>1</v>
      </c>
      <c r="S240" t="inlineStr">
        <is>
          <t>G000196</t>
        </is>
      </c>
      <c r="T240" t="inlineStr">
        <is>
          <t>Vertical</t>
        </is>
      </c>
      <c r="U240" t="n">
        <v>4</v>
      </c>
      <c r="V240" t="b">
        <v>1</v>
      </c>
      <c r="W240" t="inlineStr">
        <is>
          <t>Relative!C45:C48</t>
        </is>
      </c>
      <c r="X240">
        <f>R[0]C[-1]-R6C2+R7C2</f>
        <v/>
      </c>
    </row>
    <row r="241">
      <c r="A241" t="inlineStr">
        <is>
          <t>Relative</t>
        </is>
      </c>
      <c r="B241" t="inlineStr">
        <is>
          <t>D45</t>
        </is>
      </c>
      <c r="C241" t="n">
        <v>45</v>
      </c>
      <c r="D241" t="n">
        <v>4</v>
      </c>
      <c r="E241" t="inlineStr">
        <is>
          <t>Calculation</t>
        </is>
      </c>
      <c r="F241" t="inlineStr">
        <is>
          <t>'=C45/$B$8</t>
        </is>
      </c>
      <c r="G241" t="n">
        <v>2087.808664297547</v>
      </c>
      <c r="H241" t="inlineStr"/>
      <c r="I241" t="inlineStr">
        <is>
          <t>0</t>
        </is>
      </c>
      <c r="J241" t="b">
        <v>0</v>
      </c>
      <c r="K241" t="b">
        <v>0</v>
      </c>
      <c r="L241" t="n">
        <v>11</v>
      </c>
      <c r="M241" t="inlineStr">
        <is>
          <t>FF000000</t>
        </is>
      </c>
      <c r="N241" t="inlineStr">
        <is>
          <t>00000000</t>
        </is>
      </c>
      <c r="O241" t="n">
        <v/>
      </c>
      <c r="R241" t="b">
        <v>1</v>
      </c>
      <c r="S241" t="inlineStr">
        <is>
          <t>G000197</t>
        </is>
      </c>
      <c r="T241" t="inlineStr">
        <is>
          <t>Vertical</t>
        </is>
      </c>
      <c r="U241" t="n">
        <v>4</v>
      </c>
      <c r="V241" t="b">
        <v>1</v>
      </c>
      <c r="W241" t="inlineStr">
        <is>
          <t>Relative!D45:D48</t>
        </is>
      </c>
      <c r="X241">
        <f>R[0]C[-1]/R8C2</f>
        <v/>
      </c>
    </row>
    <row r="242">
      <c r="A242" t="inlineStr">
        <is>
          <t>Relative</t>
        </is>
      </c>
      <c r="B242" t="inlineStr">
        <is>
          <t>A46</t>
        </is>
      </c>
      <c r="C242" t="n">
        <v>46</v>
      </c>
      <c r="D242" t="n">
        <v>1</v>
      </c>
      <c r="E242" t="inlineStr">
        <is>
          <t>Input</t>
        </is>
      </c>
      <c r="F242" t="n">
        <v/>
      </c>
      <c r="G242" t="inlineStr">
        <is>
          <t>Trailing EV/Sales</t>
        </is>
      </c>
      <c r="H242" t="inlineStr"/>
      <c r="I242" t="inlineStr">
        <is>
          <t>General</t>
        </is>
      </c>
      <c r="J242" t="b">
        <v>0</v>
      </c>
      <c r="K242" t="b">
        <v>0</v>
      </c>
      <c r="L242" t="n">
        <v>11</v>
      </c>
      <c r="M242" t="inlineStr">
        <is>
          <t>FF000000</t>
        </is>
      </c>
      <c r="N242" t="inlineStr">
        <is>
          <t>00000000</t>
        </is>
      </c>
      <c r="O242" t="n">
        <v/>
      </c>
      <c r="R242" t="b">
        <v>1</v>
      </c>
      <c r="S242" t="n">
        <v/>
      </c>
      <c r="T242" t="n">
        <v/>
      </c>
      <c r="U242" t="n">
        <v/>
      </c>
      <c r="V242" t="b">
        <v>0</v>
      </c>
      <c r="W242" t="inlineStr"/>
      <c r="X242" t="n">
        <v/>
      </c>
    </row>
    <row r="243">
      <c r="A243" t="inlineStr">
        <is>
          <t>Relative</t>
        </is>
      </c>
      <c r="B243" t="inlineStr">
        <is>
          <t>B46</t>
        </is>
      </c>
      <c r="C243" t="n">
        <v>46</v>
      </c>
      <c r="D243" t="n">
        <v>2</v>
      </c>
      <c r="E243" t="inlineStr">
        <is>
          <t>Calculation</t>
        </is>
      </c>
      <c r="F243" t="inlineStr">
        <is>
          <t>'=Q23*B4</t>
        </is>
      </c>
      <c r="G243" t="n">
        <v>49785.16175784182</v>
      </c>
      <c r="H243" t="inlineStr"/>
      <c r="I243" t="inlineStr">
        <is>
          <t>_-* #,##0_-;\-* #,##0_-;_-* "-"??_-;_-@_-</t>
        </is>
      </c>
      <c r="J243" t="b">
        <v>0</v>
      </c>
      <c r="K243" t="b">
        <v>0</v>
      </c>
      <c r="L243" t="n">
        <v>11</v>
      </c>
      <c r="M243" t="inlineStr">
        <is>
          <t>FF000000</t>
        </is>
      </c>
      <c r="N243" t="inlineStr">
        <is>
          <t>00000000</t>
        </is>
      </c>
      <c r="O243" t="n">
        <v/>
      </c>
      <c r="R243" t="b">
        <v>1</v>
      </c>
      <c r="S243" t="n">
        <v/>
      </c>
      <c r="T243" t="n">
        <v/>
      </c>
      <c r="U243" t="n">
        <v/>
      </c>
      <c r="V243" t="b">
        <v>0</v>
      </c>
      <c r="W243" t="inlineStr"/>
      <c r="X243">
        <f>R[-23]C[15]*R[-42]C[0]</f>
        <v/>
      </c>
    </row>
    <row r="244">
      <c r="A244" t="inlineStr">
        <is>
          <t>Relative</t>
        </is>
      </c>
      <c r="B244" t="inlineStr">
        <is>
          <t>C46</t>
        </is>
      </c>
      <c r="C244" t="n">
        <v>46</v>
      </c>
      <c r="D244" t="n">
        <v>3</v>
      </c>
      <c r="E244" t="inlineStr">
        <is>
          <t>Calculation</t>
        </is>
      </c>
      <c r="F244" t="inlineStr">
        <is>
          <t>'=B46-$B$6+$B$7</t>
        </is>
      </c>
      <c r="G244" t="n">
        <v>52344.82175784181</v>
      </c>
      <c r="H244" t="inlineStr"/>
      <c r="I244" t="inlineStr">
        <is>
          <t>_-* #,##0_-;\-* #,##0_-;_-* "-"??_-;_-@_-</t>
        </is>
      </c>
      <c r="J244" t="b">
        <v>0</v>
      </c>
      <c r="K244" t="b">
        <v>0</v>
      </c>
      <c r="L244" t="n">
        <v>11</v>
      </c>
      <c r="M244" t="inlineStr">
        <is>
          <t>FF000000</t>
        </is>
      </c>
      <c r="N244" t="inlineStr">
        <is>
          <t>00000000</t>
        </is>
      </c>
      <c r="O244" t="n">
        <v/>
      </c>
      <c r="R244" t="b">
        <v>1</v>
      </c>
      <c r="S244" t="inlineStr">
        <is>
          <t>G000196</t>
        </is>
      </c>
      <c r="T244" t="inlineStr">
        <is>
          <t>Vertical</t>
        </is>
      </c>
      <c r="U244" t="n">
        <v>4</v>
      </c>
      <c r="V244" t="b">
        <v>1</v>
      </c>
      <c r="W244" t="inlineStr">
        <is>
          <t>Relative!C45:C48</t>
        </is>
      </c>
      <c r="X244">
        <f>R[0]C[-1]-R6C2+R7C2</f>
        <v/>
      </c>
    </row>
    <row r="245">
      <c r="A245" t="inlineStr">
        <is>
          <t>Relative</t>
        </is>
      </c>
      <c r="B245" t="inlineStr">
        <is>
          <t>D46</t>
        </is>
      </c>
      <c r="C245" t="n">
        <v>46</v>
      </c>
      <c r="D245" t="n">
        <v>4</v>
      </c>
      <c r="E245" t="inlineStr">
        <is>
          <t>Calculation</t>
        </is>
      </c>
      <c r="F245" t="inlineStr">
        <is>
          <t>'=C46/$B$8</t>
        </is>
      </c>
      <c r="G245" t="n">
        <v>2799.188329296353</v>
      </c>
      <c r="H245" t="inlineStr"/>
      <c r="I245" t="inlineStr">
        <is>
          <t>0</t>
        </is>
      </c>
      <c r="J245" t="b">
        <v>0</v>
      </c>
      <c r="K245" t="b">
        <v>0</v>
      </c>
      <c r="L245" t="n">
        <v>11</v>
      </c>
      <c r="M245" t="inlineStr">
        <is>
          <t>FF000000</t>
        </is>
      </c>
      <c r="N245" t="inlineStr">
        <is>
          <t>00000000</t>
        </is>
      </c>
      <c r="O245" t="n">
        <v/>
      </c>
      <c r="R245" t="b">
        <v>1</v>
      </c>
      <c r="S245" t="inlineStr">
        <is>
          <t>G000197</t>
        </is>
      </c>
      <c r="T245" t="inlineStr">
        <is>
          <t>Vertical</t>
        </is>
      </c>
      <c r="U245" t="n">
        <v>4</v>
      </c>
      <c r="V245" t="b">
        <v>1</v>
      </c>
      <c r="W245" t="inlineStr">
        <is>
          <t>Relative!D45:D48</t>
        </is>
      </c>
      <c r="X245">
        <f>R[0]C[-1]/R8C2</f>
        <v/>
      </c>
    </row>
    <row r="246">
      <c r="A246" t="inlineStr">
        <is>
          <t>Relative</t>
        </is>
      </c>
      <c r="B246" t="inlineStr">
        <is>
          <t>A47</t>
        </is>
      </c>
      <c r="C246" t="n">
        <v>47</v>
      </c>
      <c r="D246" t="n">
        <v>1</v>
      </c>
      <c r="E246" t="inlineStr">
        <is>
          <t>Input</t>
        </is>
      </c>
      <c r="F246" t="n">
        <v/>
      </c>
      <c r="G246" t="inlineStr">
        <is>
          <t>Leading EV/EBITDA</t>
        </is>
      </c>
      <c r="H246" t="inlineStr"/>
      <c r="I246" t="inlineStr">
        <is>
          <t>General</t>
        </is>
      </c>
      <c r="J246" t="b">
        <v>0</v>
      </c>
      <c r="K246" t="b">
        <v>0</v>
      </c>
      <c r="L246" t="n">
        <v>11</v>
      </c>
      <c r="M246" t="inlineStr">
        <is>
          <t>FF000000</t>
        </is>
      </c>
      <c r="N246" t="inlineStr">
        <is>
          <t>00000000</t>
        </is>
      </c>
      <c r="O246" t="n">
        <v/>
      </c>
      <c r="R246" t="b">
        <v>1</v>
      </c>
      <c r="S246" t="n">
        <v/>
      </c>
      <c r="T246" t="n">
        <v/>
      </c>
      <c r="U246" t="n">
        <v/>
      </c>
      <c r="V246" t="b">
        <v>0</v>
      </c>
      <c r="W246" t="inlineStr"/>
      <c r="X246" t="n">
        <v/>
      </c>
    </row>
    <row r="247">
      <c r="A247" t="inlineStr">
        <is>
          <t>Relative</t>
        </is>
      </c>
      <c r="B247" t="inlineStr">
        <is>
          <t>B47</t>
        </is>
      </c>
      <c r="C247" t="n">
        <v>47</v>
      </c>
      <c r="D247" t="n">
        <v>2</v>
      </c>
      <c r="E247" t="inlineStr">
        <is>
          <t>Calculation</t>
        </is>
      </c>
      <c r="F247" t="inlineStr">
        <is>
          <t>'=Q24*C5</t>
        </is>
      </c>
      <c r="G247" t="n">
        <v>33553.6832821555</v>
      </c>
      <c r="H247" t="inlineStr"/>
      <c r="I247" t="inlineStr">
        <is>
          <t>_-* #,##0_-;\-* #,##0_-;_-* "-"??_-;_-@_-</t>
        </is>
      </c>
      <c r="J247" t="b">
        <v>0</v>
      </c>
      <c r="K247" t="b">
        <v>0</v>
      </c>
      <c r="L247" t="n">
        <v>11</v>
      </c>
      <c r="M247" t="inlineStr">
        <is>
          <t>FF000000</t>
        </is>
      </c>
      <c r="N247" t="inlineStr">
        <is>
          <t>00000000</t>
        </is>
      </c>
      <c r="O247" t="n">
        <v/>
      </c>
      <c r="R247" t="b">
        <v>1</v>
      </c>
      <c r="S247" t="n">
        <v/>
      </c>
      <c r="T247" t="n">
        <v/>
      </c>
      <c r="U247" t="n">
        <v/>
      </c>
      <c r="V247" t="b">
        <v>0</v>
      </c>
      <c r="W247" t="inlineStr"/>
      <c r="X247">
        <f>R[-23]C[15]*R[-42]C[1]</f>
        <v/>
      </c>
    </row>
    <row r="248">
      <c r="A248" t="inlineStr">
        <is>
          <t>Relative</t>
        </is>
      </c>
      <c r="B248" t="inlineStr">
        <is>
          <t>C47</t>
        </is>
      </c>
      <c r="C248" t="n">
        <v>47</v>
      </c>
      <c r="D248" t="n">
        <v>3</v>
      </c>
      <c r="E248" t="inlineStr">
        <is>
          <t>Calculation</t>
        </is>
      </c>
      <c r="F248" t="inlineStr">
        <is>
          <t>'=B47-$B$6+$B$7</t>
        </is>
      </c>
      <c r="G248" t="n">
        <v>36113.3432821555</v>
      </c>
      <c r="H248" t="inlineStr"/>
      <c r="I248" t="inlineStr">
        <is>
          <t>_-* #,##0_-;\-* #,##0_-;_-* "-"??_-;_-@_-</t>
        </is>
      </c>
      <c r="J248" t="b">
        <v>0</v>
      </c>
      <c r="K248" t="b">
        <v>0</v>
      </c>
      <c r="L248" t="n">
        <v>11</v>
      </c>
      <c r="M248" t="inlineStr">
        <is>
          <t>FF000000</t>
        </is>
      </c>
      <c r="N248" t="inlineStr">
        <is>
          <t>00000000</t>
        </is>
      </c>
      <c r="O248" t="n">
        <v/>
      </c>
      <c r="R248" t="b">
        <v>1</v>
      </c>
      <c r="S248" t="inlineStr">
        <is>
          <t>G000196</t>
        </is>
      </c>
      <c r="T248" t="inlineStr">
        <is>
          <t>Vertical</t>
        </is>
      </c>
      <c r="U248" t="n">
        <v>4</v>
      </c>
      <c r="V248" t="b">
        <v>1</v>
      </c>
      <c r="W248" t="inlineStr">
        <is>
          <t>Relative!C45:C48</t>
        </is>
      </c>
      <c r="X248">
        <f>R[0]C[-1]-R6C2+R7C2</f>
        <v/>
      </c>
    </row>
    <row r="249">
      <c r="A249" t="inlineStr">
        <is>
          <t>Relative</t>
        </is>
      </c>
      <c r="B249" t="inlineStr">
        <is>
          <t>D47</t>
        </is>
      </c>
      <c r="C249" t="n">
        <v>47</v>
      </c>
      <c r="D249" t="n">
        <v>4</v>
      </c>
      <c r="E249" t="inlineStr">
        <is>
          <t>Calculation</t>
        </is>
      </c>
      <c r="F249" t="inlineStr">
        <is>
          <t>'=C47/$B$8</t>
        </is>
      </c>
      <c r="G249" t="n">
        <v>1931.194827922754</v>
      </c>
      <c r="H249" t="inlineStr"/>
      <c r="I249" t="inlineStr">
        <is>
          <t>0</t>
        </is>
      </c>
      <c r="J249" t="b">
        <v>0</v>
      </c>
      <c r="K249" t="b">
        <v>0</v>
      </c>
      <c r="L249" t="n">
        <v>11</v>
      </c>
      <c r="M249" t="inlineStr">
        <is>
          <t>FF000000</t>
        </is>
      </c>
      <c r="N249" t="inlineStr">
        <is>
          <t>00000000</t>
        </is>
      </c>
      <c r="O249" t="n">
        <v/>
      </c>
      <c r="R249" t="b">
        <v>1</v>
      </c>
      <c r="S249" t="inlineStr">
        <is>
          <t>G000197</t>
        </is>
      </c>
      <c r="T249" t="inlineStr">
        <is>
          <t>Vertical</t>
        </is>
      </c>
      <c r="U249" t="n">
        <v>4</v>
      </c>
      <c r="V249" t="b">
        <v>1</v>
      </c>
      <c r="W249" t="inlineStr">
        <is>
          <t>Relative!D45:D48</t>
        </is>
      </c>
      <c r="X249">
        <f>R[0]C[-1]/R8C2</f>
        <v/>
      </c>
    </row>
    <row r="250">
      <c r="A250" t="inlineStr">
        <is>
          <t>Relative</t>
        </is>
      </c>
      <c r="B250" t="inlineStr">
        <is>
          <t>A48</t>
        </is>
      </c>
      <c r="C250" t="n">
        <v>48</v>
      </c>
      <c r="D250" t="n">
        <v>1</v>
      </c>
      <c r="E250" t="inlineStr">
        <is>
          <t>Input</t>
        </is>
      </c>
      <c r="F250" t="n">
        <v/>
      </c>
      <c r="G250" t="inlineStr">
        <is>
          <t xml:space="preserve">Leading EV/Sales </t>
        </is>
      </c>
      <c r="H250" t="inlineStr"/>
      <c r="I250" t="inlineStr">
        <is>
          <t>General</t>
        </is>
      </c>
      <c r="J250" t="b">
        <v>0</v>
      </c>
      <c r="K250" t="b">
        <v>0</v>
      </c>
      <c r="L250" t="n">
        <v>11</v>
      </c>
      <c r="M250" t="inlineStr">
        <is>
          <t>FF000000</t>
        </is>
      </c>
      <c r="N250" t="inlineStr">
        <is>
          <t>00000000</t>
        </is>
      </c>
      <c r="O250" t="n">
        <v/>
      </c>
      <c r="R250" t="b">
        <v>1</v>
      </c>
      <c r="S250" t="n">
        <v/>
      </c>
      <c r="T250" t="n">
        <v/>
      </c>
      <c r="U250" t="n">
        <v/>
      </c>
      <c r="V250" t="b">
        <v>0</v>
      </c>
      <c r="W250" t="inlineStr"/>
      <c r="X250" t="n">
        <v/>
      </c>
    </row>
    <row r="251">
      <c r="A251" t="inlineStr">
        <is>
          <t>Relative</t>
        </is>
      </c>
      <c r="B251" t="inlineStr">
        <is>
          <t>B48</t>
        </is>
      </c>
      <c r="C251" t="n">
        <v>48</v>
      </c>
      <c r="D251" t="n">
        <v>2</v>
      </c>
      <c r="E251" t="inlineStr">
        <is>
          <t>Calculation</t>
        </is>
      </c>
      <c r="F251" t="inlineStr">
        <is>
          <t>'=Q25*C4</t>
        </is>
      </c>
      <c r="G251" t="n">
        <v>47817.97001820216</v>
      </c>
      <c r="H251" t="inlineStr"/>
      <c r="I251" t="inlineStr">
        <is>
          <t>_-* #,##0_-;\-* #,##0_-;_-* "-"??_-;_-@_-</t>
        </is>
      </c>
      <c r="J251" t="b">
        <v>0</v>
      </c>
      <c r="K251" t="b">
        <v>0</v>
      </c>
      <c r="L251" t="n">
        <v>11</v>
      </c>
      <c r="M251" t="inlineStr">
        <is>
          <t>FF000000</t>
        </is>
      </c>
      <c r="N251" t="inlineStr">
        <is>
          <t>00000000</t>
        </is>
      </c>
      <c r="O251" t="n">
        <v/>
      </c>
      <c r="R251" t="b">
        <v>1</v>
      </c>
      <c r="S251" t="n">
        <v/>
      </c>
      <c r="T251" t="n">
        <v/>
      </c>
      <c r="U251" t="n">
        <v/>
      </c>
      <c r="V251" t="b">
        <v>0</v>
      </c>
      <c r="W251" t="inlineStr"/>
      <c r="X251">
        <f>R[-23]C[15]*R[-44]C[1]</f>
        <v/>
      </c>
    </row>
    <row r="252">
      <c r="A252" t="inlineStr">
        <is>
          <t>Relative</t>
        </is>
      </c>
      <c r="B252" t="inlineStr">
        <is>
          <t>C48</t>
        </is>
      </c>
      <c r="C252" t="n">
        <v>48</v>
      </c>
      <c r="D252" t="n">
        <v>3</v>
      </c>
      <c r="E252" t="inlineStr">
        <is>
          <t>Calculation</t>
        </is>
      </c>
      <c r="F252" t="inlineStr">
        <is>
          <t>'=B48-$B$6+$B$7</t>
        </is>
      </c>
      <c r="G252" t="n">
        <v>50377.63001820217</v>
      </c>
      <c r="H252" t="inlineStr"/>
      <c r="I252" t="inlineStr">
        <is>
          <t>_-* #,##0_-;\-* #,##0_-;_-* "-"??_-;_-@_-</t>
        </is>
      </c>
      <c r="J252" t="b">
        <v>0</v>
      </c>
      <c r="K252" t="b">
        <v>0</v>
      </c>
      <c r="L252" t="n">
        <v>11</v>
      </c>
      <c r="M252" t="inlineStr">
        <is>
          <t>FF000000</t>
        </is>
      </c>
      <c r="N252" t="inlineStr">
        <is>
          <t>00000000</t>
        </is>
      </c>
      <c r="O252" t="n">
        <v/>
      </c>
      <c r="R252" t="b">
        <v>1</v>
      </c>
      <c r="S252" t="inlineStr">
        <is>
          <t>G000196</t>
        </is>
      </c>
      <c r="T252" t="inlineStr">
        <is>
          <t>Vertical</t>
        </is>
      </c>
      <c r="U252" t="n">
        <v>4</v>
      </c>
      <c r="V252" t="b">
        <v>1</v>
      </c>
      <c r="W252" t="inlineStr">
        <is>
          <t>Relative!C45:C48</t>
        </is>
      </c>
      <c r="X252">
        <f>R[0]C[-1]-R6C2+R7C2</f>
        <v/>
      </c>
    </row>
    <row r="253">
      <c r="A253" t="inlineStr">
        <is>
          <t>Relative</t>
        </is>
      </c>
      <c r="B253" t="inlineStr">
        <is>
          <t>D48</t>
        </is>
      </c>
      <c r="C253" t="n">
        <v>48</v>
      </c>
      <c r="D253" t="n">
        <v>4</v>
      </c>
      <c r="E253" t="inlineStr">
        <is>
          <t>Calculation</t>
        </is>
      </c>
      <c r="F253" t="inlineStr">
        <is>
          <t>'=C48/$B$8</t>
        </is>
      </c>
      <c r="G253" t="n">
        <v>2693.990910064287</v>
      </c>
      <c r="H253" t="inlineStr"/>
      <c r="I253" t="inlineStr">
        <is>
          <t>0</t>
        </is>
      </c>
      <c r="J253" t="b">
        <v>0</v>
      </c>
      <c r="K253" t="b">
        <v>0</v>
      </c>
      <c r="L253" t="n">
        <v>11</v>
      </c>
      <c r="M253" t="inlineStr">
        <is>
          <t>FF000000</t>
        </is>
      </c>
      <c r="N253" t="inlineStr">
        <is>
          <t>00000000</t>
        </is>
      </c>
      <c r="O253" t="n">
        <v/>
      </c>
      <c r="R253" t="b">
        <v>1</v>
      </c>
      <c r="S253" t="inlineStr">
        <is>
          <t>G000197</t>
        </is>
      </c>
      <c r="T253" t="inlineStr">
        <is>
          <t>Vertical</t>
        </is>
      </c>
      <c r="U253" t="n">
        <v>4</v>
      </c>
      <c r="V253" t="b">
        <v>1</v>
      </c>
      <c r="W253" t="inlineStr">
        <is>
          <t>Relative!D45:D48</t>
        </is>
      </c>
      <c r="X253">
        <f>R[0]C[-1]/R8C2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Cell</t>
        </is>
      </c>
      <c r="C1" t="inlineStr">
        <is>
          <t>Row</t>
        </is>
      </c>
      <c r="D1" t="inlineStr">
        <is>
          <t>Column</t>
        </is>
      </c>
      <c r="E1" t="inlineStr">
        <is>
          <t>Type</t>
        </is>
      </c>
      <c r="F1" t="inlineStr">
        <is>
          <t>Formula</t>
        </is>
      </c>
      <c r="G1" t="inlineStr">
        <is>
          <t>Value</t>
        </is>
      </c>
      <c r="H1" t="inlineStr">
        <is>
          <t>ValueJSON</t>
        </is>
      </c>
      <c r="I1" t="inlineStr">
        <is>
          <t>NumberFormat</t>
        </is>
      </c>
      <c r="J1" t="inlineStr">
        <is>
          <t>FontBold</t>
        </is>
      </c>
      <c r="K1" t="inlineStr">
        <is>
          <t>FontItalic</t>
        </is>
      </c>
      <c r="L1" t="inlineStr">
        <is>
          <t>FontSize</t>
        </is>
      </c>
      <c r="M1" t="inlineStr">
        <is>
          <t>FontColor</t>
        </is>
      </c>
      <c r="N1" t="inlineStr">
        <is>
          <t>FillColor</t>
        </is>
      </c>
      <c r="O1" t="inlineStr">
        <is>
          <t>HorizontalAlignment</t>
        </is>
      </c>
      <c r="P1" t="inlineStr">
        <is>
          <t>VerticalAlignment</t>
        </is>
      </c>
      <c r="Q1" t="inlineStr">
        <is>
          <t>WrapText</t>
        </is>
      </c>
      <c r="R1" t="inlineStr">
        <is>
          <t>IncludeFlag</t>
        </is>
      </c>
      <c r="S1" t="inlineStr">
        <is>
          <t>GroupID</t>
        </is>
      </c>
      <c r="T1" t="inlineStr">
        <is>
          <t>GroupDirection</t>
        </is>
      </c>
      <c r="U1" t="inlineStr">
        <is>
          <t>GroupSize</t>
        </is>
      </c>
      <c r="V1" t="inlineStr">
        <is>
          <t>IsDragged</t>
        </is>
      </c>
      <c r="W1" t="inlineStr">
        <is>
          <t>GroupRange</t>
        </is>
      </c>
      <c r="X1" t="inlineStr">
        <is>
          <t>PatternFormula</t>
        </is>
      </c>
      <c r="Y1" t="inlineStr">
        <is>
          <t>StyleJSON</t>
        </is>
      </c>
    </row>
    <row r="2">
      <c r="A2" t="inlineStr">
        <is>
          <t>DuPoint Analysis</t>
        </is>
      </c>
      <c r="B2" t="inlineStr">
        <is>
          <t>A1</t>
        </is>
      </c>
      <c r="C2" t="n">
        <v>1</v>
      </c>
      <c r="D2" t="n">
        <v>1</v>
      </c>
      <c r="E2" t="inlineStr">
        <is>
          <t>Input</t>
        </is>
      </c>
      <c r="F2" t="n">
        <v/>
      </c>
      <c r="G2" t="inlineStr">
        <is>
          <t>ROE=NPM*ATR*FL</t>
        </is>
      </c>
      <c r="H2" t="inlineStr"/>
      <c r="I2" t="inlineStr">
        <is>
          <t>General</t>
        </is>
      </c>
      <c r="J2" t="b">
        <v>0</v>
      </c>
      <c r="K2" t="b">
        <v>0</v>
      </c>
      <c r="L2" t="n">
        <v>11</v>
      </c>
      <c r="M2" t="inlineStr">
        <is>
          <t>FF000000</t>
        </is>
      </c>
      <c r="N2" t="inlineStr">
        <is>
          <t>00000000</t>
        </is>
      </c>
      <c r="O2" t="n">
        <v/>
      </c>
      <c r="P2" t="n">
        <v/>
      </c>
      <c r="R2" t="b">
        <v>1</v>
      </c>
      <c r="S2" t="n">
        <v/>
      </c>
      <c r="T2" t="n">
        <v/>
      </c>
      <c r="U2" t="n">
        <v/>
      </c>
      <c r="V2" t="b">
        <v>0</v>
      </c>
      <c r="W2" t="inlineStr"/>
      <c r="X2" t="n">
        <v/>
      </c>
    </row>
    <row r="3">
      <c r="A3" t="inlineStr">
        <is>
          <t>DuPoint Analysis</t>
        </is>
      </c>
      <c r="B3" t="inlineStr">
        <is>
          <t>E1</t>
        </is>
      </c>
      <c r="C3" t="n">
        <v>1</v>
      </c>
      <c r="D3" t="n">
        <v>5</v>
      </c>
      <c r="E3" t="inlineStr">
        <is>
          <t>Input</t>
        </is>
      </c>
      <c r="F3" t="n">
        <v/>
      </c>
      <c r="G3" t="inlineStr">
        <is>
          <t>NPM-Net Profit Margin</t>
        </is>
      </c>
      <c r="H3" t="inlineStr"/>
      <c r="I3" t="inlineStr">
        <is>
          <t>General</t>
        </is>
      </c>
      <c r="J3" t="b">
        <v>0</v>
      </c>
      <c r="K3" t="b">
        <v>0</v>
      </c>
      <c r="L3" t="n">
        <v>11</v>
      </c>
      <c r="M3" t="inlineStr">
        <is>
          <t>FF000000</t>
        </is>
      </c>
      <c r="N3" t="inlineStr">
        <is>
          <t>00000000</t>
        </is>
      </c>
      <c r="O3" t="n">
        <v/>
      </c>
      <c r="P3" t="n">
        <v/>
      </c>
      <c r="R3" t="b">
        <v>1</v>
      </c>
      <c r="S3" t="n">
        <v/>
      </c>
      <c r="T3" t="n">
        <v/>
      </c>
      <c r="U3" t="n">
        <v/>
      </c>
      <c r="V3" t="b">
        <v>0</v>
      </c>
      <c r="W3" t="inlineStr"/>
      <c r="X3" t="n">
        <v/>
      </c>
    </row>
    <row r="4">
      <c r="A4" t="inlineStr">
        <is>
          <t>DuPoint Analysis</t>
        </is>
      </c>
      <c r="B4" t="inlineStr">
        <is>
          <t>E2</t>
        </is>
      </c>
      <c r="C4" t="n">
        <v>2</v>
      </c>
      <c r="D4" t="n">
        <v>5</v>
      </c>
      <c r="E4" t="inlineStr">
        <is>
          <t>Input</t>
        </is>
      </c>
      <c r="F4" t="n">
        <v/>
      </c>
      <c r="G4" t="inlineStr">
        <is>
          <t>ATR-Asset Turnover Ratio</t>
        </is>
      </c>
      <c r="H4" t="inlineStr"/>
      <c r="I4" t="inlineStr">
        <is>
          <t>General</t>
        </is>
      </c>
      <c r="J4" t="b">
        <v>0</v>
      </c>
      <c r="K4" t="b">
        <v>0</v>
      </c>
      <c r="L4" t="n">
        <v>11</v>
      </c>
      <c r="M4" t="inlineStr">
        <is>
          <t>FF000000</t>
        </is>
      </c>
      <c r="N4" t="inlineStr">
        <is>
          <t>00000000</t>
        </is>
      </c>
      <c r="O4" t="n">
        <v/>
      </c>
      <c r="P4" t="n">
        <v/>
      </c>
      <c r="R4" t="b">
        <v>1</v>
      </c>
      <c r="S4" t="n">
        <v/>
      </c>
      <c r="T4" t="n">
        <v/>
      </c>
      <c r="U4" t="n">
        <v/>
      </c>
      <c r="V4" t="b">
        <v>0</v>
      </c>
      <c r="W4" t="inlineStr"/>
      <c r="X4" t="n">
        <v/>
      </c>
    </row>
    <row r="5">
      <c r="A5" t="inlineStr">
        <is>
          <t>DuPoint Analysis</t>
        </is>
      </c>
      <c r="B5" t="inlineStr">
        <is>
          <t>E3</t>
        </is>
      </c>
      <c r="C5" t="n">
        <v>3</v>
      </c>
      <c r="D5" t="n">
        <v>5</v>
      </c>
      <c r="E5" t="inlineStr">
        <is>
          <t>Input</t>
        </is>
      </c>
      <c r="F5" t="n">
        <v/>
      </c>
      <c r="G5" t="inlineStr">
        <is>
          <t>FL-Financial Leverage</t>
        </is>
      </c>
      <c r="H5" t="inlineStr"/>
      <c r="I5" t="inlineStr">
        <is>
          <t>General</t>
        </is>
      </c>
      <c r="J5" t="b">
        <v>0</v>
      </c>
      <c r="K5" t="b">
        <v>0</v>
      </c>
      <c r="L5" t="n">
        <v>11</v>
      </c>
      <c r="M5" t="inlineStr">
        <is>
          <t>FF000000</t>
        </is>
      </c>
      <c r="N5" t="inlineStr">
        <is>
          <t>00000000</t>
        </is>
      </c>
      <c r="O5" t="n">
        <v/>
      </c>
      <c r="P5" t="n">
        <v/>
      </c>
      <c r="R5" t="b">
        <v>1</v>
      </c>
      <c r="S5" t="n">
        <v/>
      </c>
      <c r="T5" t="n">
        <v/>
      </c>
      <c r="U5" t="n">
        <v/>
      </c>
      <c r="V5" t="b">
        <v>0</v>
      </c>
      <c r="W5" t="inlineStr"/>
      <c r="X5" t="n">
        <v/>
      </c>
    </row>
    <row r="6">
      <c r="A6" t="inlineStr">
        <is>
          <t>DuPoint Analysis</t>
        </is>
      </c>
      <c r="B6" t="inlineStr">
        <is>
          <t>A5</t>
        </is>
      </c>
      <c r="C6" t="n">
        <v>5</v>
      </c>
      <c r="D6" t="n">
        <v>1</v>
      </c>
      <c r="E6" t="inlineStr">
        <is>
          <t>Input</t>
        </is>
      </c>
      <c r="F6" t="n">
        <v/>
      </c>
      <c r="G6" t="inlineStr">
        <is>
          <t>Cement Industry</t>
        </is>
      </c>
      <c r="H6" t="inlineStr"/>
      <c r="I6" t="inlineStr">
        <is>
          <t>General</t>
        </is>
      </c>
      <c r="J6" t="b">
        <v>0</v>
      </c>
      <c r="K6" t="b">
        <v>0</v>
      </c>
      <c r="L6" t="n">
        <v>11</v>
      </c>
      <c r="M6" t="inlineStr">
        <is>
          <t>FFFFFFFF</t>
        </is>
      </c>
      <c r="N6" t="inlineStr">
        <is>
          <t>FF002060</t>
        </is>
      </c>
      <c r="O6" t="inlineStr">
        <is>
          <t>center</t>
        </is>
      </c>
      <c r="P6" t="inlineStr">
        <is>
          <t>center</t>
        </is>
      </c>
      <c r="R6" t="b">
        <v>1</v>
      </c>
      <c r="S6" t="n">
        <v/>
      </c>
      <c r="T6" t="n">
        <v/>
      </c>
      <c r="U6" t="n">
        <v/>
      </c>
      <c r="V6" t="b">
        <v>0</v>
      </c>
      <c r="W6" t="inlineStr"/>
      <c r="X6" t="n">
        <v/>
      </c>
    </row>
    <row r="7">
      <c r="A7" t="inlineStr">
        <is>
          <t>DuPoint Analysis</t>
        </is>
      </c>
      <c r="B7" t="inlineStr">
        <is>
          <t>B5</t>
        </is>
      </c>
      <c r="C7" t="n">
        <v>5</v>
      </c>
      <c r="D7" t="n">
        <v>2</v>
      </c>
      <c r="E7" t="inlineStr">
        <is>
          <t>Input</t>
        </is>
      </c>
      <c r="F7" t="n">
        <v/>
      </c>
      <c r="G7" t="inlineStr">
        <is>
          <t>Net Profit</t>
        </is>
      </c>
      <c r="H7" t="inlineStr"/>
      <c r="I7" t="inlineStr">
        <is>
          <t>General</t>
        </is>
      </c>
      <c r="J7" t="b">
        <v>0</v>
      </c>
      <c r="K7" t="b">
        <v>0</v>
      </c>
      <c r="L7" t="n">
        <v>11</v>
      </c>
      <c r="M7" t="inlineStr">
        <is>
          <t>FFFFFFFF</t>
        </is>
      </c>
      <c r="N7" t="inlineStr">
        <is>
          <t>FF002060</t>
        </is>
      </c>
      <c r="O7" t="inlineStr">
        <is>
          <t>center</t>
        </is>
      </c>
      <c r="P7" t="n">
        <v/>
      </c>
      <c r="R7" t="b">
        <v>1</v>
      </c>
      <c r="S7" t="n">
        <v/>
      </c>
      <c r="T7" t="n">
        <v/>
      </c>
      <c r="U7" t="n">
        <v/>
      </c>
      <c r="V7" t="b">
        <v>0</v>
      </c>
      <c r="W7" t="inlineStr"/>
      <c r="X7" t="n">
        <v/>
      </c>
    </row>
    <row r="8">
      <c r="A8" t="inlineStr">
        <is>
          <t>DuPoint Analysis</t>
        </is>
      </c>
      <c r="B8" t="inlineStr">
        <is>
          <t>C5</t>
        </is>
      </c>
      <c r="C8" t="n">
        <v>5</v>
      </c>
      <c r="D8" t="n">
        <v>3</v>
      </c>
      <c r="E8" t="inlineStr">
        <is>
          <t>Input</t>
        </is>
      </c>
      <c r="F8" t="n">
        <v/>
      </c>
      <c r="H8" t="inlineStr"/>
      <c r="I8" t="inlineStr">
        <is>
          <t>General</t>
        </is>
      </c>
      <c r="J8" t="b">
        <v>0</v>
      </c>
      <c r="K8" t="b">
        <v>0</v>
      </c>
      <c r="L8" t="n">
        <v>11</v>
      </c>
      <c r="M8" t="inlineStr">
        <is>
          <t>FF000000</t>
        </is>
      </c>
      <c r="N8" t="inlineStr">
        <is>
          <t>00000000</t>
        </is>
      </c>
      <c r="O8" t="n">
        <v/>
      </c>
      <c r="P8" t="n">
        <v/>
      </c>
      <c r="R8" t="b">
        <v>0</v>
      </c>
      <c r="S8" t="n">
        <v/>
      </c>
      <c r="T8" t="n">
        <v/>
      </c>
      <c r="U8" t="n">
        <v/>
      </c>
      <c r="V8" t="b">
        <v>0</v>
      </c>
      <c r="W8" t="inlineStr"/>
      <c r="X8" t="n">
        <v/>
      </c>
    </row>
    <row r="9">
      <c r="A9" t="inlineStr">
        <is>
          <t>DuPoint Analysis</t>
        </is>
      </c>
      <c r="B9" t="inlineStr">
        <is>
          <t>D5</t>
        </is>
      </c>
      <c r="C9" t="n">
        <v>5</v>
      </c>
      <c r="D9" t="n">
        <v>4</v>
      </c>
      <c r="E9" t="inlineStr">
        <is>
          <t>Input</t>
        </is>
      </c>
      <c r="F9" t="n">
        <v/>
      </c>
      <c r="H9" t="inlineStr"/>
      <c r="I9" t="inlineStr">
        <is>
          <t>General</t>
        </is>
      </c>
      <c r="J9" t="b">
        <v>0</v>
      </c>
      <c r="K9" t="b">
        <v>0</v>
      </c>
      <c r="L9" t="n">
        <v>11</v>
      </c>
      <c r="M9" t="inlineStr">
        <is>
          <t>FF000000</t>
        </is>
      </c>
      <c r="N9" t="inlineStr">
        <is>
          <t>00000000</t>
        </is>
      </c>
      <c r="O9" t="n">
        <v/>
      </c>
      <c r="P9" t="n">
        <v/>
      </c>
      <c r="R9" t="b">
        <v>0</v>
      </c>
      <c r="S9" t="n">
        <v/>
      </c>
      <c r="T9" t="n">
        <v/>
      </c>
      <c r="U9" t="n">
        <v/>
      </c>
      <c r="V9" t="b">
        <v>0</v>
      </c>
      <c r="W9" t="inlineStr"/>
      <c r="X9" t="n">
        <v/>
      </c>
    </row>
    <row r="10">
      <c r="A10" t="inlineStr">
        <is>
          <t>DuPoint Analysis</t>
        </is>
      </c>
      <c r="B10" t="inlineStr">
        <is>
          <t>E5</t>
        </is>
      </c>
      <c r="C10" t="n">
        <v>5</v>
      </c>
      <c r="D10" t="n">
        <v>5</v>
      </c>
      <c r="E10" t="inlineStr">
        <is>
          <t>Input</t>
        </is>
      </c>
      <c r="F10" t="n">
        <v/>
      </c>
      <c r="G10" t="inlineStr">
        <is>
          <t>Sales</t>
        </is>
      </c>
      <c r="H10" t="inlineStr"/>
      <c r="I10" t="inlineStr">
        <is>
          <t>General</t>
        </is>
      </c>
      <c r="J10" t="b">
        <v>0</v>
      </c>
      <c r="K10" t="b">
        <v>0</v>
      </c>
      <c r="L10" t="n">
        <v>11</v>
      </c>
      <c r="M10" t="inlineStr">
        <is>
          <t>FFFFFFFF</t>
        </is>
      </c>
      <c r="N10" t="inlineStr">
        <is>
          <t>FF002060</t>
        </is>
      </c>
      <c r="O10" t="inlineStr">
        <is>
          <t>center</t>
        </is>
      </c>
      <c r="P10" t="n">
        <v/>
      </c>
      <c r="R10" t="b">
        <v>1</v>
      </c>
      <c r="S10" t="n">
        <v/>
      </c>
      <c r="T10" t="n">
        <v/>
      </c>
      <c r="U10" t="n">
        <v/>
      </c>
      <c r="V10" t="b">
        <v>0</v>
      </c>
      <c r="W10" t="inlineStr"/>
      <c r="X10" t="n">
        <v/>
      </c>
    </row>
    <row r="11">
      <c r="A11" t="inlineStr">
        <is>
          <t>DuPoint Analysis</t>
        </is>
      </c>
      <c r="B11" t="inlineStr">
        <is>
          <t>F5</t>
        </is>
      </c>
      <c r="C11" t="n">
        <v>5</v>
      </c>
      <c r="D11" t="n">
        <v>6</v>
      </c>
      <c r="E11" t="inlineStr">
        <is>
          <t>Input</t>
        </is>
      </c>
      <c r="F11" t="n">
        <v/>
      </c>
      <c r="H11" t="inlineStr"/>
      <c r="I11" t="inlineStr">
        <is>
          <t>General</t>
        </is>
      </c>
      <c r="J11" t="b">
        <v>0</v>
      </c>
      <c r="K11" t="b">
        <v>0</v>
      </c>
      <c r="L11" t="n">
        <v>11</v>
      </c>
      <c r="M11" t="inlineStr">
        <is>
          <t>FF000000</t>
        </is>
      </c>
      <c r="N11" t="inlineStr">
        <is>
          <t>00000000</t>
        </is>
      </c>
      <c r="O11" t="n">
        <v/>
      </c>
      <c r="P11" t="n">
        <v/>
      </c>
      <c r="R11" t="b">
        <v>0</v>
      </c>
      <c r="S11" t="n">
        <v/>
      </c>
      <c r="T11" t="n">
        <v/>
      </c>
      <c r="U11" t="n">
        <v/>
      </c>
      <c r="V11" t="b">
        <v>0</v>
      </c>
      <c r="W11" t="inlineStr"/>
      <c r="X11" t="n">
        <v/>
      </c>
    </row>
    <row r="12">
      <c r="A12" t="inlineStr">
        <is>
          <t>DuPoint Analysis</t>
        </is>
      </c>
      <c r="B12" t="inlineStr">
        <is>
          <t>G5</t>
        </is>
      </c>
      <c r="C12" t="n">
        <v>5</v>
      </c>
      <c r="D12" t="n">
        <v>7</v>
      </c>
      <c r="E12" t="inlineStr">
        <is>
          <t>Input</t>
        </is>
      </c>
      <c r="F12" t="n">
        <v/>
      </c>
      <c r="H12" t="inlineStr"/>
      <c r="I12" t="inlineStr">
        <is>
          <t>General</t>
        </is>
      </c>
      <c r="J12" t="b">
        <v>0</v>
      </c>
      <c r="K12" t="b">
        <v>0</v>
      </c>
      <c r="L12" t="n">
        <v>11</v>
      </c>
      <c r="M12" t="inlineStr">
        <is>
          <t>FF000000</t>
        </is>
      </c>
      <c r="N12" t="inlineStr">
        <is>
          <t>00000000</t>
        </is>
      </c>
      <c r="O12" t="n">
        <v/>
      </c>
      <c r="P12" t="n">
        <v/>
      </c>
      <c r="R12" t="b">
        <v>0</v>
      </c>
      <c r="S12" t="n">
        <v/>
      </c>
      <c r="T12" t="n">
        <v/>
      </c>
      <c r="U12" t="n">
        <v/>
      </c>
      <c r="V12" t="b">
        <v>0</v>
      </c>
      <c r="W12" t="inlineStr"/>
      <c r="X12" t="n">
        <v/>
      </c>
    </row>
    <row r="13">
      <c r="A13" t="inlineStr">
        <is>
          <t>DuPoint Analysis</t>
        </is>
      </c>
      <c r="B13" t="inlineStr">
        <is>
          <t>H5</t>
        </is>
      </c>
      <c r="C13" t="n">
        <v>5</v>
      </c>
      <c r="D13" t="n">
        <v>8</v>
      </c>
      <c r="E13" t="inlineStr">
        <is>
          <t>Input</t>
        </is>
      </c>
      <c r="F13" t="n">
        <v/>
      </c>
      <c r="G13" t="inlineStr">
        <is>
          <t>Assets (non current)</t>
        </is>
      </c>
      <c r="H13" t="inlineStr"/>
      <c r="I13" t="inlineStr">
        <is>
          <t>General</t>
        </is>
      </c>
      <c r="J13" t="b">
        <v>0</v>
      </c>
      <c r="K13" t="b">
        <v>0</v>
      </c>
      <c r="L13" t="n">
        <v>11</v>
      </c>
      <c r="M13" t="inlineStr">
        <is>
          <t>FFFFFFFF</t>
        </is>
      </c>
      <c r="N13" t="inlineStr">
        <is>
          <t>FF002060</t>
        </is>
      </c>
      <c r="O13" t="inlineStr">
        <is>
          <t>center</t>
        </is>
      </c>
      <c r="P13" t="n">
        <v/>
      </c>
      <c r="R13" t="b">
        <v>1</v>
      </c>
      <c r="S13" t="n">
        <v/>
      </c>
      <c r="T13" t="n">
        <v/>
      </c>
      <c r="U13" t="n">
        <v/>
      </c>
      <c r="V13" t="b">
        <v>0</v>
      </c>
      <c r="W13" t="inlineStr"/>
      <c r="X13" t="n">
        <v/>
      </c>
    </row>
    <row r="14">
      <c r="A14" t="inlineStr">
        <is>
          <t>DuPoint Analysis</t>
        </is>
      </c>
      <c r="B14" t="inlineStr">
        <is>
          <t>I5</t>
        </is>
      </c>
      <c r="C14" t="n">
        <v>5</v>
      </c>
      <c r="D14" t="n">
        <v>9</v>
      </c>
      <c r="E14" t="inlineStr">
        <is>
          <t>Input</t>
        </is>
      </c>
      <c r="F14" t="n">
        <v/>
      </c>
      <c r="H14" t="inlineStr"/>
      <c r="I14" t="inlineStr">
        <is>
          <t>General</t>
        </is>
      </c>
      <c r="J14" t="b">
        <v>0</v>
      </c>
      <c r="K14" t="b">
        <v>0</v>
      </c>
      <c r="L14" t="n">
        <v>11</v>
      </c>
      <c r="M14" t="inlineStr">
        <is>
          <t>FF000000</t>
        </is>
      </c>
      <c r="N14" t="inlineStr">
        <is>
          <t>00000000</t>
        </is>
      </c>
      <c r="O14" t="n">
        <v/>
      </c>
      <c r="P14" t="n">
        <v/>
      </c>
      <c r="R14" t="b">
        <v>0</v>
      </c>
      <c r="S14" t="n">
        <v/>
      </c>
      <c r="T14" t="n">
        <v/>
      </c>
      <c r="U14" t="n">
        <v/>
      </c>
      <c r="V14" t="b">
        <v>0</v>
      </c>
      <c r="W14" t="inlineStr"/>
      <c r="X14" t="n">
        <v/>
      </c>
    </row>
    <row r="15">
      <c r="A15" t="inlineStr">
        <is>
          <t>DuPoint Analysis</t>
        </is>
      </c>
      <c r="B15" t="inlineStr">
        <is>
          <t>J5</t>
        </is>
      </c>
      <c r="C15" t="n">
        <v>5</v>
      </c>
      <c r="D15" t="n">
        <v>10</v>
      </c>
      <c r="E15" t="inlineStr">
        <is>
          <t>Input</t>
        </is>
      </c>
      <c r="F15" t="n">
        <v/>
      </c>
      <c r="H15" t="inlineStr"/>
      <c r="I15" t="inlineStr">
        <is>
          <t>General</t>
        </is>
      </c>
      <c r="J15" t="b">
        <v>0</v>
      </c>
      <c r="K15" t="b">
        <v>0</v>
      </c>
      <c r="L15" t="n">
        <v>11</v>
      </c>
      <c r="M15" t="inlineStr">
        <is>
          <t>FF000000</t>
        </is>
      </c>
      <c r="N15" t="inlineStr">
        <is>
          <t>00000000</t>
        </is>
      </c>
      <c r="O15" t="n">
        <v/>
      </c>
      <c r="P15" t="n">
        <v/>
      </c>
      <c r="R15" t="b">
        <v>0</v>
      </c>
      <c r="S15" t="n">
        <v/>
      </c>
      <c r="T15" t="n">
        <v/>
      </c>
      <c r="U15" t="n">
        <v/>
      </c>
      <c r="V15" t="b">
        <v>0</v>
      </c>
      <c r="W15" t="inlineStr"/>
      <c r="X15" t="n">
        <v/>
      </c>
    </row>
    <row r="16">
      <c r="A16" t="inlineStr">
        <is>
          <t>DuPoint Analysis</t>
        </is>
      </c>
      <c r="B16" t="inlineStr">
        <is>
          <t>K5</t>
        </is>
      </c>
      <c r="C16" t="n">
        <v>5</v>
      </c>
      <c r="D16" t="n">
        <v>11</v>
      </c>
      <c r="E16" t="inlineStr">
        <is>
          <t>Input</t>
        </is>
      </c>
      <c r="F16" t="n">
        <v/>
      </c>
      <c r="H16" t="inlineStr"/>
      <c r="I16" t="inlineStr">
        <is>
          <t>General</t>
        </is>
      </c>
      <c r="J16" t="b">
        <v>0</v>
      </c>
      <c r="K16" t="b">
        <v>0</v>
      </c>
      <c r="L16" t="n">
        <v>11</v>
      </c>
      <c r="M16" t="inlineStr">
        <is>
          <t>FFFFFFFF</t>
        </is>
      </c>
      <c r="N16" t="inlineStr">
        <is>
          <t>FF002060</t>
        </is>
      </c>
      <c r="O16" t="n">
        <v/>
      </c>
      <c r="P16" t="n">
        <v/>
      </c>
      <c r="R16" t="b">
        <v>0</v>
      </c>
      <c r="S16" t="n">
        <v/>
      </c>
      <c r="T16" t="n">
        <v/>
      </c>
      <c r="U16" t="n">
        <v/>
      </c>
      <c r="V16" t="b">
        <v>0</v>
      </c>
      <c r="W16" t="inlineStr"/>
      <c r="X16" t="n">
        <v/>
      </c>
    </row>
    <row r="17">
      <c r="A17" t="inlineStr">
        <is>
          <t>DuPoint Analysis</t>
        </is>
      </c>
      <c r="B17" t="inlineStr">
        <is>
          <t>L5</t>
        </is>
      </c>
      <c r="C17" t="n">
        <v>5</v>
      </c>
      <c r="D17" t="n">
        <v>12</v>
      </c>
      <c r="E17" t="inlineStr">
        <is>
          <t>Input</t>
        </is>
      </c>
      <c r="F17" t="n">
        <v/>
      </c>
      <c r="G17" t="inlineStr">
        <is>
          <t>Equity</t>
        </is>
      </c>
      <c r="H17" t="inlineStr"/>
      <c r="I17" t="inlineStr">
        <is>
          <t>General</t>
        </is>
      </c>
      <c r="J17" t="b">
        <v>0</v>
      </c>
      <c r="K17" t="b">
        <v>0</v>
      </c>
      <c r="L17" t="n">
        <v>11</v>
      </c>
      <c r="M17" t="inlineStr">
        <is>
          <t>FFFFFFFF</t>
        </is>
      </c>
      <c r="N17" t="inlineStr">
        <is>
          <t>FF002060</t>
        </is>
      </c>
      <c r="O17" t="n">
        <v/>
      </c>
      <c r="P17" t="n">
        <v/>
      </c>
      <c r="R17" t="b">
        <v>1</v>
      </c>
      <c r="S17" t="n">
        <v/>
      </c>
      <c r="T17" t="n">
        <v/>
      </c>
      <c r="U17" t="n">
        <v/>
      </c>
      <c r="V17" t="b">
        <v>0</v>
      </c>
      <c r="W17" t="inlineStr"/>
      <c r="X17" t="n">
        <v/>
      </c>
    </row>
    <row r="18">
      <c r="A18" t="inlineStr">
        <is>
          <t>DuPoint Analysis</t>
        </is>
      </c>
      <c r="B18" t="inlineStr">
        <is>
          <t>M5</t>
        </is>
      </c>
      <c r="C18" t="n">
        <v>5</v>
      </c>
      <c r="D18" t="n">
        <v>13</v>
      </c>
      <c r="E18" t="inlineStr">
        <is>
          <t>Input</t>
        </is>
      </c>
      <c r="F18" t="n">
        <v/>
      </c>
      <c r="H18" t="inlineStr"/>
      <c r="I18" t="inlineStr">
        <is>
          <t>General</t>
        </is>
      </c>
      <c r="J18" t="b">
        <v>0</v>
      </c>
      <c r="K18" t="b">
        <v>0</v>
      </c>
      <c r="L18" t="n">
        <v>11</v>
      </c>
      <c r="M18" t="inlineStr">
        <is>
          <t>FFFFFFFF</t>
        </is>
      </c>
      <c r="N18" t="inlineStr">
        <is>
          <t>FF002060</t>
        </is>
      </c>
      <c r="O18" t="n">
        <v/>
      </c>
      <c r="P18" t="n">
        <v/>
      </c>
      <c r="R18" t="b">
        <v>0</v>
      </c>
      <c r="S18" t="n">
        <v/>
      </c>
      <c r="T18" t="n">
        <v/>
      </c>
      <c r="U18" t="n">
        <v/>
      </c>
      <c r="V18" t="b">
        <v>0</v>
      </c>
      <c r="W18" t="inlineStr"/>
      <c r="X18" t="n">
        <v/>
      </c>
    </row>
    <row r="19">
      <c r="A19" t="inlineStr">
        <is>
          <t>DuPoint Analysis</t>
        </is>
      </c>
      <c r="B19" t="inlineStr">
        <is>
          <t>N5</t>
        </is>
      </c>
      <c r="C19" t="n">
        <v>5</v>
      </c>
      <c r="D19" t="n">
        <v>14</v>
      </c>
      <c r="E19" t="inlineStr">
        <is>
          <t>Input</t>
        </is>
      </c>
      <c r="F19" t="n">
        <v/>
      </c>
      <c r="H19" t="inlineStr"/>
      <c r="I19" t="inlineStr">
        <is>
          <t>General</t>
        </is>
      </c>
      <c r="J19" t="b">
        <v>0</v>
      </c>
      <c r="K19" t="b">
        <v>0</v>
      </c>
      <c r="L19" t="n">
        <v>11</v>
      </c>
      <c r="M19" t="inlineStr">
        <is>
          <t>FFFFFFFF</t>
        </is>
      </c>
      <c r="N19" t="inlineStr">
        <is>
          <t>00000000</t>
        </is>
      </c>
      <c r="O19" t="n">
        <v/>
      </c>
      <c r="P19" t="n">
        <v/>
      </c>
      <c r="R19" t="b">
        <v>0</v>
      </c>
      <c r="S19" t="n">
        <v/>
      </c>
      <c r="T19" t="n">
        <v/>
      </c>
      <c r="U19" t="n">
        <v/>
      </c>
      <c r="V19" t="b">
        <v>0</v>
      </c>
      <c r="W19" t="inlineStr"/>
      <c r="X19" t="n">
        <v/>
      </c>
    </row>
    <row r="20">
      <c r="A20" t="inlineStr">
        <is>
          <t>DuPoint Analysis</t>
        </is>
      </c>
      <c r="B20" t="inlineStr">
        <is>
          <t>O5</t>
        </is>
      </c>
      <c r="C20" t="n">
        <v>5</v>
      </c>
      <c r="D20" t="n">
        <v>15</v>
      </c>
      <c r="E20" t="inlineStr">
        <is>
          <t>Input</t>
        </is>
      </c>
      <c r="F20" t="n">
        <v/>
      </c>
      <c r="H20" t="inlineStr"/>
      <c r="I20" t="inlineStr">
        <is>
          <t>General</t>
        </is>
      </c>
      <c r="J20" t="b">
        <v>0</v>
      </c>
      <c r="K20" t="b">
        <v>0</v>
      </c>
      <c r="L20" t="n">
        <v>11</v>
      </c>
      <c r="M20" t="inlineStr">
        <is>
          <t>FFFFFFFF</t>
        </is>
      </c>
      <c r="N20" t="inlineStr">
        <is>
          <t>00000000</t>
        </is>
      </c>
      <c r="O20" t="n">
        <v/>
      </c>
      <c r="P20" t="n">
        <v/>
      </c>
      <c r="R20" t="b">
        <v>0</v>
      </c>
      <c r="S20" t="n">
        <v/>
      </c>
      <c r="T20" t="n">
        <v/>
      </c>
      <c r="U20" t="n">
        <v/>
      </c>
      <c r="V20" t="b">
        <v>0</v>
      </c>
      <c r="W20" t="inlineStr"/>
      <c r="X20" t="n">
        <v/>
      </c>
    </row>
    <row r="21">
      <c r="A21" t="inlineStr">
        <is>
          <t>DuPoint Analysis</t>
        </is>
      </c>
      <c r="B21" t="inlineStr">
        <is>
          <t>P5</t>
        </is>
      </c>
      <c r="C21" t="n">
        <v>5</v>
      </c>
      <c r="D21" t="n">
        <v>16</v>
      </c>
      <c r="E21" t="inlineStr">
        <is>
          <t>Input</t>
        </is>
      </c>
      <c r="F21" t="n">
        <v/>
      </c>
      <c r="H21" t="inlineStr"/>
      <c r="I21" t="inlineStr">
        <is>
          <t>General</t>
        </is>
      </c>
      <c r="J21" t="b">
        <v>0</v>
      </c>
      <c r="K21" t="b">
        <v>0</v>
      </c>
      <c r="L21" t="n">
        <v>11</v>
      </c>
      <c r="M21" t="inlineStr">
        <is>
          <t>FFFFFFFF</t>
        </is>
      </c>
      <c r="N21" t="inlineStr">
        <is>
          <t>00000000</t>
        </is>
      </c>
      <c r="O21" t="n">
        <v/>
      </c>
      <c r="P21" t="n">
        <v/>
      </c>
      <c r="R21" t="b">
        <v>0</v>
      </c>
      <c r="S21" t="n">
        <v/>
      </c>
      <c r="T21" t="n">
        <v/>
      </c>
      <c r="U21" t="n">
        <v/>
      </c>
      <c r="V21" t="b">
        <v>0</v>
      </c>
      <c r="W21" t="inlineStr"/>
      <c r="X21" t="n">
        <v/>
      </c>
    </row>
    <row r="22">
      <c r="A22" t="inlineStr">
        <is>
          <t>DuPoint Analysis</t>
        </is>
      </c>
      <c r="B22" t="inlineStr">
        <is>
          <t>Q5</t>
        </is>
      </c>
      <c r="C22" t="n">
        <v>5</v>
      </c>
      <c r="D22" t="n">
        <v>17</v>
      </c>
      <c r="E22" t="inlineStr">
        <is>
          <t>Input</t>
        </is>
      </c>
      <c r="F22" t="n">
        <v/>
      </c>
      <c r="H22" t="inlineStr"/>
      <c r="I22" t="inlineStr">
        <is>
          <t>General</t>
        </is>
      </c>
      <c r="J22" t="b">
        <v>0</v>
      </c>
      <c r="K22" t="b">
        <v>0</v>
      </c>
      <c r="L22" t="n">
        <v>11</v>
      </c>
      <c r="M22" t="inlineStr">
        <is>
          <t>FFFFFFFF</t>
        </is>
      </c>
      <c r="N22" t="inlineStr">
        <is>
          <t>00000000</t>
        </is>
      </c>
      <c r="O22" t="n">
        <v/>
      </c>
      <c r="P22" t="n">
        <v/>
      </c>
      <c r="R22" t="b">
        <v>0</v>
      </c>
      <c r="S22" t="n">
        <v/>
      </c>
      <c r="T22" t="n">
        <v/>
      </c>
      <c r="U22" t="n">
        <v/>
      </c>
      <c r="V22" t="b">
        <v>0</v>
      </c>
      <c r="W22" t="inlineStr"/>
      <c r="X22" t="n">
        <v/>
      </c>
    </row>
    <row r="23">
      <c r="A23" t="inlineStr">
        <is>
          <t>DuPoint Analysis</t>
        </is>
      </c>
      <c r="B23" t="inlineStr">
        <is>
          <t>R5</t>
        </is>
      </c>
      <c r="C23" t="n">
        <v>5</v>
      </c>
      <c r="D23" t="n">
        <v>18</v>
      </c>
      <c r="E23" t="inlineStr">
        <is>
          <t>Input</t>
        </is>
      </c>
      <c r="F23" t="n">
        <v/>
      </c>
      <c r="H23" t="inlineStr"/>
      <c r="I23" t="inlineStr">
        <is>
          <t>General</t>
        </is>
      </c>
      <c r="J23" t="b">
        <v>0</v>
      </c>
      <c r="K23" t="b">
        <v>0</v>
      </c>
      <c r="L23" t="n">
        <v>11</v>
      </c>
      <c r="M23" t="inlineStr">
        <is>
          <t>FFFFFFFF</t>
        </is>
      </c>
      <c r="N23" t="inlineStr">
        <is>
          <t>00000000</t>
        </is>
      </c>
      <c r="O23" t="n">
        <v/>
      </c>
      <c r="P23" t="n">
        <v/>
      </c>
      <c r="R23" t="b">
        <v>0</v>
      </c>
      <c r="S23" t="n">
        <v/>
      </c>
      <c r="T23" t="n">
        <v/>
      </c>
      <c r="U23" t="n">
        <v/>
      </c>
      <c r="V23" t="b">
        <v>0</v>
      </c>
      <c r="W23" t="inlineStr"/>
      <c r="X23" t="n">
        <v/>
      </c>
    </row>
    <row r="24">
      <c r="A24" t="inlineStr">
        <is>
          <t>DuPoint Analysis</t>
        </is>
      </c>
      <c r="B24" t="inlineStr">
        <is>
          <t>A6</t>
        </is>
      </c>
      <c r="C24" t="n">
        <v>6</v>
      </c>
      <c r="D24" t="n">
        <v>1</v>
      </c>
      <c r="E24" t="inlineStr">
        <is>
          <t>Input</t>
        </is>
      </c>
      <c r="F24" t="n">
        <v/>
      </c>
      <c r="H24" t="inlineStr"/>
      <c r="I24" t="inlineStr">
        <is>
          <t>General</t>
        </is>
      </c>
      <c r="J24" t="b">
        <v>0</v>
      </c>
      <c r="K24" t="b">
        <v>0</v>
      </c>
      <c r="L24" t="n">
        <v>11</v>
      </c>
      <c r="M24" t="n">
        <v/>
      </c>
      <c r="N24" t="inlineStr">
        <is>
          <t>00000000</t>
        </is>
      </c>
      <c r="O24" t="n">
        <v/>
      </c>
      <c r="P24" t="n">
        <v/>
      </c>
      <c r="R24" t="b">
        <v>0</v>
      </c>
      <c r="S24" t="n">
        <v/>
      </c>
      <c r="T24" t="n">
        <v/>
      </c>
      <c r="U24" t="n">
        <v/>
      </c>
      <c r="V24" t="b">
        <v>0</v>
      </c>
      <c r="W24" t="inlineStr"/>
      <c r="X24" t="n">
        <v/>
      </c>
    </row>
    <row r="25">
      <c r="A25" t="inlineStr">
        <is>
          <t>DuPoint Analysis</t>
        </is>
      </c>
      <c r="B25" t="inlineStr">
        <is>
          <t>B6</t>
        </is>
      </c>
      <c r="C25" t="n">
        <v>6</v>
      </c>
      <c r="D25" t="n">
        <v>2</v>
      </c>
      <c r="E25" t="inlineStr">
        <is>
          <t>Input</t>
        </is>
      </c>
      <c r="F25" t="n">
        <v/>
      </c>
      <c r="G25" t="n">
        <v>2015</v>
      </c>
      <c r="H25" t="inlineStr"/>
      <c r="I25" t="inlineStr">
        <is>
          <t>General</t>
        </is>
      </c>
      <c r="J25" t="b">
        <v>0</v>
      </c>
      <c r="K25" t="b">
        <v>0</v>
      </c>
      <c r="L25" t="n">
        <v>11</v>
      </c>
      <c r="M25" t="inlineStr">
        <is>
          <t>FFFFFFFF</t>
        </is>
      </c>
      <c r="N25" t="inlineStr">
        <is>
          <t>FF002060</t>
        </is>
      </c>
      <c r="O25" t="inlineStr">
        <is>
          <t>center</t>
        </is>
      </c>
      <c r="P25" t="n">
        <v/>
      </c>
      <c r="R25" t="b">
        <v>1</v>
      </c>
      <c r="S25" t="n">
        <v/>
      </c>
      <c r="T25" t="n">
        <v/>
      </c>
      <c r="U25" t="n">
        <v/>
      </c>
      <c r="V25" t="b">
        <v>0</v>
      </c>
      <c r="W25" t="inlineStr"/>
      <c r="X25" t="n">
        <v/>
      </c>
    </row>
    <row r="26">
      <c r="A26" t="inlineStr">
        <is>
          <t>DuPoint Analysis</t>
        </is>
      </c>
      <c r="B26" t="inlineStr">
        <is>
          <t>C6</t>
        </is>
      </c>
      <c r="C26" t="n">
        <v>6</v>
      </c>
      <c r="D26" t="n">
        <v>3</v>
      </c>
      <c r="E26" t="inlineStr">
        <is>
          <t>Input</t>
        </is>
      </c>
      <c r="F26" t="n">
        <v/>
      </c>
      <c r="G26" t="n">
        <v>2016</v>
      </c>
      <c r="H26" t="inlineStr"/>
      <c r="I26" t="inlineStr">
        <is>
          <t>General</t>
        </is>
      </c>
      <c r="J26" t="b">
        <v>0</v>
      </c>
      <c r="K26" t="b">
        <v>0</v>
      </c>
      <c r="L26" t="n">
        <v>11</v>
      </c>
      <c r="M26" t="inlineStr">
        <is>
          <t>FFFFFFFF</t>
        </is>
      </c>
      <c r="N26" t="inlineStr">
        <is>
          <t>FF002060</t>
        </is>
      </c>
      <c r="O26" t="inlineStr">
        <is>
          <t>center</t>
        </is>
      </c>
      <c r="P26" t="n">
        <v/>
      </c>
      <c r="R26" t="b">
        <v>1</v>
      </c>
      <c r="S26" t="n">
        <v/>
      </c>
      <c r="T26" t="n">
        <v/>
      </c>
      <c r="U26" t="n">
        <v/>
      </c>
      <c r="V26" t="b">
        <v>0</v>
      </c>
      <c r="W26" t="inlineStr"/>
      <c r="X26" t="n">
        <v/>
      </c>
    </row>
    <row r="27">
      <c r="A27" t="inlineStr">
        <is>
          <t>DuPoint Analysis</t>
        </is>
      </c>
      <c r="B27" t="inlineStr">
        <is>
          <t>D6</t>
        </is>
      </c>
      <c r="C27" t="n">
        <v>6</v>
      </c>
      <c r="D27" t="n">
        <v>4</v>
      </c>
      <c r="E27" t="inlineStr">
        <is>
          <t>Input</t>
        </is>
      </c>
      <c r="F27" t="n">
        <v/>
      </c>
      <c r="G27" t="n">
        <v>2017</v>
      </c>
      <c r="H27" t="inlineStr"/>
      <c r="I27" t="inlineStr">
        <is>
          <t>General</t>
        </is>
      </c>
      <c r="J27" t="b">
        <v>0</v>
      </c>
      <c r="K27" t="b">
        <v>0</v>
      </c>
      <c r="L27" t="n">
        <v>11</v>
      </c>
      <c r="M27" t="inlineStr">
        <is>
          <t>FFFFFFFF</t>
        </is>
      </c>
      <c r="N27" t="inlineStr">
        <is>
          <t>FF002060</t>
        </is>
      </c>
      <c r="O27" t="inlineStr">
        <is>
          <t>center</t>
        </is>
      </c>
      <c r="P27" t="n">
        <v/>
      </c>
      <c r="R27" t="b">
        <v>1</v>
      </c>
      <c r="S27" t="n">
        <v/>
      </c>
      <c r="T27" t="n">
        <v/>
      </c>
      <c r="U27" t="n">
        <v/>
      </c>
      <c r="V27" t="b">
        <v>0</v>
      </c>
      <c r="W27" t="inlineStr"/>
      <c r="X27" t="n">
        <v/>
      </c>
    </row>
    <row r="28">
      <c r="A28" t="inlineStr">
        <is>
          <t>DuPoint Analysis</t>
        </is>
      </c>
      <c r="B28" t="inlineStr">
        <is>
          <t>E6</t>
        </is>
      </c>
      <c r="C28" t="n">
        <v>6</v>
      </c>
      <c r="D28" t="n">
        <v>5</v>
      </c>
      <c r="E28" t="inlineStr">
        <is>
          <t>Input</t>
        </is>
      </c>
      <c r="F28" t="n">
        <v/>
      </c>
      <c r="G28" t="n">
        <v>2015</v>
      </c>
      <c r="H28" t="inlineStr"/>
      <c r="I28" t="inlineStr">
        <is>
          <t>General</t>
        </is>
      </c>
      <c r="J28" t="b">
        <v>0</v>
      </c>
      <c r="K28" t="b">
        <v>0</v>
      </c>
      <c r="L28" t="n">
        <v>11</v>
      </c>
      <c r="M28" t="inlineStr">
        <is>
          <t>FFFFFFFF</t>
        </is>
      </c>
      <c r="N28" t="inlineStr">
        <is>
          <t>FF002060</t>
        </is>
      </c>
      <c r="O28" t="inlineStr">
        <is>
          <t>center</t>
        </is>
      </c>
      <c r="P28" t="n">
        <v/>
      </c>
      <c r="R28" t="b">
        <v>1</v>
      </c>
      <c r="S28" t="n">
        <v/>
      </c>
      <c r="T28" t="n">
        <v/>
      </c>
      <c r="U28" t="n">
        <v/>
      </c>
      <c r="V28" t="b">
        <v>0</v>
      </c>
      <c r="W28" t="inlineStr"/>
      <c r="X28" t="n">
        <v/>
      </c>
    </row>
    <row r="29">
      <c r="A29" t="inlineStr">
        <is>
          <t>DuPoint Analysis</t>
        </is>
      </c>
      <c r="B29" t="inlineStr">
        <is>
          <t>F6</t>
        </is>
      </c>
      <c r="C29" t="n">
        <v>6</v>
      </c>
      <c r="D29" t="n">
        <v>6</v>
      </c>
      <c r="E29" t="inlineStr">
        <is>
          <t>Input</t>
        </is>
      </c>
      <c r="F29" t="n">
        <v/>
      </c>
      <c r="G29" t="n">
        <v>2016</v>
      </c>
      <c r="H29" t="inlineStr"/>
      <c r="I29" t="inlineStr">
        <is>
          <t>General</t>
        </is>
      </c>
      <c r="J29" t="b">
        <v>0</v>
      </c>
      <c r="K29" t="b">
        <v>0</v>
      </c>
      <c r="L29" t="n">
        <v>11</v>
      </c>
      <c r="M29" t="inlineStr">
        <is>
          <t>FFFFFFFF</t>
        </is>
      </c>
      <c r="N29" t="inlineStr">
        <is>
          <t>FF002060</t>
        </is>
      </c>
      <c r="O29" t="inlineStr">
        <is>
          <t>center</t>
        </is>
      </c>
      <c r="P29" t="n">
        <v/>
      </c>
      <c r="R29" t="b">
        <v>1</v>
      </c>
      <c r="S29" t="n">
        <v/>
      </c>
      <c r="T29" t="n">
        <v/>
      </c>
      <c r="U29" t="n">
        <v/>
      </c>
      <c r="V29" t="b">
        <v>0</v>
      </c>
      <c r="W29" t="inlineStr"/>
      <c r="X29" t="n">
        <v/>
      </c>
    </row>
    <row r="30">
      <c r="A30" t="inlineStr">
        <is>
          <t>DuPoint Analysis</t>
        </is>
      </c>
      <c r="B30" t="inlineStr">
        <is>
          <t>G6</t>
        </is>
      </c>
      <c r="C30" t="n">
        <v>6</v>
      </c>
      <c r="D30" t="n">
        <v>7</v>
      </c>
      <c r="E30" t="inlineStr">
        <is>
          <t>Input</t>
        </is>
      </c>
      <c r="F30" t="n">
        <v/>
      </c>
      <c r="G30" t="n">
        <v>2017</v>
      </c>
      <c r="H30" t="inlineStr"/>
      <c r="I30" t="inlineStr">
        <is>
          <t>General</t>
        </is>
      </c>
      <c r="J30" t="b">
        <v>0</v>
      </c>
      <c r="K30" t="b">
        <v>0</v>
      </c>
      <c r="L30" t="n">
        <v>11</v>
      </c>
      <c r="M30" t="inlineStr">
        <is>
          <t>FFFFFFFF</t>
        </is>
      </c>
      <c r="N30" t="inlineStr">
        <is>
          <t>FF002060</t>
        </is>
      </c>
      <c r="O30" t="inlineStr">
        <is>
          <t>center</t>
        </is>
      </c>
      <c r="P30" t="n">
        <v/>
      </c>
      <c r="R30" t="b">
        <v>1</v>
      </c>
      <c r="S30" t="n">
        <v/>
      </c>
      <c r="T30" t="n">
        <v/>
      </c>
      <c r="U30" t="n">
        <v/>
      </c>
      <c r="V30" t="b">
        <v>0</v>
      </c>
      <c r="W30" t="inlineStr"/>
      <c r="X30" t="n">
        <v/>
      </c>
    </row>
    <row r="31">
      <c r="A31" t="inlineStr">
        <is>
          <t>DuPoint Analysis</t>
        </is>
      </c>
      <c r="B31" t="inlineStr">
        <is>
          <t>H6</t>
        </is>
      </c>
      <c r="C31" t="n">
        <v>6</v>
      </c>
      <c r="D31" t="n">
        <v>8</v>
      </c>
      <c r="E31" t="inlineStr">
        <is>
          <t>Input</t>
        </is>
      </c>
      <c r="F31" t="n">
        <v/>
      </c>
      <c r="G31" t="n">
        <v>2015</v>
      </c>
      <c r="H31" t="inlineStr"/>
      <c r="I31" t="inlineStr">
        <is>
          <t>General</t>
        </is>
      </c>
      <c r="J31" t="b">
        <v>0</v>
      </c>
      <c r="K31" t="b">
        <v>0</v>
      </c>
      <c r="L31" t="n">
        <v>11</v>
      </c>
      <c r="M31" t="inlineStr">
        <is>
          <t>FFFFFFFF</t>
        </is>
      </c>
      <c r="N31" t="inlineStr">
        <is>
          <t>FF002060</t>
        </is>
      </c>
      <c r="O31" t="inlineStr">
        <is>
          <t>center</t>
        </is>
      </c>
      <c r="P31" t="n">
        <v/>
      </c>
      <c r="R31" t="b">
        <v>1</v>
      </c>
      <c r="S31" t="n">
        <v/>
      </c>
      <c r="T31" t="n">
        <v/>
      </c>
      <c r="U31" t="n">
        <v/>
      </c>
      <c r="V31" t="b">
        <v>0</v>
      </c>
      <c r="W31" t="inlineStr"/>
      <c r="X31" t="n">
        <v/>
      </c>
    </row>
    <row r="32">
      <c r="A32" t="inlineStr">
        <is>
          <t>DuPoint Analysis</t>
        </is>
      </c>
      <c r="B32" t="inlineStr">
        <is>
          <t>I6</t>
        </is>
      </c>
      <c r="C32" t="n">
        <v>6</v>
      </c>
      <c r="D32" t="n">
        <v>9</v>
      </c>
      <c r="E32" t="inlineStr">
        <is>
          <t>Input</t>
        </is>
      </c>
      <c r="F32" t="n">
        <v/>
      </c>
      <c r="G32" t="n">
        <v>2016</v>
      </c>
      <c r="H32" t="inlineStr"/>
      <c r="I32" t="inlineStr">
        <is>
          <t>General</t>
        </is>
      </c>
      <c r="J32" t="b">
        <v>0</v>
      </c>
      <c r="K32" t="b">
        <v>0</v>
      </c>
      <c r="L32" t="n">
        <v>11</v>
      </c>
      <c r="M32" t="inlineStr">
        <is>
          <t>FFFFFFFF</t>
        </is>
      </c>
      <c r="N32" t="inlineStr">
        <is>
          <t>FF002060</t>
        </is>
      </c>
      <c r="O32" t="inlineStr">
        <is>
          <t>center</t>
        </is>
      </c>
      <c r="P32" t="n">
        <v/>
      </c>
      <c r="R32" t="b">
        <v>1</v>
      </c>
      <c r="S32" t="n">
        <v/>
      </c>
      <c r="T32" t="n">
        <v/>
      </c>
      <c r="U32" t="n">
        <v/>
      </c>
      <c r="V32" t="b">
        <v>0</v>
      </c>
      <c r="W32" t="inlineStr"/>
      <c r="X32" t="n">
        <v/>
      </c>
    </row>
    <row r="33">
      <c r="A33" t="inlineStr">
        <is>
          <t>DuPoint Analysis</t>
        </is>
      </c>
      <c r="B33" t="inlineStr">
        <is>
          <t>J6</t>
        </is>
      </c>
      <c r="C33" t="n">
        <v>6</v>
      </c>
      <c r="D33" t="n">
        <v>10</v>
      </c>
      <c r="E33" t="inlineStr">
        <is>
          <t>Input</t>
        </is>
      </c>
      <c r="F33" t="n">
        <v/>
      </c>
      <c r="G33" t="n">
        <v>2017</v>
      </c>
      <c r="H33" t="inlineStr"/>
      <c r="I33" t="inlineStr">
        <is>
          <t>General</t>
        </is>
      </c>
      <c r="J33" t="b">
        <v>0</v>
      </c>
      <c r="K33" t="b">
        <v>0</v>
      </c>
      <c r="L33" t="n">
        <v>11</v>
      </c>
      <c r="M33" t="inlineStr">
        <is>
          <t>FFFFFFFF</t>
        </is>
      </c>
      <c r="N33" t="inlineStr">
        <is>
          <t>FF002060</t>
        </is>
      </c>
      <c r="O33" t="inlineStr">
        <is>
          <t>center</t>
        </is>
      </c>
      <c r="P33" t="n">
        <v/>
      </c>
      <c r="R33" t="b">
        <v>1</v>
      </c>
      <c r="S33" t="n">
        <v/>
      </c>
      <c r="T33" t="n">
        <v/>
      </c>
      <c r="U33" t="n">
        <v/>
      </c>
      <c r="V33" t="b">
        <v>0</v>
      </c>
      <c r="W33" t="inlineStr"/>
      <c r="X33" t="n">
        <v/>
      </c>
    </row>
    <row r="34">
      <c r="A34" t="inlineStr">
        <is>
          <t>DuPoint Analysis</t>
        </is>
      </c>
      <c r="B34" t="inlineStr">
        <is>
          <t>K6</t>
        </is>
      </c>
      <c r="C34" t="n">
        <v>6</v>
      </c>
      <c r="D34" t="n">
        <v>11</v>
      </c>
      <c r="E34" t="inlineStr">
        <is>
          <t>Input</t>
        </is>
      </c>
      <c r="F34" t="n">
        <v/>
      </c>
      <c r="G34" t="n">
        <v>2015</v>
      </c>
      <c r="H34" t="inlineStr"/>
      <c r="I34" t="inlineStr">
        <is>
          <t>General</t>
        </is>
      </c>
      <c r="J34" t="b">
        <v>0</v>
      </c>
      <c r="K34" t="b">
        <v>0</v>
      </c>
      <c r="L34" t="n">
        <v>11</v>
      </c>
      <c r="M34" t="inlineStr">
        <is>
          <t>FFFFFFFF</t>
        </is>
      </c>
      <c r="N34" t="inlineStr">
        <is>
          <t>FF002060</t>
        </is>
      </c>
      <c r="O34" t="inlineStr">
        <is>
          <t>center</t>
        </is>
      </c>
      <c r="P34" t="n">
        <v/>
      </c>
      <c r="R34" t="b">
        <v>1</v>
      </c>
      <c r="S34" t="n">
        <v/>
      </c>
      <c r="T34" t="n">
        <v/>
      </c>
      <c r="U34" t="n">
        <v/>
      </c>
      <c r="V34" t="b">
        <v>0</v>
      </c>
      <c r="W34" t="inlineStr"/>
      <c r="X34" t="n">
        <v/>
      </c>
    </row>
    <row r="35">
      <c r="A35" t="inlineStr">
        <is>
          <t>DuPoint Analysis</t>
        </is>
      </c>
      <c r="B35" t="inlineStr">
        <is>
          <t>L6</t>
        </is>
      </c>
      <c r="C35" t="n">
        <v>6</v>
      </c>
      <c r="D35" t="n">
        <v>12</v>
      </c>
      <c r="E35" t="inlineStr">
        <is>
          <t>Input</t>
        </is>
      </c>
      <c r="F35" t="n">
        <v/>
      </c>
      <c r="G35" t="n">
        <v>2016</v>
      </c>
      <c r="H35" t="inlineStr"/>
      <c r="I35" t="inlineStr">
        <is>
          <t>General</t>
        </is>
      </c>
      <c r="J35" t="b">
        <v>0</v>
      </c>
      <c r="K35" t="b">
        <v>0</v>
      </c>
      <c r="L35" t="n">
        <v>11</v>
      </c>
      <c r="M35" t="inlineStr">
        <is>
          <t>FFFFFFFF</t>
        </is>
      </c>
      <c r="N35" t="inlineStr">
        <is>
          <t>FF002060</t>
        </is>
      </c>
      <c r="O35" t="inlineStr">
        <is>
          <t>center</t>
        </is>
      </c>
      <c r="P35" t="n">
        <v/>
      </c>
      <c r="R35" t="b">
        <v>1</v>
      </c>
      <c r="S35" t="n">
        <v/>
      </c>
      <c r="T35" t="n">
        <v/>
      </c>
      <c r="U35" t="n">
        <v/>
      </c>
      <c r="V35" t="b">
        <v>0</v>
      </c>
      <c r="W35" t="inlineStr"/>
      <c r="X35" t="n">
        <v/>
      </c>
    </row>
    <row r="36">
      <c r="A36" t="inlineStr">
        <is>
          <t>DuPoint Analysis</t>
        </is>
      </c>
      <c r="B36" t="inlineStr">
        <is>
          <t>M6</t>
        </is>
      </c>
      <c r="C36" t="n">
        <v>6</v>
      </c>
      <c r="D36" t="n">
        <v>13</v>
      </c>
      <c r="E36" t="inlineStr">
        <is>
          <t>Input</t>
        </is>
      </c>
      <c r="F36" t="n">
        <v/>
      </c>
      <c r="G36" t="n">
        <v>2017</v>
      </c>
      <c r="H36" t="inlineStr"/>
      <c r="I36" t="inlineStr">
        <is>
          <t>General</t>
        </is>
      </c>
      <c r="J36" t="b">
        <v>0</v>
      </c>
      <c r="K36" t="b">
        <v>0</v>
      </c>
      <c r="L36" t="n">
        <v>11</v>
      </c>
      <c r="M36" t="inlineStr">
        <is>
          <t>FFFFFFFF</t>
        </is>
      </c>
      <c r="N36" t="inlineStr">
        <is>
          <t>FF002060</t>
        </is>
      </c>
      <c r="O36" t="inlineStr">
        <is>
          <t>center</t>
        </is>
      </c>
      <c r="P36" t="n">
        <v/>
      </c>
      <c r="R36" t="b">
        <v>1</v>
      </c>
      <c r="S36" t="n">
        <v/>
      </c>
      <c r="T36" t="n">
        <v/>
      </c>
      <c r="U36" t="n">
        <v/>
      </c>
      <c r="V36" t="b">
        <v>0</v>
      </c>
      <c r="W36" t="inlineStr"/>
      <c r="X36" t="n">
        <v/>
      </c>
    </row>
    <row r="37">
      <c r="A37" t="inlineStr">
        <is>
          <t>DuPoint Analysis</t>
        </is>
      </c>
      <c r="B37" t="inlineStr">
        <is>
          <t>N6</t>
        </is>
      </c>
      <c r="C37" t="n">
        <v>6</v>
      </c>
      <c r="D37" t="n">
        <v>14</v>
      </c>
      <c r="E37" t="inlineStr">
        <is>
          <t>Input</t>
        </is>
      </c>
      <c r="F37" t="n">
        <v/>
      </c>
      <c r="H37" t="inlineStr"/>
      <c r="I37" t="inlineStr">
        <is>
          <t>General</t>
        </is>
      </c>
      <c r="J37" t="b">
        <v>0</v>
      </c>
      <c r="K37" t="b">
        <v>0</v>
      </c>
      <c r="L37" t="n">
        <v>11</v>
      </c>
      <c r="M37" t="inlineStr">
        <is>
          <t>FFFFFFFF</t>
        </is>
      </c>
      <c r="N37" t="inlineStr">
        <is>
          <t>00000000</t>
        </is>
      </c>
      <c r="O37" t="n">
        <v/>
      </c>
      <c r="P37" t="n">
        <v/>
      </c>
      <c r="R37" t="b">
        <v>0</v>
      </c>
      <c r="S37" t="n">
        <v/>
      </c>
      <c r="T37" t="n">
        <v/>
      </c>
      <c r="U37" t="n">
        <v/>
      </c>
      <c r="V37" t="b">
        <v>0</v>
      </c>
      <c r="W37" t="inlineStr"/>
      <c r="X37" t="n">
        <v/>
      </c>
    </row>
    <row r="38">
      <c r="A38" t="inlineStr">
        <is>
          <t>DuPoint Analysis</t>
        </is>
      </c>
      <c r="B38" t="inlineStr">
        <is>
          <t>O6</t>
        </is>
      </c>
      <c r="C38" t="n">
        <v>6</v>
      </c>
      <c r="D38" t="n">
        <v>15</v>
      </c>
      <c r="E38" t="inlineStr">
        <is>
          <t>Input</t>
        </is>
      </c>
      <c r="F38" t="n">
        <v/>
      </c>
      <c r="H38" t="inlineStr"/>
      <c r="I38" t="inlineStr">
        <is>
          <t>General</t>
        </is>
      </c>
      <c r="J38" t="b">
        <v>0</v>
      </c>
      <c r="K38" t="b">
        <v>0</v>
      </c>
      <c r="L38" t="n">
        <v>11</v>
      </c>
      <c r="M38" t="inlineStr">
        <is>
          <t>FFFFFFFF</t>
        </is>
      </c>
      <c r="N38" t="inlineStr">
        <is>
          <t>00000000</t>
        </is>
      </c>
      <c r="O38" t="n">
        <v/>
      </c>
      <c r="P38" t="n">
        <v/>
      </c>
      <c r="R38" t="b">
        <v>0</v>
      </c>
      <c r="S38" t="n">
        <v/>
      </c>
      <c r="T38" t="n">
        <v/>
      </c>
      <c r="U38" t="n">
        <v/>
      </c>
      <c r="V38" t="b">
        <v>0</v>
      </c>
      <c r="W38" t="inlineStr"/>
      <c r="X38" t="n">
        <v/>
      </c>
    </row>
    <row r="39">
      <c r="A39" t="inlineStr">
        <is>
          <t>DuPoint Analysis</t>
        </is>
      </c>
      <c r="B39" t="inlineStr">
        <is>
          <t>P6</t>
        </is>
      </c>
      <c r="C39" t="n">
        <v>6</v>
      </c>
      <c r="D39" t="n">
        <v>16</v>
      </c>
      <c r="E39" t="inlineStr">
        <is>
          <t>Input</t>
        </is>
      </c>
      <c r="F39" t="n">
        <v/>
      </c>
      <c r="H39" t="inlineStr"/>
      <c r="I39" t="inlineStr">
        <is>
          <t>General</t>
        </is>
      </c>
      <c r="J39" t="b">
        <v>0</v>
      </c>
      <c r="K39" t="b">
        <v>0</v>
      </c>
      <c r="L39" t="n">
        <v>11</v>
      </c>
      <c r="M39" t="inlineStr">
        <is>
          <t>FFFFFFFF</t>
        </is>
      </c>
      <c r="N39" t="inlineStr">
        <is>
          <t>00000000</t>
        </is>
      </c>
      <c r="O39" t="n">
        <v/>
      </c>
      <c r="P39" t="n">
        <v/>
      </c>
      <c r="R39" t="b">
        <v>0</v>
      </c>
      <c r="S39" t="n">
        <v/>
      </c>
      <c r="T39" t="n">
        <v/>
      </c>
      <c r="U39" t="n">
        <v/>
      </c>
      <c r="V39" t="b">
        <v>0</v>
      </c>
      <c r="W39" t="inlineStr"/>
      <c r="X39" t="n">
        <v/>
      </c>
    </row>
    <row r="40">
      <c r="A40" t="inlineStr">
        <is>
          <t>DuPoint Analysis</t>
        </is>
      </c>
      <c r="B40" t="inlineStr">
        <is>
          <t>Q6</t>
        </is>
      </c>
      <c r="C40" t="n">
        <v>6</v>
      </c>
      <c r="D40" t="n">
        <v>17</v>
      </c>
      <c r="E40" t="inlineStr">
        <is>
          <t>Input</t>
        </is>
      </c>
      <c r="F40" t="n">
        <v/>
      </c>
      <c r="H40" t="inlineStr"/>
      <c r="I40" t="inlineStr">
        <is>
          <t>General</t>
        </is>
      </c>
      <c r="J40" t="b">
        <v>0</v>
      </c>
      <c r="K40" t="b">
        <v>0</v>
      </c>
      <c r="L40" t="n">
        <v>11</v>
      </c>
      <c r="M40" t="inlineStr">
        <is>
          <t>FFFFFFFF</t>
        </is>
      </c>
      <c r="N40" t="inlineStr">
        <is>
          <t>00000000</t>
        </is>
      </c>
      <c r="O40" t="n">
        <v/>
      </c>
      <c r="P40" t="n">
        <v/>
      </c>
      <c r="R40" t="b">
        <v>0</v>
      </c>
      <c r="S40" t="n">
        <v/>
      </c>
      <c r="T40" t="n">
        <v/>
      </c>
      <c r="U40" t="n">
        <v/>
      </c>
      <c r="V40" t="b">
        <v>0</v>
      </c>
      <c r="W40" t="inlineStr"/>
      <c r="X40" t="n">
        <v/>
      </c>
    </row>
    <row r="41">
      <c r="A41" t="inlineStr">
        <is>
          <t>DuPoint Analysis</t>
        </is>
      </c>
      <c r="B41" t="inlineStr">
        <is>
          <t>R6</t>
        </is>
      </c>
      <c r="C41" t="n">
        <v>6</v>
      </c>
      <c r="D41" t="n">
        <v>18</v>
      </c>
      <c r="E41" t="inlineStr">
        <is>
          <t>Input</t>
        </is>
      </c>
      <c r="F41" t="n">
        <v/>
      </c>
      <c r="H41" t="inlineStr"/>
      <c r="I41" t="inlineStr">
        <is>
          <t>General</t>
        </is>
      </c>
      <c r="J41" t="b">
        <v>0</v>
      </c>
      <c r="K41" t="b">
        <v>0</v>
      </c>
      <c r="L41" t="n">
        <v>11</v>
      </c>
      <c r="M41" t="inlineStr">
        <is>
          <t>FFFFFFFF</t>
        </is>
      </c>
      <c r="N41" t="inlineStr">
        <is>
          <t>00000000</t>
        </is>
      </c>
      <c r="O41" t="n">
        <v/>
      </c>
      <c r="P41" t="n">
        <v/>
      </c>
      <c r="R41" t="b">
        <v>0</v>
      </c>
      <c r="S41" t="n">
        <v/>
      </c>
      <c r="T41" t="n">
        <v/>
      </c>
      <c r="U41" t="n">
        <v/>
      </c>
      <c r="V41" t="b">
        <v>0</v>
      </c>
      <c r="W41" t="inlineStr"/>
      <c r="X41" t="n">
        <v/>
      </c>
    </row>
    <row r="42">
      <c r="A42" t="inlineStr">
        <is>
          <t>DuPoint Analysis</t>
        </is>
      </c>
      <c r="B42" t="inlineStr">
        <is>
          <t>A7</t>
        </is>
      </c>
      <c r="C42" t="n">
        <v>7</v>
      </c>
      <c r="D42" t="n">
        <v>1</v>
      </c>
      <c r="E42" t="inlineStr">
        <is>
          <t>Input</t>
        </is>
      </c>
      <c r="F42" t="n">
        <v/>
      </c>
      <c r="G42" t="inlineStr">
        <is>
          <t>Ultratech</t>
        </is>
      </c>
      <c r="H42" t="inlineStr"/>
      <c r="I42" t="inlineStr">
        <is>
          <t>General</t>
        </is>
      </c>
      <c r="J42" t="b">
        <v>0</v>
      </c>
      <c r="K42" t="b">
        <v>0</v>
      </c>
      <c r="L42" t="n">
        <v>11</v>
      </c>
      <c r="M42" t="inlineStr">
        <is>
          <t>FF000000</t>
        </is>
      </c>
      <c r="N42" t="inlineStr">
        <is>
          <t>00000000</t>
        </is>
      </c>
      <c r="O42" t="n">
        <v/>
      </c>
      <c r="P42" t="n">
        <v/>
      </c>
      <c r="R42" t="b">
        <v>1</v>
      </c>
      <c r="S42" t="n">
        <v/>
      </c>
      <c r="T42" t="n">
        <v/>
      </c>
      <c r="U42" t="n">
        <v/>
      </c>
      <c r="V42" t="b">
        <v>0</v>
      </c>
      <c r="W42" t="inlineStr"/>
      <c r="X42" t="n">
        <v/>
      </c>
    </row>
    <row r="43">
      <c r="A43" t="inlineStr">
        <is>
          <t>DuPoint Analysis</t>
        </is>
      </c>
      <c r="B43" t="inlineStr">
        <is>
          <t>B7</t>
        </is>
      </c>
      <c r="C43" t="n">
        <v>7</v>
      </c>
      <c r="D43" t="n">
        <v>2</v>
      </c>
      <c r="E43" t="inlineStr">
        <is>
          <t>Input</t>
        </is>
      </c>
      <c r="F43" t="n">
        <v/>
      </c>
      <c r="G43" t="n">
        <v>2370</v>
      </c>
      <c r="H43" t="inlineStr"/>
      <c r="I43" t="inlineStr">
        <is>
          <t>_(* #,##0_);_(* \(#,##0\);_(* "-"??_);_(@_)</t>
        </is>
      </c>
      <c r="J43" t="b">
        <v>0</v>
      </c>
      <c r="K43" t="b">
        <v>0</v>
      </c>
      <c r="L43" t="n">
        <v>11</v>
      </c>
      <c r="M43" t="inlineStr">
        <is>
          <t>FF000000</t>
        </is>
      </c>
      <c r="N43" t="inlineStr">
        <is>
          <t>00000000</t>
        </is>
      </c>
      <c r="O43" t="n">
        <v/>
      </c>
      <c r="P43" t="n">
        <v/>
      </c>
      <c r="R43" t="b">
        <v>1</v>
      </c>
      <c r="S43" t="n">
        <v/>
      </c>
      <c r="T43" t="n">
        <v/>
      </c>
      <c r="U43" t="n">
        <v/>
      </c>
      <c r="V43" t="b">
        <v>0</v>
      </c>
      <c r="W43" t="inlineStr"/>
      <c r="X43" t="n">
        <v/>
      </c>
    </row>
    <row r="44">
      <c r="A44" t="inlineStr">
        <is>
          <t>DuPoint Analysis</t>
        </is>
      </c>
      <c r="B44" t="inlineStr">
        <is>
          <t>C7</t>
        </is>
      </c>
      <c r="C44" t="n">
        <v>7</v>
      </c>
      <c r="D44" t="n">
        <v>3</v>
      </c>
      <c r="E44" t="inlineStr">
        <is>
          <t>Input</t>
        </is>
      </c>
      <c r="F44" t="n">
        <v/>
      </c>
      <c r="G44" t="n">
        <v>2628</v>
      </c>
      <c r="H44" t="inlineStr"/>
      <c r="I44" t="inlineStr">
        <is>
          <t>_(* #,##0_);_(* \(#,##0\);_(* "-"??_);_(@_)</t>
        </is>
      </c>
      <c r="J44" t="b">
        <v>0</v>
      </c>
      <c r="K44" t="b">
        <v>0</v>
      </c>
      <c r="L44" t="n">
        <v>11</v>
      </c>
      <c r="M44" t="inlineStr">
        <is>
          <t>FF000000</t>
        </is>
      </c>
      <c r="N44" t="inlineStr">
        <is>
          <t>00000000</t>
        </is>
      </c>
      <c r="O44" t="n">
        <v/>
      </c>
      <c r="P44" t="n">
        <v/>
      </c>
      <c r="R44" t="b">
        <v>1</v>
      </c>
      <c r="S44" t="n">
        <v/>
      </c>
      <c r="T44" t="n">
        <v/>
      </c>
      <c r="U44" t="n">
        <v/>
      </c>
      <c r="V44" t="b">
        <v>0</v>
      </c>
      <c r="W44" t="inlineStr"/>
      <c r="X44" t="n">
        <v/>
      </c>
    </row>
    <row r="45">
      <c r="A45" t="inlineStr">
        <is>
          <t>DuPoint Analysis</t>
        </is>
      </c>
      <c r="B45" t="inlineStr">
        <is>
          <t>D7</t>
        </is>
      </c>
      <c r="C45" t="n">
        <v>7</v>
      </c>
      <c r="D45" t="n">
        <v>4</v>
      </c>
      <c r="E45" t="inlineStr">
        <is>
          <t>Input</t>
        </is>
      </c>
      <c r="F45" t="n">
        <v/>
      </c>
      <c r="G45" t="n">
        <v>2231</v>
      </c>
      <c r="H45" t="inlineStr"/>
      <c r="I45" t="inlineStr">
        <is>
          <t>_(* #,##0_);_(* \(#,##0\);_(* "-"??_);_(@_)</t>
        </is>
      </c>
      <c r="J45" t="b">
        <v>0</v>
      </c>
      <c r="K45" t="b">
        <v>0</v>
      </c>
      <c r="L45" t="n">
        <v>11</v>
      </c>
      <c r="M45" t="inlineStr">
        <is>
          <t>FF000000</t>
        </is>
      </c>
      <c r="N45" t="inlineStr">
        <is>
          <t>00000000</t>
        </is>
      </c>
      <c r="O45" t="n">
        <v/>
      </c>
      <c r="P45" t="n">
        <v/>
      </c>
      <c r="R45" t="b">
        <v>1</v>
      </c>
      <c r="S45" t="n">
        <v/>
      </c>
      <c r="T45" t="n">
        <v/>
      </c>
      <c r="U45" t="n">
        <v/>
      </c>
      <c r="V45" t="b">
        <v>0</v>
      </c>
      <c r="W45" t="inlineStr"/>
      <c r="X45" t="n">
        <v/>
      </c>
    </row>
    <row r="46">
      <c r="A46" t="inlineStr">
        <is>
          <t>DuPoint Analysis</t>
        </is>
      </c>
      <c r="B46" t="inlineStr">
        <is>
          <t>E7</t>
        </is>
      </c>
      <c r="C46" t="n">
        <v>7</v>
      </c>
      <c r="D46" t="n">
        <v>5</v>
      </c>
      <c r="E46" t="inlineStr">
        <is>
          <t>Input</t>
        </is>
      </c>
      <c r="F46" t="n">
        <v/>
      </c>
      <c r="G46" t="n">
        <v>29535.1</v>
      </c>
      <c r="H46" t="inlineStr"/>
      <c r="I46" t="inlineStr">
        <is>
          <t>_(* #,##0_);_(* \(#,##0\);_(* "-"??_);_(@_)</t>
        </is>
      </c>
      <c r="J46" t="b">
        <v>0</v>
      </c>
      <c r="K46" t="b">
        <v>0</v>
      </c>
      <c r="L46" t="n">
        <v>11</v>
      </c>
      <c r="M46" t="inlineStr">
        <is>
          <t>FF000000</t>
        </is>
      </c>
      <c r="N46" t="inlineStr">
        <is>
          <t>00000000</t>
        </is>
      </c>
      <c r="O46" t="n">
        <v/>
      </c>
      <c r="P46" t="n">
        <v/>
      </c>
      <c r="R46" t="b">
        <v>1</v>
      </c>
      <c r="S46" t="n">
        <v/>
      </c>
      <c r="T46" t="n">
        <v/>
      </c>
      <c r="U46" t="n">
        <v/>
      </c>
      <c r="V46" t="b">
        <v>0</v>
      </c>
      <c r="W46" t="inlineStr"/>
      <c r="X46" t="n">
        <v/>
      </c>
    </row>
    <row r="47">
      <c r="A47" t="inlineStr">
        <is>
          <t>DuPoint Analysis</t>
        </is>
      </c>
      <c r="B47" t="inlineStr">
        <is>
          <t>F7</t>
        </is>
      </c>
      <c r="C47" t="n">
        <v>7</v>
      </c>
      <c r="D47" t="n">
        <v>6</v>
      </c>
      <c r="E47" t="inlineStr">
        <is>
          <t>Input</t>
        </is>
      </c>
      <c r="F47" t="n">
        <v/>
      </c>
      <c r="G47" t="n">
        <v>30669.45</v>
      </c>
      <c r="H47" t="inlineStr"/>
      <c r="I47" t="inlineStr">
        <is>
          <t>_(* #,##0_);_(* \(#,##0\);_(* "-"??_);_(@_)</t>
        </is>
      </c>
      <c r="J47" t="b">
        <v>0</v>
      </c>
      <c r="K47" t="b">
        <v>0</v>
      </c>
      <c r="L47" t="n">
        <v>11</v>
      </c>
      <c r="M47" t="inlineStr">
        <is>
          <t>FF000000</t>
        </is>
      </c>
      <c r="N47" t="inlineStr">
        <is>
          <t>00000000</t>
        </is>
      </c>
      <c r="O47" t="n">
        <v/>
      </c>
      <c r="P47" t="n">
        <v/>
      </c>
      <c r="R47" t="b">
        <v>1</v>
      </c>
      <c r="S47" t="n">
        <v/>
      </c>
      <c r="T47" t="n">
        <v/>
      </c>
      <c r="U47" t="n">
        <v/>
      </c>
      <c r="V47" t="b">
        <v>0</v>
      </c>
      <c r="W47" t="inlineStr"/>
      <c r="X47" t="n">
        <v/>
      </c>
    </row>
    <row r="48">
      <c r="A48" t="inlineStr">
        <is>
          <t>DuPoint Analysis</t>
        </is>
      </c>
      <c r="B48" t="inlineStr">
        <is>
          <t>G7</t>
        </is>
      </c>
      <c r="C48" t="n">
        <v>7</v>
      </c>
      <c r="D48" t="n">
        <v>7</v>
      </c>
      <c r="E48" t="inlineStr">
        <is>
          <t>Input</t>
        </is>
      </c>
      <c r="F48" t="n">
        <v/>
      </c>
      <c r="G48" t="n">
        <v>28894.04</v>
      </c>
      <c r="H48" t="inlineStr"/>
      <c r="I48" t="inlineStr">
        <is>
          <t>_(* #,##0_);_(* \(#,##0\);_(* "-"??_);_(@_)</t>
        </is>
      </c>
      <c r="J48" t="b">
        <v>0</v>
      </c>
      <c r="K48" t="b">
        <v>0</v>
      </c>
      <c r="L48" t="n">
        <v>11</v>
      </c>
      <c r="M48" t="inlineStr">
        <is>
          <t>FF000000</t>
        </is>
      </c>
      <c r="N48" t="inlineStr">
        <is>
          <t>00000000</t>
        </is>
      </c>
      <c r="O48" t="n">
        <v/>
      </c>
      <c r="P48" t="n">
        <v/>
      </c>
      <c r="R48" t="b">
        <v>1</v>
      </c>
      <c r="S48" t="n">
        <v/>
      </c>
      <c r="T48" t="n">
        <v/>
      </c>
      <c r="U48" t="n">
        <v/>
      </c>
      <c r="V48" t="b">
        <v>0</v>
      </c>
      <c r="W48" t="inlineStr"/>
      <c r="X48" t="n">
        <v/>
      </c>
    </row>
    <row r="49">
      <c r="A49" t="inlineStr">
        <is>
          <t>DuPoint Analysis</t>
        </is>
      </c>
      <c r="B49" t="inlineStr">
        <is>
          <t>H7</t>
        </is>
      </c>
      <c r="C49" t="n">
        <v>7</v>
      </c>
      <c r="D49" t="n">
        <v>8</v>
      </c>
      <c r="E49" t="inlineStr">
        <is>
          <t>Input</t>
        </is>
      </c>
      <c r="F49" t="n">
        <v/>
      </c>
      <c r="G49" t="n">
        <v>22532.71</v>
      </c>
      <c r="H49" t="inlineStr"/>
      <c r="I49" t="inlineStr">
        <is>
          <t>_(* #,##0_);_(* \(#,##0\);_(* "-"??_);_(@_)</t>
        </is>
      </c>
      <c r="J49" t="b">
        <v>0</v>
      </c>
      <c r="K49" t="b">
        <v>0</v>
      </c>
      <c r="L49" t="n">
        <v>11</v>
      </c>
      <c r="M49" t="inlineStr">
        <is>
          <t>FF000000</t>
        </is>
      </c>
      <c r="N49" t="inlineStr">
        <is>
          <t>00000000</t>
        </is>
      </c>
      <c r="O49" t="n">
        <v/>
      </c>
      <c r="P49" t="n">
        <v/>
      </c>
      <c r="R49" t="b">
        <v>1</v>
      </c>
      <c r="S49" t="n">
        <v/>
      </c>
      <c r="T49" t="n">
        <v/>
      </c>
      <c r="U49" t="n">
        <v/>
      </c>
      <c r="V49" t="b">
        <v>0</v>
      </c>
      <c r="W49" t="inlineStr"/>
      <c r="X49" t="n">
        <v/>
      </c>
    </row>
    <row r="50">
      <c r="A50" t="inlineStr">
        <is>
          <t>DuPoint Analysis</t>
        </is>
      </c>
      <c r="B50" t="inlineStr">
        <is>
          <t>I7</t>
        </is>
      </c>
      <c r="C50" t="n">
        <v>7</v>
      </c>
      <c r="D50" t="n">
        <v>9</v>
      </c>
      <c r="E50" t="inlineStr">
        <is>
          <t>Input</t>
        </is>
      </c>
      <c r="F50" t="n">
        <v/>
      </c>
      <c r="G50" t="n">
        <v>24110.15</v>
      </c>
      <c r="H50" t="inlineStr"/>
      <c r="I50" t="inlineStr">
        <is>
          <t>_(* #,##0_);_(* \(#,##0\);_(* "-"??_);_(@_)</t>
        </is>
      </c>
      <c r="J50" t="b">
        <v>0</v>
      </c>
      <c r="K50" t="b">
        <v>0</v>
      </c>
      <c r="L50" t="n">
        <v>11</v>
      </c>
      <c r="M50" t="inlineStr">
        <is>
          <t>FF000000</t>
        </is>
      </c>
      <c r="N50" t="inlineStr">
        <is>
          <t>00000000</t>
        </is>
      </c>
      <c r="O50" t="n">
        <v/>
      </c>
      <c r="P50" t="n">
        <v/>
      </c>
      <c r="R50" t="b">
        <v>1</v>
      </c>
      <c r="S50" t="n">
        <v/>
      </c>
      <c r="T50" t="n">
        <v/>
      </c>
      <c r="U50" t="n">
        <v/>
      </c>
      <c r="V50" t="b">
        <v>0</v>
      </c>
      <c r="W50" t="inlineStr"/>
      <c r="X50" t="n">
        <v/>
      </c>
    </row>
    <row r="51">
      <c r="A51" t="inlineStr">
        <is>
          <t>DuPoint Analysis</t>
        </is>
      </c>
      <c r="B51" t="inlineStr">
        <is>
          <t>J7</t>
        </is>
      </c>
      <c r="C51" t="n">
        <v>7</v>
      </c>
      <c r="D51" t="n">
        <v>10</v>
      </c>
      <c r="E51" t="inlineStr">
        <is>
          <t>Input</t>
        </is>
      </c>
      <c r="F51" t="n">
        <v/>
      </c>
      <c r="G51" t="n">
        <v>28894.04</v>
      </c>
      <c r="H51" t="inlineStr"/>
      <c r="I51" t="inlineStr">
        <is>
          <t>_(* #,##0_);_(* \(#,##0\);_(* "-"??_);_(@_)</t>
        </is>
      </c>
      <c r="J51" t="b">
        <v>0</v>
      </c>
      <c r="K51" t="b">
        <v>0</v>
      </c>
      <c r="L51" t="n">
        <v>11</v>
      </c>
      <c r="M51" t="inlineStr">
        <is>
          <t>FF000000</t>
        </is>
      </c>
      <c r="N51" t="inlineStr">
        <is>
          <t>00000000</t>
        </is>
      </c>
      <c r="O51" t="n">
        <v/>
      </c>
      <c r="P51" t="n">
        <v/>
      </c>
      <c r="R51" t="b">
        <v>1</v>
      </c>
      <c r="S51" t="n">
        <v/>
      </c>
      <c r="T51" t="n">
        <v/>
      </c>
      <c r="U51" t="n">
        <v/>
      </c>
      <c r="V51" t="b">
        <v>0</v>
      </c>
      <c r="W51" t="inlineStr"/>
      <c r="X51" t="n">
        <v/>
      </c>
    </row>
    <row r="52">
      <c r="A52" t="inlineStr">
        <is>
          <t>DuPoint Analysis</t>
        </is>
      </c>
      <c r="B52" t="inlineStr">
        <is>
          <t>K7</t>
        </is>
      </c>
      <c r="C52" t="n">
        <v>7</v>
      </c>
      <c r="D52" t="n">
        <v>11</v>
      </c>
      <c r="E52" t="inlineStr">
        <is>
          <t>Input</t>
        </is>
      </c>
      <c r="F52" t="n">
        <v/>
      </c>
      <c r="G52" t="n">
        <v>18858</v>
      </c>
      <c r="H52" t="inlineStr"/>
      <c r="I52" t="inlineStr">
        <is>
          <t>_(* #,##0_);_(* \(#,##0\);_(* "-"??_);_(@_)</t>
        </is>
      </c>
      <c r="J52" t="b">
        <v>0</v>
      </c>
      <c r="K52" t="b">
        <v>0</v>
      </c>
      <c r="L52" t="n">
        <v>11</v>
      </c>
      <c r="M52" t="inlineStr">
        <is>
          <t>FF000000</t>
        </is>
      </c>
      <c r="N52" t="inlineStr">
        <is>
          <t>00000000</t>
        </is>
      </c>
      <c r="O52" t="n">
        <v/>
      </c>
      <c r="P52" t="n">
        <v/>
      </c>
      <c r="R52" t="b">
        <v>1</v>
      </c>
      <c r="S52" t="n">
        <v/>
      </c>
      <c r="T52" t="n">
        <v/>
      </c>
      <c r="U52" t="n">
        <v/>
      </c>
      <c r="V52" t="b">
        <v>0</v>
      </c>
      <c r="W52" t="inlineStr"/>
      <c r="X52" t="n">
        <v/>
      </c>
    </row>
    <row r="53">
      <c r="A53" t="inlineStr">
        <is>
          <t>DuPoint Analysis</t>
        </is>
      </c>
      <c r="B53" t="inlineStr">
        <is>
          <t>L7</t>
        </is>
      </c>
      <c r="C53" t="n">
        <v>7</v>
      </c>
      <c r="D53" t="n">
        <v>12</v>
      </c>
      <c r="E53" t="inlineStr">
        <is>
          <t>Input</t>
        </is>
      </c>
      <c r="F53" t="n">
        <v/>
      </c>
      <c r="G53" t="n">
        <v>21632</v>
      </c>
      <c r="H53" t="inlineStr"/>
      <c r="I53" t="inlineStr">
        <is>
          <t>_(* #,##0_);_(* \(#,##0\);_(* "-"??_);_(@_)</t>
        </is>
      </c>
      <c r="J53" t="b">
        <v>0</v>
      </c>
      <c r="K53" t="b">
        <v>0</v>
      </c>
      <c r="L53" t="n">
        <v>11</v>
      </c>
      <c r="M53" t="inlineStr">
        <is>
          <t>FF000000</t>
        </is>
      </c>
      <c r="N53" t="inlineStr">
        <is>
          <t>00000000</t>
        </is>
      </c>
      <c r="O53" t="n">
        <v/>
      </c>
      <c r="P53" t="n">
        <v/>
      </c>
      <c r="R53" t="b">
        <v>1</v>
      </c>
      <c r="S53" t="n">
        <v/>
      </c>
      <c r="T53" t="n">
        <v/>
      </c>
      <c r="U53" t="n">
        <v/>
      </c>
      <c r="V53" t="b">
        <v>0</v>
      </c>
      <c r="W53" t="inlineStr"/>
      <c r="X53" t="n">
        <v/>
      </c>
    </row>
    <row r="54">
      <c r="A54" t="inlineStr">
        <is>
          <t>DuPoint Analysis</t>
        </is>
      </c>
      <c r="B54" t="inlineStr">
        <is>
          <t>M7</t>
        </is>
      </c>
      <c r="C54" t="n">
        <v>7</v>
      </c>
      <c r="D54" t="n">
        <v>13</v>
      </c>
      <c r="E54" t="inlineStr">
        <is>
          <t>Input</t>
        </is>
      </c>
      <c r="F54" t="n">
        <v/>
      </c>
      <c r="G54" t="n">
        <v>23941</v>
      </c>
      <c r="H54" t="inlineStr"/>
      <c r="I54" t="inlineStr">
        <is>
          <t>_(* #,##0_);_(* \(#,##0\);_(* "-"??_);_(@_)</t>
        </is>
      </c>
      <c r="J54" t="b">
        <v>0</v>
      </c>
      <c r="K54" t="b">
        <v>0</v>
      </c>
      <c r="L54" t="n">
        <v>11</v>
      </c>
      <c r="M54" t="inlineStr">
        <is>
          <t>FF000000</t>
        </is>
      </c>
      <c r="N54" t="inlineStr">
        <is>
          <t>00000000</t>
        </is>
      </c>
      <c r="O54" t="n">
        <v/>
      </c>
      <c r="P54" t="n">
        <v/>
      </c>
      <c r="R54" t="b">
        <v>1</v>
      </c>
      <c r="S54" t="n">
        <v/>
      </c>
      <c r="T54" t="n">
        <v/>
      </c>
      <c r="U54" t="n">
        <v/>
      </c>
      <c r="V54" t="b">
        <v>0</v>
      </c>
      <c r="W54" t="inlineStr"/>
      <c r="X54" t="n">
        <v/>
      </c>
    </row>
    <row r="55">
      <c r="A55" t="inlineStr">
        <is>
          <t>DuPoint Analysis</t>
        </is>
      </c>
      <c r="B55" t="inlineStr">
        <is>
          <t>A8</t>
        </is>
      </c>
      <c r="C55" t="n">
        <v>8</v>
      </c>
      <c r="D55" t="n">
        <v>1</v>
      </c>
      <c r="E55" t="inlineStr">
        <is>
          <t>Input</t>
        </is>
      </c>
      <c r="F55" t="n">
        <v/>
      </c>
      <c r="G55" t="inlineStr">
        <is>
          <t xml:space="preserve">Ambuja </t>
        </is>
      </c>
      <c r="H55" t="inlineStr"/>
      <c r="I55" t="inlineStr">
        <is>
          <t>General</t>
        </is>
      </c>
      <c r="J55" t="b">
        <v>0</v>
      </c>
      <c r="K55" t="b">
        <v>0</v>
      </c>
      <c r="L55" t="n">
        <v>11</v>
      </c>
      <c r="M55" t="inlineStr">
        <is>
          <t>FF000000</t>
        </is>
      </c>
      <c r="N55" t="inlineStr">
        <is>
          <t>00000000</t>
        </is>
      </c>
      <c r="O55" t="n">
        <v/>
      </c>
      <c r="P55" t="n">
        <v/>
      </c>
      <c r="R55" t="b">
        <v>1</v>
      </c>
      <c r="S55" t="n">
        <v/>
      </c>
      <c r="T55" t="n">
        <v/>
      </c>
      <c r="U55" t="n">
        <v/>
      </c>
      <c r="V55" t="b">
        <v>0</v>
      </c>
      <c r="W55" t="inlineStr"/>
      <c r="X55" t="n">
        <v/>
      </c>
    </row>
    <row r="56">
      <c r="A56" t="inlineStr">
        <is>
          <t>DuPoint Analysis</t>
        </is>
      </c>
      <c r="B56" t="inlineStr">
        <is>
          <t>B8</t>
        </is>
      </c>
      <c r="C56" t="n">
        <v>8</v>
      </c>
      <c r="D56" t="n">
        <v>2</v>
      </c>
      <c r="E56" t="inlineStr">
        <is>
          <t>Input</t>
        </is>
      </c>
      <c r="F56" t="n">
        <v/>
      </c>
      <c r="G56" t="n">
        <v>808</v>
      </c>
      <c r="H56" t="inlineStr"/>
      <c r="I56" t="inlineStr">
        <is>
          <t>_(* #,##0_);_(* \(#,##0\);_(* "-"??_);_(@_)</t>
        </is>
      </c>
      <c r="J56" t="b">
        <v>0</v>
      </c>
      <c r="K56" t="b">
        <v>0</v>
      </c>
      <c r="L56" t="n">
        <v>11</v>
      </c>
      <c r="M56" t="inlineStr">
        <is>
          <t>FF000000</t>
        </is>
      </c>
      <c r="N56" t="inlineStr">
        <is>
          <t>00000000</t>
        </is>
      </c>
      <c r="O56" t="n">
        <v/>
      </c>
      <c r="P56" t="n">
        <v/>
      </c>
      <c r="R56" t="b">
        <v>1</v>
      </c>
      <c r="S56" t="n">
        <v/>
      </c>
      <c r="T56" t="n">
        <v/>
      </c>
      <c r="U56" t="n">
        <v/>
      </c>
      <c r="V56" t="b">
        <v>0</v>
      </c>
      <c r="W56" t="inlineStr"/>
      <c r="X56" t="n">
        <v/>
      </c>
    </row>
    <row r="57">
      <c r="A57" t="inlineStr">
        <is>
          <t>DuPoint Analysis</t>
        </is>
      </c>
      <c r="B57" t="inlineStr">
        <is>
          <t>C8</t>
        </is>
      </c>
      <c r="C57" t="n">
        <v>8</v>
      </c>
      <c r="D57" t="n">
        <v>3</v>
      </c>
      <c r="E57" t="inlineStr">
        <is>
          <t>Input</t>
        </is>
      </c>
      <c r="F57" t="n">
        <v/>
      </c>
      <c r="G57" t="n">
        <v>932</v>
      </c>
      <c r="H57" t="inlineStr"/>
      <c r="I57" t="inlineStr">
        <is>
          <t>_(* #,##0_);_(* \(#,##0\);_(* "-"??_);_(@_)</t>
        </is>
      </c>
      <c r="J57" t="b">
        <v>0</v>
      </c>
      <c r="K57" t="b">
        <v>0</v>
      </c>
      <c r="L57" t="n">
        <v>11</v>
      </c>
      <c r="M57" t="inlineStr">
        <is>
          <t>FF000000</t>
        </is>
      </c>
      <c r="N57" t="inlineStr">
        <is>
          <t>00000000</t>
        </is>
      </c>
      <c r="O57" t="n">
        <v/>
      </c>
      <c r="P57" t="n">
        <v/>
      </c>
      <c r="R57" t="b">
        <v>1</v>
      </c>
      <c r="S57" t="n">
        <v/>
      </c>
      <c r="T57" t="n">
        <v/>
      </c>
      <c r="U57" t="n">
        <v/>
      </c>
      <c r="V57" t="b">
        <v>0</v>
      </c>
      <c r="W57" t="inlineStr"/>
      <c r="X57" t="n">
        <v/>
      </c>
    </row>
    <row r="58">
      <c r="A58" t="inlineStr">
        <is>
          <t>DuPoint Analysis</t>
        </is>
      </c>
      <c r="B58" t="inlineStr">
        <is>
          <t>D8</t>
        </is>
      </c>
      <c r="C58" t="n">
        <v>8</v>
      </c>
      <c r="D58" t="n">
        <v>4</v>
      </c>
      <c r="E58" t="inlineStr">
        <is>
          <t>Input</t>
        </is>
      </c>
      <c r="F58" t="n">
        <v/>
      </c>
      <c r="G58" t="n">
        <v>1250</v>
      </c>
      <c r="H58" t="inlineStr"/>
      <c r="I58" t="inlineStr">
        <is>
          <t>_(* #,##0_);_(* \(#,##0\);_(* "-"??_);_(@_)</t>
        </is>
      </c>
      <c r="J58" t="b">
        <v>0</v>
      </c>
      <c r="K58" t="b">
        <v>0</v>
      </c>
      <c r="L58" t="n">
        <v>11</v>
      </c>
      <c r="M58" t="inlineStr">
        <is>
          <t>FF000000</t>
        </is>
      </c>
      <c r="N58" t="inlineStr">
        <is>
          <t>00000000</t>
        </is>
      </c>
      <c r="O58" t="n">
        <v/>
      </c>
      <c r="P58" t="n">
        <v/>
      </c>
      <c r="R58" t="b">
        <v>1</v>
      </c>
      <c r="S58" t="n">
        <v/>
      </c>
      <c r="T58" t="n">
        <v/>
      </c>
      <c r="U58" t="n">
        <v/>
      </c>
      <c r="V58" t="b">
        <v>0</v>
      </c>
      <c r="W58" t="inlineStr"/>
      <c r="X58" t="n">
        <v/>
      </c>
    </row>
    <row r="59">
      <c r="A59" t="inlineStr">
        <is>
          <t>DuPoint Analysis</t>
        </is>
      </c>
      <c r="B59" t="inlineStr">
        <is>
          <t>E8</t>
        </is>
      </c>
      <c r="C59" t="n">
        <v>8</v>
      </c>
      <c r="D59" t="n">
        <v>5</v>
      </c>
      <c r="E59" t="inlineStr">
        <is>
          <t>Input</t>
        </is>
      </c>
      <c r="F59" t="n">
        <v/>
      </c>
      <c r="G59" t="n">
        <v>9368</v>
      </c>
      <c r="H59" t="inlineStr"/>
      <c r="I59" t="inlineStr">
        <is>
          <t>_(* #,##0_);_(* \(#,##0\);_(* "-"??_);_(@_)</t>
        </is>
      </c>
      <c r="J59" t="b">
        <v>0</v>
      </c>
      <c r="K59" t="b">
        <v>0</v>
      </c>
      <c r="L59" t="n">
        <v>11</v>
      </c>
      <c r="M59" t="inlineStr">
        <is>
          <t>FF000000</t>
        </is>
      </c>
      <c r="N59" t="inlineStr">
        <is>
          <t>00000000</t>
        </is>
      </c>
      <c r="O59" t="n">
        <v/>
      </c>
      <c r="P59" t="n">
        <v/>
      </c>
      <c r="R59" t="b">
        <v>1</v>
      </c>
      <c r="S59" t="n">
        <v/>
      </c>
      <c r="T59" t="n">
        <v/>
      </c>
      <c r="U59" t="n">
        <v/>
      </c>
      <c r="V59" t="b">
        <v>0</v>
      </c>
      <c r="W59" t="inlineStr"/>
      <c r="X59" t="n">
        <v/>
      </c>
    </row>
    <row r="60">
      <c r="A60" t="inlineStr">
        <is>
          <t>DuPoint Analysis</t>
        </is>
      </c>
      <c r="B60" t="inlineStr">
        <is>
          <t>F8</t>
        </is>
      </c>
      <c r="C60" t="n">
        <v>8</v>
      </c>
      <c r="D60" t="n">
        <v>6</v>
      </c>
      <c r="E60" t="inlineStr">
        <is>
          <t>Input</t>
        </is>
      </c>
      <c r="F60" t="n">
        <v/>
      </c>
      <c r="G60" t="n">
        <v>9117</v>
      </c>
      <c r="H60" t="inlineStr"/>
      <c r="I60" t="inlineStr">
        <is>
          <t>_(* #,##0_);_(* \(#,##0\);_(* "-"??_);_(@_)</t>
        </is>
      </c>
      <c r="J60" t="b">
        <v>0</v>
      </c>
      <c r="K60" t="b">
        <v>0</v>
      </c>
      <c r="L60" t="n">
        <v>11</v>
      </c>
      <c r="M60" t="inlineStr">
        <is>
          <t>FF000000</t>
        </is>
      </c>
      <c r="N60" t="inlineStr">
        <is>
          <t>00000000</t>
        </is>
      </c>
      <c r="O60" t="n">
        <v/>
      </c>
      <c r="P60" t="n">
        <v/>
      </c>
      <c r="R60" t="b">
        <v>1</v>
      </c>
      <c r="S60" t="n">
        <v/>
      </c>
      <c r="T60" t="n">
        <v/>
      </c>
      <c r="U60" t="n">
        <v/>
      </c>
      <c r="V60" t="b">
        <v>0</v>
      </c>
      <c r="W60" t="inlineStr"/>
      <c r="X60" t="n">
        <v/>
      </c>
    </row>
    <row r="61">
      <c r="A61" t="inlineStr">
        <is>
          <t>DuPoint Analysis</t>
        </is>
      </c>
      <c r="B61" t="inlineStr">
        <is>
          <t>G8</t>
        </is>
      </c>
      <c r="C61" t="n">
        <v>8</v>
      </c>
      <c r="D61" t="n">
        <v>7</v>
      </c>
      <c r="E61" t="inlineStr">
        <is>
          <t>Input</t>
        </is>
      </c>
      <c r="F61" t="n">
        <v/>
      </c>
      <c r="G61" t="n">
        <v>10240</v>
      </c>
      <c r="H61" t="inlineStr"/>
      <c r="I61" t="inlineStr">
        <is>
          <t>_(* #,##0_);_(* \(#,##0\);_(* "-"??_);_(@_)</t>
        </is>
      </c>
      <c r="J61" t="b">
        <v>0</v>
      </c>
      <c r="K61" t="b">
        <v>0</v>
      </c>
      <c r="L61" t="n">
        <v>11</v>
      </c>
      <c r="M61" t="inlineStr">
        <is>
          <t>FF000000</t>
        </is>
      </c>
      <c r="N61" t="inlineStr">
        <is>
          <t>00000000</t>
        </is>
      </c>
      <c r="O61" t="n">
        <v/>
      </c>
      <c r="P61" t="n">
        <v/>
      </c>
      <c r="R61" t="b">
        <v>1</v>
      </c>
      <c r="S61" t="n">
        <v/>
      </c>
      <c r="T61" t="n">
        <v/>
      </c>
      <c r="U61" t="n">
        <v/>
      </c>
      <c r="V61" t="b">
        <v>0</v>
      </c>
      <c r="W61" t="inlineStr"/>
      <c r="X61" t="n">
        <v/>
      </c>
    </row>
    <row r="62">
      <c r="A62" t="inlineStr">
        <is>
          <t>DuPoint Analysis</t>
        </is>
      </c>
      <c r="B62" t="inlineStr">
        <is>
          <t>H8</t>
        </is>
      </c>
      <c r="C62" t="n">
        <v>8</v>
      </c>
      <c r="D62" t="n">
        <v>8</v>
      </c>
      <c r="E62" t="inlineStr">
        <is>
          <t>Input</t>
        </is>
      </c>
      <c r="F62" t="n">
        <v/>
      </c>
      <c r="G62" t="n">
        <v>19567</v>
      </c>
      <c r="H62" t="inlineStr"/>
      <c r="I62" t="inlineStr">
        <is>
          <t>_(* #,##0_);_(* \(#,##0\);_(* "-"??_);_(@_)</t>
        </is>
      </c>
      <c r="J62" t="b">
        <v>0</v>
      </c>
      <c r="K62" t="b">
        <v>0</v>
      </c>
      <c r="L62" t="n">
        <v>11</v>
      </c>
      <c r="M62" t="inlineStr">
        <is>
          <t>FF000000</t>
        </is>
      </c>
      <c r="N62" t="inlineStr">
        <is>
          <t>00000000</t>
        </is>
      </c>
      <c r="O62" t="n">
        <v/>
      </c>
      <c r="P62" t="n">
        <v/>
      </c>
      <c r="R62" t="b">
        <v>1</v>
      </c>
      <c r="S62" t="n">
        <v/>
      </c>
      <c r="T62" t="n">
        <v/>
      </c>
      <c r="U62" t="n">
        <v/>
      </c>
      <c r="V62" t="b">
        <v>0</v>
      </c>
      <c r="W62" t="inlineStr"/>
      <c r="X62" t="n">
        <v/>
      </c>
    </row>
    <row r="63">
      <c r="A63" t="inlineStr">
        <is>
          <t>DuPoint Analysis</t>
        </is>
      </c>
      <c r="B63" t="inlineStr">
        <is>
          <t>I8</t>
        </is>
      </c>
      <c r="C63" t="n">
        <v>8</v>
      </c>
      <c r="D63" t="n">
        <v>9</v>
      </c>
      <c r="E63" t="inlineStr">
        <is>
          <t>Input</t>
        </is>
      </c>
      <c r="F63" t="n">
        <v/>
      </c>
      <c r="G63" t="n">
        <v>19139</v>
      </c>
      <c r="H63" t="inlineStr"/>
      <c r="I63" t="inlineStr">
        <is>
          <t>_(* #,##0_);_(* \(#,##0\);_(* "-"??_);_(@_)</t>
        </is>
      </c>
      <c r="J63" t="b">
        <v>0</v>
      </c>
      <c r="K63" t="b">
        <v>0</v>
      </c>
      <c r="L63" t="n">
        <v>11</v>
      </c>
      <c r="M63" t="inlineStr">
        <is>
          <t>FF000000</t>
        </is>
      </c>
      <c r="N63" t="inlineStr">
        <is>
          <t>00000000</t>
        </is>
      </c>
      <c r="O63" t="n">
        <v/>
      </c>
      <c r="P63" t="n">
        <v/>
      </c>
      <c r="R63" t="b">
        <v>1</v>
      </c>
      <c r="S63" t="n">
        <v/>
      </c>
      <c r="T63" t="n">
        <v/>
      </c>
      <c r="U63" t="n">
        <v/>
      </c>
      <c r="V63" t="b">
        <v>0</v>
      </c>
      <c r="W63" t="inlineStr"/>
      <c r="X63" t="n">
        <v/>
      </c>
    </row>
    <row r="64">
      <c r="A64" t="inlineStr">
        <is>
          <t>DuPoint Analysis</t>
        </is>
      </c>
      <c r="B64" t="inlineStr">
        <is>
          <t>J8</t>
        </is>
      </c>
      <c r="C64" t="n">
        <v>8</v>
      </c>
      <c r="D64" t="n">
        <v>10</v>
      </c>
      <c r="E64" t="inlineStr">
        <is>
          <t>Input</t>
        </is>
      </c>
      <c r="F64" t="n">
        <v/>
      </c>
      <c r="G64" t="n">
        <v>19124</v>
      </c>
      <c r="H64" t="inlineStr"/>
      <c r="I64" t="inlineStr">
        <is>
          <t>_(* #,##0_);_(* \(#,##0\);_(* "-"??_);_(@_)</t>
        </is>
      </c>
      <c r="J64" t="b">
        <v>0</v>
      </c>
      <c r="K64" t="b">
        <v>0</v>
      </c>
      <c r="L64" t="n">
        <v>11</v>
      </c>
      <c r="M64" t="inlineStr">
        <is>
          <t>FF000000</t>
        </is>
      </c>
      <c r="N64" t="inlineStr">
        <is>
          <t>00000000</t>
        </is>
      </c>
      <c r="O64" t="n">
        <v/>
      </c>
      <c r="P64" t="n">
        <v/>
      </c>
      <c r="R64" t="b">
        <v>1</v>
      </c>
      <c r="S64" t="n">
        <v/>
      </c>
      <c r="T64" t="n">
        <v/>
      </c>
      <c r="U64" t="n">
        <v/>
      </c>
      <c r="V64" t="b">
        <v>0</v>
      </c>
      <c r="W64" t="inlineStr"/>
      <c r="X64" t="n">
        <v/>
      </c>
    </row>
    <row r="65">
      <c r="A65" t="inlineStr">
        <is>
          <t>DuPoint Analysis</t>
        </is>
      </c>
      <c r="B65" t="inlineStr">
        <is>
          <t>K8</t>
        </is>
      </c>
      <c r="C65" t="n">
        <v>8</v>
      </c>
      <c r="D65" t="n">
        <v>11</v>
      </c>
      <c r="E65" t="inlineStr">
        <is>
          <t>Input</t>
        </is>
      </c>
      <c r="F65" t="n">
        <v/>
      </c>
      <c r="G65" t="n">
        <v>26249.33</v>
      </c>
      <c r="H65" t="inlineStr"/>
      <c r="I65" t="inlineStr">
        <is>
          <t>_(* #,##0_);_(* \(#,##0\);_(* "-"??_);_(@_)</t>
        </is>
      </c>
      <c r="J65" t="b">
        <v>0</v>
      </c>
      <c r="K65" t="b">
        <v>0</v>
      </c>
      <c r="L65" t="n">
        <v>11</v>
      </c>
      <c r="M65" t="inlineStr">
        <is>
          <t>FF000000</t>
        </is>
      </c>
      <c r="N65" t="inlineStr">
        <is>
          <t>00000000</t>
        </is>
      </c>
      <c r="O65" t="n">
        <v/>
      </c>
      <c r="P65" t="n">
        <v/>
      </c>
      <c r="R65" t="b">
        <v>1</v>
      </c>
      <c r="S65" t="n">
        <v/>
      </c>
      <c r="T65" t="n">
        <v/>
      </c>
      <c r="U65" t="n">
        <v/>
      </c>
      <c r="V65" t="b">
        <v>0</v>
      </c>
      <c r="W65" t="inlineStr"/>
      <c r="X65" t="n">
        <v/>
      </c>
    </row>
    <row r="66">
      <c r="A66" t="inlineStr">
        <is>
          <t>DuPoint Analysis</t>
        </is>
      </c>
      <c r="B66" t="inlineStr">
        <is>
          <t>L8</t>
        </is>
      </c>
      <c r="C66" t="n">
        <v>8</v>
      </c>
      <c r="D66" t="n">
        <v>12</v>
      </c>
      <c r="E66" t="inlineStr">
        <is>
          <t>Input</t>
        </is>
      </c>
      <c r="F66" t="n">
        <v/>
      </c>
      <c r="G66" t="n">
        <v>19356.87</v>
      </c>
      <c r="H66" t="inlineStr"/>
      <c r="I66" t="inlineStr">
        <is>
          <t>_(* #,##0_);_(* \(#,##0\);_(* "-"??_);_(@_)</t>
        </is>
      </c>
      <c r="J66" t="b">
        <v>0</v>
      </c>
      <c r="K66" t="b">
        <v>0</v>
      </c>
      <c r="L66" t="n">
        <v>11</v>
      </c>
      <c r="M66" t="inlineStr">
        <is>
          <t>FF000000</t>
        </is>
      </c>
      <c r="N66" t="inlineStr">
        <is>
          <t>00000000</t>
        </is>
      </c>
      <c r="O66" t="n">
        <v/>
      </c>
      <c r="P66" t="n">
        <v/>
      </c>
      <c r="R66" t="b">
        <v>1</v>
      </c>
      <c r="S66" t="n">
        <v/>
      </c>
      <c r="T66" t="n">
        <v/>
      </c>
      <c r="U66" t="n">
        <v/>
      </c>
      <c r="V66" t="b">
        <v>0</v>
      </c>
      <c r="W66" t="inlineStr"/>
      <c r="X66" t="n">
        <v/>
      </c>
    </row>
    <row r="67">
      <c r="A67" t="inlineStr">
        <is>
          <t>DuPoint Analysis</t>
        </is>
      </c>
      <c r="B67" t="inlineStr">
        <is>
          <t>M8</t>
        </is>
      </c>
      <c r="C67" t="n">
        <v>8</v>
      </c>
      <c r="D67" t="n">
        <v>13</v>
      </c>
      <c r="E67" t="inlineStr">
        <is>
          <t>Input</t>
        </is>
      </c>
      <c r="F67" t="n">
        <v/>
      </c>
      <c r="G67" t="n">
        <v>19973.21</v>
      </c>
      <c r="H67" t="inlineStr"/>
      <c r="I67" t="inlineStr">
        <is>
          <t>_(* #,##0_);_(* \(#,##0\);_(* "-"??_);_(@_)</t>
        </is>
      </c>
      <c r="J67" t="b">
        <v>0</v>
      </c>
      <c r="K67" t="b">
        <v>0</v>
      </c>
      <c r="L67" t="n">
        <v>11</v>
      </c>
      <c r="M67" t="inlineStr">
        <is>
          <t>FF000000</t>
        </is>
      </c>
      <c r="N67" t="inlineStr">
        <is>
          <t>00000000</t>
        </is>
      </c>
      <c r="O67" t="n">
        <v/>
      </c>
      <c r="P67" t="n">
        <v/>
      </c>
      <c r="R67" t="b">
        <v>1</v>
      </c>
      <c r="S67" t="n">
        <v/>
      </c>
      <c r="T67" t="n">
        <v/>
      </c>
      <c r="U67" t="n">
        <v/>
      </c>
      <c r="V67" t="b">
        <v>0</v>
      </c>
      <c r="W67" t="inlineStr"/>
      <c r="X67" t="n">
        <v/>
      </c>
    </row>
    <row r="68">
      <c r="A68" t="inlineStr">
        <is>
          <t>DuPoint Analysis</t>
        </is>
      </c>
      <c r="B68" t="inlineStr">
        <is>
          <t>A9</t>
        </is>
      </c>
      <c r="C68" t="n">
        <v>9</v>
      </c>
      <c r="D68" t="n">
        <v>1</v>
      </c>
      <c r="E68" t="inlineStr">
        <is>
          <t>Input</t>
        </is>
      </c>
      <c r="F68" t="n">
        <v/>
      </c>
      <c r="G68" t="inlineStr">
        <is>
          <t>ACC</t>
        </is>
      </c>
      <c r="H68" t="inlineStr"/>
      <c r="I68" t="inlineStr">
        <is>
          <t>General</t>
        </is>
      </c>
      <c r="J68" t="b">
        <v>0</v>
      </c>
      <c r="K68" t="b">
        <v>0</v>
      </c>
      <c r="L68" t="n">
        <v>11</v>
      </c>
      <c r="M68" t="inlineStr">
        <is>
          <t>FF000000</t>
        </is>
      </c>
      <c r="N68" t="inlineStr">
        <is>
          <t>00000000</t>
        </is>
      </c>
      <c r="O68" t="n">
        <v/>
      </c>
      <c r="P68" t="n">
        <v/>
      </c>
      <c r="R68" t="b">
        <v>1</v>
      </c>
      <c r="S68" t="n">
        <v/>
      </c>
      <c r="T68" t="n">
        <v/>
      </c>
      <c r="U68" t="n">
        <v/>
      </c>
      <c r="V68" t="b">
        <v>0</v>
      </c>
      <c r="W68" t="inlineStr"/>
      <c r="X68" t="n">
        <v/>
      </c>
    </row>
    <row r="69">
      <c r="A69" t="inlineStr">
        <is>
          <t>DuPoint Analysis</t>
        </is>
      </c>
      <c r="B69" t="inlineStr">
        <is>
          <t>B9</t>
        </is>
      </c>
      <c r="C69" t="n">
        <v>9</v>
      </c>
      <c r="D69" t="n">
        <v>2</v>
      </c>
      <c r="E69" t="inlineStr">
        <is>
          <t>Input</t>
        </is>
      </c>
      <c r="F69" t="n">
        <v/>
      </c>
      <c r="G69" t="n">
        <v>587.3200000000001</v>
      </c>
      <c r="H69" t="inlineStr"/>
      <c r="I69" t="inlineStr">
        <is>
          <t>_(* #,##0_);_(* \(#,##0\);_(* "-"??_);_(@_)</t>
        </is>
      </c>
      <c r="J69" t="b">
        <v>0</v>
      </c>
      <c r="K69" t="b">
        <v>0</v>
      </c>
      <c r="L69" t="n">
        <v>11</v>
      </c>
      <c r="M69" t="inlineStr">
        <is>
          <t>FF000000</t>
        </is>
      </c>
      <c r="N69" t="inlineStr">
        <is>
          <t>00000000</t>
        </is>
      </c>
      <c r="O69" t="n">
        <v/>
      </c>
      <c r="P69" t="n">
        <v/>
      </c>
      <c r="R69" t="b">
        <v>1</v>
      </c>
      <c r="S69" t="n">
        <v/>
      </c>
      <c r="T69" t="n">
        <v/>
      </c>
      <c r="U69" t="n">
        <v/>
      </c>
      <c r="V69" t="b">
        <v>0</v>
      </c>
      <c r="W69" t="inlineStr"/>
      <c r="X69" t="n">
        <v/>
      </c>
    </row>
    <row r="70">
      <c r="A70" t="inlineStr">
        <is>
          <t>DuPoint Analysis</t>
        </is>
      </c>
      <c r="B70" t="inlineStr">
        <is>
          <t>C9</t>
        </is>
      </c>
      <c r="C70" t="n">
        <v>9</v>
      </c>
      <c r="D70" t="n">
        <v>3</v>
      </c>
      <c r="E70" t="inlineStr">
        <is>
          <t>Input</t>
        </is>
      </c>
      <c r="F70" t="n">
        <v/>
      </c>
      <c r="G70" t="n">
        <v>658.42</v>
      </c>
      <c r="H70" t="inlineStr"/>
      <c r="I70" t="inlineStr">
        <is>
          <t>_(* #,##0_);_(* \(#,##0\);_(* "-"??_);_(@_)</t>
        </is>
      </c>
      <c r="J70" t="b">
        <v>0</v>
      </c>
      <c r="K70" t="b">
        <v>0</v>
      </c>
      <c r="L70" t="n">
        <v>11</v>
      </c>
      <c r="M70" t="inlineStr">
        <is>
          <t>FF000000</t>
        </is>
      </c>
      <c r="N70" t="inlineStr">
        <is>
          <t>00000000</t>
        </is>
      </c>
      <c r="O70" t="n">
        <v/>
      </c>
      <c r="P70" t="n">
        <v/>
      </c>
      <c r="R70" t="b">
        <v>1</v>
      </c>
      <c r="S70" t="n">
        <v/>
      </c>
      <c r="T70" t="n">
        <v/>
      </c>
      <c r="U70" t="n">
        <v/>
      </c>
      <c r="V70" t="b">
        <v>0</v>
      </c>
      <c r="W70" t="inlineStr"/>
      <c r="X70" t="n">
        <v/>
      </c>
    </row>
    <row r="71">
      <c r="A71" t="inlineStr">
        <is>
          <t>DuPoint Analysis</t>
        </is>
      </c>
      <c r="B71" t="inlineStr">
        <is>
          <t>D9</t>
        </is>
      </c>
      <c r="C71" t="n">
        <v>9</v>
      </c>
      <c r="D71" t="n">
        <v>4</v>
      </c>
      <c r="E71" t="inlineStr">
        <is>
          <t>Input</t>
        </is>
      </c>
      <c r="F71" t="n">
        <v/>
      </c>
      <c r="G71" t="n">
        <v>924.51</v>
      </c>
      <c r="H71" t="inlineStr"/>
      <c r="I71" t="inlineStr">
        <is>
          <t>_(* #,##0_);_(* \(#,##0\);_(* "-"??_);_(@_)</t>
        </is>
      </c>
      <c r="J71" t="b">
        <v>0</v>
      </c>
      <c r="K71" t="b">
        <v>0</v>
      </c>
      <c r="L71" t="n">
        <v>11</v>
      </c>
      <c r="M71" t="inlineStr">
        <is>
          <t>FF000000</t>
        </is>
      </c>
      <c r="N71" t="inlineStr">
        <is>
          <t>00000000</t>
        </is>
      </c>
      <c r="O71" t="n">
        <v/>
      </c>
      <c r="P71" t="n">
        <v/>
      </c>
      <c r="R71" t="b">
        <v>1</v>
      </c>
      <c r="S71" t="n">
        <v/>
      </c>
      <c r="T71" t="n">
        <v/>
      </c>
      <c r="U71" t="n">
        <v/>
      </c>
      <c r="V71" t="b">
        <v>0</v>
      </c>
      <c r="W71" t="inlineStr"/>
      <c r="X71" t="n">
        <v/>
      </c>
    </row>
    <row r="72">
      <c r="A72" t="inlineStr">
        <is>
          <t>DuPoint Analysis</t>
        </is>
      </c>
      <c r="B72" t="inlineStr">
        <is>
          <t>E9</t>
        </is>
      </c>
      <c r="C72" t="n">
        <v>9</v>
      </c>
      <c r="D72" t="n">
        <v>5</v>
      </c>
      <c r="E72" t="inlineStr">
        <is>
          <t>Input</t>
        </is>
      </c>
      <c r="F72" t="n">
        <v/>
      </c>
      <c r="G72" t="n">
        <v>13360</v>
      </c>
      <c r="H72" t="inlineStr"/>
      <c r="I72" t="inlineStr">
        <is>
          <t>_(* #,##0_);_(* \(#,##0\);_(* "-"??_);_(@_)</t>
        </is>
      </c>
      <c r="J72" t="b">
        <v>0</v>
      </c>
      <c r="K72" t="b">
        <v>0</v>
      </c>
      <c r="L72" t="n">
        <v>11</v>
      </c>
      <c r="M72" t="inlineStr">
        <is>
          <t>FF000000</t>
        </is>
      </c>
      <c r="N72" t="inlineStr">
        <is>
          <t>00000000</t>
        </is>
      </c>
      <c r="O72" t="n">
        <v/>
      </c>
      <c r="P72" t="n">
        <v/>
      </c>
      <c r="R72" t="b">
        <v>1</v>
      </c>
      <c r="S72" t="n">
        <v/>
      </c>
      <c r="T72" t="n">
        <v/>
      </c>
      <c r="U72" t="n">
        <v/>
      </c>
      <c r="V72" t="b">
        <v>0</v>
      </c>
      <c r="W72" t="inlineStr"/>
      <c r="X72" t="n">
        <v/>
      </c>
    </row>
    <row r="73">
      <c r="A73" t="inlineStr">
        <is>
          <t>DuPoint Analysis</t>
        </is>
      </c>
      <c r="B73" t="inlineStr">
        <is>
          <t>F9</t>
        </is>
      </c>
      <c r="C73" t="n">
        <v>9</v>
      </c>
      <c r="D73" t="n">
        <v>6</v>
      </c>
      <c r="E73" t="inlineStr">
        <is>
          <t>Input</t>
        </is>
      </c>
      <c r="F73" t="n">
        <v/>
      </c>
      <c r="G73" t="n">
        <v>12646.2</v>
      </c>
      <c r="H73" t="inlineStr"/>
      <c r="I73" t="inlineStr">
        <is>
          <t>_(* #,##0_);_(* \(#,##0\);_(* "-"??_);_(@_)</t>
        </is>
      </c>
      <c r="J73" t="b">
        <v>0</v>
      </c>
      <c r="K73" t="b">
        <v>0</v>
      </c>
      <c r="L73" t="n">
        <v>11</v>
      </c>
      <c r="M73" t="inlineStr">
        <is>
          <t>FF000000</t>
        </is>
      </c>
      <c r="N73" t="inlineStr">
        <is>
          <t>00000000</t>
        </is>
      </c>
      <c r="O73" t="n">
        <v/>
      </c>
      <c r="P73" t="n">
        <v/>
      </c>
      <c r="R73" t="b">
        <v>1</v>
      </c>
      <c r="S73" t="n">
        <v/>
      </c>
      <c r="T73" t="n">
        <v/>
      </c>
      <c r="U73" t="n">
        <v/>
      </c>
      <c r="V73" t="b">
        <v>0</v>
      </c>
      <c r="W73" t="inlineStr"/>
      <c r="X73" t="n">
        <v/>
      </c>
    </row>
    <row r="74">
      <c r="A74" t="inlineStr">
        <is>
          <t>DuPoint Analysis</t>
        </is>
      </c>
      <c r="B74" t="inlineStr">
        <is>
          <t>G9</t>
        </is>
      </c>
      <c r="C74" t="n">
        <v>9</v>
      </c>
      <c r="D74" t="n">
        <v>7</v>
      </c>
      <c r="E74" t="inlineStr">
        <is>
          <t>Input</t>
        </is>
      </c>
      <c r="F74" t="n">
        <v/>
      </c>
      <c r="G74" t="n">
        <v>14329.58</v>
      </c>
      <c r="H74" t="inlineStr"/>
      <c r="I74" t="inlineStr">
        <is>
          <t>_(* #,##0_);_(* \(#,##0\);_(* "-"??_);_(@_)</t>
        </is>
      </c>
      <c r="J74" t="b">
        <v>0</v>
      </c>
      <c r="K74" t="b">
        <v>0</v>
      </c>
      <c r="L74" t="n">
        <v>11</v>
      </c>
      <c r="M74" t="inlineStr">
        <is>
          <t>FF000000</t>
        </is>
      </c>
      <c r="N74" t="inlineStr">
        <is>
          <t>00000000</t>
        </is>
      </c>
      <c r="O74" t="n">
        <v/>
      </c>
      <c r="P74" t="n">
        <v/>
      </c>
      <c r="R74" t="b">
        <v>1</v>
      </c>
      <c r="S74" t="n">
        <v/>
      </c>
      <c r="T74" t="n">
        <v/>
      </c>
      <c r="U74" t="n">
        <v/>
      </c>
      <c r="V74" t="b">
        <v>0</v>
      </c>
      <c r="W74" t="inlineStr"/>
      <c r="X74" t="n">
        <v/>
      </c>
    </row>
    <row r="75">
      <c r="A75" t="inlineStr">
        <is>
          <t>DuPoint Analysis</t>
        </is>
      </c>
      <c r="B75" t="inlineStr">
        <is>
          <t>H9</t>
        </is>
      </c>
      <c r="C75" t="n">
        <v>9</v>
      </c>
      <c r="D75" t="n">
        <v>8</v>
      </c>
      <c r="E75" t="inlineStr">
        <is>
          <t>Input</t>
        </is>
      </c>
      <c r="F75" t="n">
        <v/>
      </c>
      <c r="G75" t="n">
        <v>9396.32</v>
      </c>
      <c r="H75" t="inlineStr"/>
      <c r="I75" t="inlineStr">
        <is>
          <t>_(* #,##0_);_(* \(#,##0\);_(* "-"??_);_(@_)</t>
        </is>
      </c>
      <c r="J75" t="b">
        <v>0</v>
      </c>
      <c r="K75" t="b">
        <v>0</v>
      </c>
      <c r="L75" t="n">
        <v>11</v>
      </c>
      <c r="M75" t="inlineStr">
        <is>
          <t>FF000000</t>
        </is>
      </c>
      <c r="N75" t="inlineStr">
        <is>
          <t>00000000</t>
        </is>
      </c>
      <c r="O75" t="n">
        <v/>
      </c>
      <c r="P75" t="n">
        <v/>
      </c>
      <c r="R75" t="b">
        <v>1</v>
      </c>
      <c r="S75" t="n">
        <v/>
      </c>
      <c r="T75" t="n">
        <v/>
      </c>
      <c r="U75" t="n">
        <v/>
      </c>
      <c r="V75" t="b">
        <v>0</v>
      </c>
      <c r="W75" t="inlineStr"/>
      <c r="X75" t="n">
        <v/>
      </c>
    </row>
    <row r="76">
      <c r="A76" t="inlineStr">
        <is>
          <t>DuPoint Analysis</t>
        </is>
      </c>
      <c r="B76" t="inlineStr">
        <is>
          <t>I9</t>
        </is>
      </c>
      <c r="C76" t="n">
        <v>9</v>
      </c>
      <c r="D76" t="n">
        <v>9</v>
      </c>
      <c r="E76" t="inlineStr">
        <is>
          <t>Input</t>
        </is>
      </c>
      <c r="F76" t="n">
        <v/>
      </c>
      <c r="G76" t="n">
        <v>9289.219999999999</v>
      </c>
      <c r="H76" t="inlineStr"/>
      <c r="I76" t="inlineStr">
        <is>
          <t>_(* #,##0_);_(* \(#,##0\);_(* "-"??_);_(@_)</t>
        </is>
      </c>
      <c r="J76" t="b">
        <v>0</v>
      </c>
      <c r="K76" t="b">
        <v>0</v>
      </c>
      <c r="L76" t="n">
        <v>11</v>
      </c>
      <c r="M76" t="inlineStr">
        <is>
          <t>FF000000</t>
        </is>
      </c>
      <c r="N76" t="inlineStr">
        <is>
          <t>00000000</t>
        </is>
      </c>
      <c r="O76" t="n">
        <v/>
      </c>
      <c r="P76" t="n">
        <v/>
      </c>
      <c r="R76" t="b">
        <v>1</v>
      </c>
      <c r="S76" t="n">
        <v/>
      </c>
      <c r="T76" t="n">
        <v/>
      </c>
      <c r="U76" t="n">
        <v/>
      </c>
      <c r="V76" t="b">
        <v>0</v>
      </c>
      <c r="W76" t="inlineStr"/>
      <c r="X76" t="n">
        <v/>
      </c>
    </row>
    <row r="77">
      <c r="A77" t="inlineStr">
        <is>
          <t>DuPoint Analysis</t>
        </is>
      </c>
      <c r="B77" t="inlineStr">
        <is>
          <t>J9</t>
        </is>
      </c>
      <c r="C77" t="n">
        <v>9</v>
      </c>
      <c r="D77" t="n">
        <v>10</v>
      </c>
      <c r="E77" t="inlineStr">
        <is>
          <t>Input</t>
        </is>
      </c>
      <c r="F77" t="n">
        <v/>
      </c>
      <c r="G77" t="n">
        <v>9190.82</v>
      </c>
      <c r="H77" t="inlineStr"/>
      <c r="I77" t="inlineStr">
        <is>
          <t>_(* #,##0_);_(* \(#,##0\);_(* "-"??_);_(@_)</t>
        </is>
      </c>
      <c r="J77" t="b">
        <v>0</v>
      </c>
      <c r="K77" t="b">
        <v>0</v>
      </c>
      <c r="L77" t="n">
        <v>11</v>
      </c>
      <c r="M77" t="inlineStr">
        <is>
          <t>FF000000</t>
        </is>
      </c>
      <c r="N77" t="inlineStr">
        <is>
          <t>00000000</t>
        </is>
      </c>
      <c r="O77" t="n">
        <v/>
      </c>
      <c r="P77" t="n">
        <v/>
      </c>
      <c r="R77" t="b">
        <v>1</v>
      </c>
      <c r="S77" t="n">
        <v/>
      </c>
      <c r="T77" t="n">
        <v/>
      </c>
      <c r="U77" t="n">
        <v/>
      </c>
      <c r="V77" t="b">
        <v>0</v>
      </c>
      <c r="W77" t="inlineStr"/>
      <c r="X77" t="n">
        <v/>
      </c>
    </row>
    <row r="78">
      <c r="A78" t="inlineStr">
        <is>
          <t>DuPoint Analysis</t>
        </is>
      </c>
      <c r="B78" t="inlineStr">
        <is>
          <t>K9</t>
        </is>
      </c>
      <c r="C78" t="n">
        <v>9</v>
      </c>
      <c r="D78" t="n">
        <v>11</v>
      </c>
      <c r="E78" t="inlineStr">
        <is>
          <t>Input</t>
        </is>
      </c>
      <c r="F78" t="n">
        <v/>
      </c>
      <c r="G78" t="n">
        <v>8421.139999999999</v>
      </c>
      <c r="H78" t="inlineStr"/>
      <c r="I78" t="inlineStr">
        <is>
          <t>_(* #,##0_);_(* \(#,##0\);_(* "-"??_);_(@_)</t>
        </is>
      </c>
      <c r="J78" t="b">
        <v>0</v>
      </c>
      <c r="K78" t="b">
        <v>0</v>
      </c>
      <c r="L78" t="n">
        <v>11</v>
      </c>
      <c r="M78" t="inlineStr">
        <is>
          <t>FF000000</t>
        </is>
      </c>
      <c r="N78" t="inlineStr">
        <is>
          <t>00000000</t>
        </is>
      </c>
      <c r="O78" t="n">
        <v/>
      </c>
      <c r="P78" t="n">
        <v/>
      </c>
      <c r="R78" t="b">
        <v>1</v>
      </c>
      <c r="S78" t="n">
        <v/>
      </c>
      <c r="T78" t="n">
        <v/>
      </c>
      <c r="U78" t="n">
        <v/>
      </c>
      <c r="V78" t="b">
        <v>0</v>
      </c>
      <c r="W78" t="inlineStr"/>
      <c r="X78" t="n">
        <v/>
      </c>
    </row>
    <row r="79">
      <c r="A79" t="inlineStr">
        <is>
          <t>DuPoint Analysis</t>
        </is>
      </c>
      <c r="B79" t="inlineStr">
        <is>
          <t>L9</t>
        </is>
      </c>
      <c r="C79" t="n">
        <v>9</v>
      </c>
      <c r="D79" t="n">
        <v>12</v>
      </c>
      <c r="E79" t="inlineStr">
        <is>
          <t>Input</t>
        </is>
      </c>
      <c r="F79" t="n">
        <v/>
      </c>
      <c r="G79" t="n">
        <v>8816.209999999999</v>
      </c>
      <c r="H79" t="inlineStr"/>
      <c r="I79" t="inlineStr">
        <is>
          <t>_(* #,##0_);_(* \(#,##0\);_(* "-"??_);_(@_)</t>
        </is>
      </c>
      <c r="J79" t="b">
        <v>0</v>
      </c>
      <c r="K79" t="b">
        <v>0</v>
      </c>
      <c r="L79" t="n">
        <v>11</v>
      </c>
      <c r="M79" t="inlineStr">
        <is>
          <t>FF000000</t>
        </is>
      </c>
      <c r="N79" t="inlineStr">
        <is>
          <t>00000000</t>
        </is>
      </c>
      <c r="O79" t="n">
        <v/>
      </c>
      <c r="P79" t="n">
        <v/>
      </c>
      <c r="R79" t="b">
        <v>1</v>
      </c>
      <c r="S79" t="n">
        <v/>
      </c>
      <c r="T79" t="n">
        <v/>
      </c>
      <c r="U79" t="n">
        <v/>
      </c>
      <c r="V79" t="b">
        <v>0</v>
      </c>
      <c r="W79" t="inlineStr"/>
      <c r="X79" t="n">
        <v/>
      </c>
    </row>
    <row r="80">
      <c r="A80" t="inlineStr">
        <is>
          <t>DuPoint Analysis</t>
        </is>
      </c>
      <c r="B80" t="inlineStr">
        <is>
          <t>M9</t>
        </is>
      </c>
      <c r="C80" t="n">
        <v>9</v>
      </c>
      <c r="D80" t="n">
        <v>13</v>
      </c>
      <c r="E80" t="inlineStr">
        <is>
          <t>Input</t>
        </is>
      </c>
      <c r="F80" t="n">
        <v/>
      </c>
      <c r="G80" t="n">
        <v>9358.73</v>
      </c>
      <c r="H80" t="inlineStr"/>
      <c r="I80" t="inlineStr">
        <is>
          <t>_(* #,##0_);_(* \(#,##0\);_(* "-"??_);_(@_)</t>
        </is>
      </c>
      <c r="J80" t="b">
        <v>0</v>
      </c>
      <c r="K80" t="b">
        <v>0</v>
      </c>
      <c r="L80" t="n">
        <v>11</v>
      </c>
      <c r="M80" t="inlineStr">
        <is>
          <t>FF000000</t>
        </is>
      </c>
      <c r="N80" t="inlineStr">
        <is>
          <t>00000000</t>
        </is>
      </c>
      <c r="O80" t="n">
        <v/>
      </c>
      <c r="P80" t="n">
        <v/>
      </c>
      <c r="R80" t="b">
        <v>1</v>
      </c>
      <c r="S80" t="n">
        <v/>
      </c>
      <c r="T80" t="n">
        <v/>
      </c>
      <c r="U80" t="n">
        <v/>
      </c>
      <c r="V80" t="b">
        <v>0</v>
      </c>
      <c r="W80" t="inlineStr"/>
      <c r="X80" t="n">
        <v/>
      </c>
    </row>
    <row r="81">
      <c r="A81" t="inlineStr">
        <is>
          <t>DuPoint Analysis</t>
        </is>
      </c>
      <c r="B81" t="inlineStr">
        <is>
          <t>A12</t>
        </is>
      </c>
      <c r="C81" t="n">
        <v>12</v>
      </c>
      <c r="D81" t="n">
        <v>1</v>
      </c>
      <c r="E81" t="inlineStr">
        <is>
          <t>Input</t>
        </is>
      </c>
      <c r="F81" t="n">
        <v/>
      </c>
      <c r="G81" t="inlineStr">
        <is>
          <t>Cement Industry</t>
        </is>
      </c>
      <c r="H81" t="inlineStr"/>
      <c r="I81" t="inlineStr">
        <is>
          <t>General</t>
        </is>
      </c>
      <c r="J81" t="b">
        <v>0</v>
      </c>
      <c r="K81" t="b">
        <v>0</v>
      </c>
      <c r="L81" t="n">
        <v>11</v>
      </c>
      <c r="M81" t="inlineStr">
        <is>
          <t>FFFFFFFF</t>
        </is>
      </c>
      <c r="N81" t="inlineStr">
        <is>
          <t>FF002060</t>
        </is>
      </c>
      <c r="O81" t="inlineStr">
        <is>
          <t>center</t>
        </is>
      </c>
      <c r="P81" t="inlineStr">
        <is>
          <t>center</t>
        </is>
      </c>
      <c r="R81" t="b">
        <v>1</v>
      </c>
      <c r="S81" t="n">
        <v/>
      </c>
      <c r="T81" t="n">
        <v/>
      </c>
      <c r="U81" t="n">
        <v/>
      </c>
      <c r="V81" t="b">
        <v>0</v>
      </c>
      <c r="W81" t="inlineStr"/>
      <c r="X81" t="n">
        <v/>
      </c>
    </row>
    <row r="82">
      <c r="A82" t="inlineStr">
        <is>
          <t>DuPoint Analysis</t>
        </is>
      </c>
      <c r="B82" t="inlineStr">
        <is>
          <t>B12</t>
        </is>
      </c>
      <c r="C82" t="n">
        <v>12</v>
      </c>
      <c r="D82" t="n">
        <v>2</v>
      </c>
      <c r="E82" t="inlineStr">
        <is>
          <t>Input</t>
        </is>
      </c>
      <c r="F82" t="n">
        <v/>
      </c>
      <c r="G82" t="inlineStr">
        <is>
          <t>Net profit Margin</t>
        </is>
      </c>
      <c r="H82" t="inlineStr"/>
      <c r="I82" t="inlineStr">
        <is>
          <t>General</t>
        </is>
      </c>
      <c r="J82" t="b">
        <v>0</v>
      </c>
      <c r="K82" t="b">
        <v>0</v>
      </c>
      <c r="L82" t="n">
        <v>11</v>
      </c>
      <c r="M82" t="inlineStr">
        <is>
          <t>FFFFFFFF</t>
        </is>
      </c>
      <c r="N82" t="inlineStr">
        <is>
          <t>FF002060</t>
        </is>
      </c>
      <c r="O82" t="inlineStr">
        <is>
          <t>center</t>
        </is>
      </c>
      <c r="P82" t="n">
        <v/>
      </c>
      <c r="R82" t="b">
        <v>1</v>
      </c>
      <c r="S82" t="n">
        <v/>
      </c>
      <c r="T82" t="n">
        <v/>
      </c>
      <c r="U82" t="n">
        <v/>
      </c>
      <c r="V82" t="b">
        <v>0</v>
      </c>
      <c r="W82" t="inlineStr"/>
      <c r="X82" t="n">
        <v/>
      </c>
    </row>
    <row r="83">
      <c r="A83" t="inlineStr">
        <is>
          <t>DuPoint Analysis</t>
        </is>
      </c>
      <c r="B83" t="inlineStr">
        <is>
          <t>C12</t>
        </is>
      </c>
      <c r="C83" t="n">
        <v>12</v>
      </c>
      <c r="D83" t="n">
        <v>3</v>
      </c>
      <c r="E83" t="inlineStr">
        <is>
          <t>Input</t>
        </is>
      </c>
      <c r="F83" t="n">
        <v/>
      </c>
      <c r="H83" t="inlineStr"/>
      <c r="I83" t="inlineStr">
        <is>
          <t>General</t>
        </is>
      </c>
      <c r="J83" t="b">
        <v>0</v>
      </c>
      <c r="K83" t="b">
        <v>0</v>
      </c>
      <c r="L83" t="n">
        <v>11</v>
      </c>
      <c r="M83" t="inlineStr">
        <is>
          <t>FF000000</t>
        </is>
      </c>
      <c r="N83" t="inlineStr">
        <is>
          <t>00000000</t>
        </is>
      </c>
      <c r="O83" t="n">
        <v/>
      </c>
      <c r="P83" t="n">
        <v/>
      </c>
      <c r="R83" t="b">
        <v>0</v>
      </c>
      <c r="S83" t="n">
        <v/>
      </c>
      <c r="T83" t="n">
        <v/>
      </c>
      <c r="U83" t="n">
        <v/>
      </c>
      <c r="V83" t="b">
        <v>0</v>
      </c>
      <c r="W83" t="inlineStr"/>
      <c r="X83" t="n">
        <v/>
      </c>
    </row>
    <row r="84">
      <c r="A84" t="inlineStr">
        <is>
          <t>DuPoint Analysis</t>
        </is>
      </c>
      <c r="B84" t="inlineStr">
        <is>
          <t>D12</t>
        </is>
      </c>
      <c r="C84" t="n">
        <v>12</v>
      </c>
      <c r="D84" t="n">
        <v>4</v>
      </c>
      <c r="E84" t="inlineStr">
        <is>
          <t>Input</t>
        </is>
      </c>
      <c r="F84" t="n">
        <v/>
      </c>
      <c r="H84" t="inlineStr"/>
      <c r="I84" t="inlineStr">
        <is>
          <t>General</t>
        </is>
      </c>
      <c r="J84" t="b">
        <v>0</v>
      </c>
      <c r="K84" t="b">
        <v>0</v>
      </c>
      <c r="L84" t="n">
        <v>11</v>
      </c>
      <c r="M84" t="inlineStr">
        <is>
          <t>FF000000</t>
        </is>
      </c>
      <c r="N84" t="inlineStr">
        <is>
          <t>00000000</t>
        </is>
      </c>
      <c r="O84" t="n">
        <v/>
      </c>
      <c r="P84" t="n">
        <v/>
      </c>
      <c r="R84" t="b">
        <v>0</v>
      </c>
      <c r="S84" t="n">
        <v/>
      </c>
      <c r="T84" t="n">
        <v/>
      </c>
      <c r="U84" t="n">
        <v/>
      </c>
      <c r="V84" t="b">
        <v>0</v>
      </c>
      <c r="W84" t="inlineStr"/>
      <c r="X84" t="n">
        <v/>
      </c>
    </row>
    <row r="85">
      <c r="A85" t="inlineStr">
        <is>
          <t>DuPoint Analysis</t>
        </is>
      </c>
      <c r="B85" t="inlineStr">
        <is>
          <t>E12</t>
        </is>
      </c>
      <c r="C85" t="n">
        <v>12</v>
      </c>
      <c r="D85" t="n">
        <v>5</v>
      </c>
      <c r="E85" t="inlineStr">
        <is>
          <t>Input</t>
        </is>
      </c>
      <c r="F85" t="n">
        <v/>
      </c>
      <c r="G85" t="inlineStr">
        <is>
          <t>Sales/Assets</t>
        </is>
      </c>
      <c r="H85" t="inlineStr"/>
      <c r="I85" t="inlineStr">
        <is>
          <t>General</t>
        </is>
      </c>
      <c r="J85" t="b">
        <v>0</v>
      </c>
      <c r="K85" t="b">
        <v>0</v>
      </c>
      <c r="L85" t="n">
        <v>11</v>
      </c>
      <c r="M85" t="inlineStr">
        <is>
          <t>FFFFFFFF</t>
        </is>
      </c>
      <c r="N85" t="inlineStr">
        <is>
          <t>FF002060</t>
        </is>
      </c>
      <c r="O85" t="inlineStr">
        <is>
          <t>center</t>
        </is>
      </c>
      <c r="P85" t="n">
        <v/>
      </c>
      <c r="R85" t="b">
        <v>1</v>
      </c>
      <c r="S85" t="n">
        <v/>
      </c>
      <c r="T85" t="n">
        <v/>
      </c>
      <c r="U85" t="n">
        <v/>
      </c>
      <c r="V85" t="b">
        <v>0</v>
      </c>
      <c r="W85" t="inlineStr"/>
      <c r="X85" t="n">
        <v/>
      </c>
    </row>
    <row r="86">
      <c r="A86" t="inlineStr">
        <is>
          <t>DuPoint Analysis</t>
        </is>
      </c>
      <c r="B86" t="inlineStr">
        <is>
          <t>F12</t>
        </is>
      </c>
      <c r="C86" t="n">
        <v>12</v>
      </c>
      <c r="D86" t="n">
        <v>6</v>
      </c>
      <c r="E86" t="inlineStr">
        <is>
          <t>Input</t>
        </is>
      </c>
      <c r="F86" t="n">
        <v/>
      </c>
      <c r="H86" t="inlineStr"/>
      <c r="I86" t="inlineStr">
        <is>
          <t>General</t>
        </is>
      </c>
      <c r="J86" t="b">
        <v>0</v>
      </c>
      <c r="K86" t="b">
        <v>0</v>
      </c>
      <c r="L86" t="n">
        <v>11</v>
      </c>
      <c r="M86" t="inlineStr">
        <is>
          <t>FF000000</t>
        </is>
      </c>
      <c r="N86" t="inlineStr">
        <is>
          <t>00000000</t>
        </is>
      </c>
      <c r="O86" t="n">
        <v/>
      </c>
      <c r="P86" t="n">
        <v/>
      </c>
      <c r="R86" t="b">
        <v>0</v>
      </c>
      <c r="S86" t="n">
        <v/>
      </c>
      <c r="T86" t="n">
        <v/>
      </c>
      <c r="U86" t="n">
        <v/>
      </c>
      <c r="V86" t="b">
        <v>0</v>
      </c>
      <c r="W86" t="inlineStr"/>
      <c r="X86" t="n">
        <v/>
      </c>
    </row>
    <row r="87">
      <c r="A87" t="inlineStr">
        <is>
          <t>DuPoint Analysis</t>
        </is>
      </c>
      <c r="B87" t="inlineStr">
        <is>
          <t>G12</t>
        </is>
      </c>
      <c r="C87" t="n">
        <v>12</v>
      </c>
      <c r="D87" t="n">
        <v>7</v>
      </c>
      <c r="E87" t="inlineStr">
        <is>
          <t>Input</t>
        </is>
      </c>
      <c r="F87" t="n">
        <v/>
      </c>
      <c r="H87" t="inlineStr"/>
      <c r="I87" t="inlineStr">
        <is>
          <t>General</t>
        </is>
      </c>
      <c r="J87" t="b">
        <v>0</v>
      </c>
      <c r="K87" t="b">
        <v>0</v>
      </c>
      <c r="L87" t="n">
        <v>11</v>
      </c>
      <c r="M87" t="inlineStr">
        <is>
          <t>FF000000</t>
        </is>
      </c>
      <c r="N87" t="inlineStr">
        <is>
          <t>00000000</t>
        </is>
      </c>
      <c r="O87" t="n">
        <v/>
      </c>
      <c r="P87" t="n">
        <v/>
      </c>
      <c r="R87" t="b">
        <v>0</v>
      </c>
      <c r="S87" t="n">
        <v/>
      </c>
      <c r="T87" t="n">
        <v/>
      </c>
      <c r="U87" t="n">
        <v/>
      </c>
      <c r="V87" t="b">
        <v>0</v>
      </c>
      <c r="W87" t="inlineStr"/>
      <c r="X87" t="n">
        <v/>
      </c>
    </row>
    <row r="88">
      <c r="A88" t="inlineStr">
        <is>
          <t>DuPoint Analysis</t>
        </is>
      </c>
      <c r="B88" t="inlineStr">
        <is>
          <t>H12</t>
        </is>
      </c>
      <c r="C88" t="n">
        <v>12</v>
      </c>
      <c r="D88" t="n">
        <v>8</v>
      </c>
      <c r="E88" t="inlineStr">
        <is>
          <t>Input</t>
        </is>
      </c>
      <c r="F88" t="n">
        <v/>
      </c>
      <c r="G88" t="inlineStr">
        <is>
          <t>Assets/Equity</t>
        </is>
      </c>
      <c r="H88" t="inlineStr"/>
      <c r="I88" t="inlineStr">
        <is>
          <t>General</t>
        </is>
      </c>
      <c r="J88" t="b">
        <v>0</v>
      </c>
      <c r="K88" t="b">
        <v>0</v>
      </c>
      <c r="L88" t="n">
        <v>11</v>
      </c>
      <c r="M88" t="inlineStr">
        <is>
          <t>FFFFFFFF</t>
        </is>
      </c>
      <c r="N88" t="inlineStr">
        <is>
          <t>FF002060</t>
        </is>
      </c>
      <c r="O88" t="inlineStr">
        <is>
          <t>center</t>
        </is>
      </c>
      <c r="P88" t="n">
        <v/>
      </c>
      <c r="R88" t="b">
        <v>1</v>
      </c>
      <c r="S88" t="n">
        <v/>
      </c>
      <c r="T88" t="n">
        <v/>
      </c>
      <c r="U88" t="n">
        <v/>
      </c>
      <c r="V88" t="b">
        <v>0</v>
      </c>
      <c r="W88" t="inlineStr"/>
      <c r="X88" t="n">
        <v/>
      </c>
    </row>
    <row r="89">
      <c r="A89" t="inlineStr">
        <is>
          <t>DuPoint Analysis</t>
        </is>
      </c>
      <c r="B89" t="inlineStr">
        <is>
          <t>I12</t>
        </is>
      </c>
      <c r="C89" t="n">
        <v>12</v>
      </c>
      <c r="D89" t="n">
        <v>9</v>
      </c>
      <c r="E89" t="inlineStr">
        <is>
          <t>Input</t>
        </is>
      </c>
      <c r="F89" t="n">
        <v/>
      </c>
      <c r="H89" t="inlineStr"/>
      <c r="I89" t="inlineStr">
        <is>
          <t>General</t>
        </is>
      </c>
      <c r="J89" t="b">
        <v>0</v>
      </c>
      <c r="K89" t="b">
        <v>0</v>
      </c>
      <c r="L89" t="n">
        <v>11</v>
      </c>
      <c r="M89" t="inlineStr">
        <is>
          <t>FF000000</t>
        </is>
      </c>
      <c r="N89" t="inlineStr">
        <is>
          <t>00000000</t>
        </is>
      </c>
      <c r="O89" t="n">
        <v/>
      </c>
      <c r="P89" t="n">
        <v/>
      </c>
      <c r="R89" t="b">
        <v>0</v>
      </c>
      <c r="S89" t="n">
        <v/>
      </c>
      <c r="T89" t="n">
        <v/>
      </c>
      <c r="U89" t="n">
        <v/>
      </c>
      <c r="V89" t="b">
        <v>0</v>
      </c>
      <c r="W89" t="inlineStr"/>
      <c r="X89" t="n">
        <v/>
      </c>
    </row>
    <row r="90">
      <c r="A90" t="inlineStr">
        <is>
          <t>DuPoint Analysis</t>
        </is>
      </c>
      <c r="B90" t="inlineStr">
        <is>
          <t>J12</t>
        </is>
      </c>
      <c r="C90" t="n">
        <v>12</v>
      </c>
      <c r="D90" t="n">
        <v>10</v>
      </c>
      <c r="E90" t="inlineStr">
        <is>
          <t>Input</t>
        </is>
      </c>
      <c r="F90" t="n">
        <v/>
      </c>
      <c r="H90" t="inlineStr"/>
      <c r="I90" t="inlineStr">
        <is>
          <t>General</t>
        </is>
      </c>
      <c r="J90" t="b">
        <v>0</v>
      </c>
      <c r="K90" t="b">
        <v>0</v>
      </c>
      <c r="L90" t="n">
        <v>11</v>
      </c>
      <c r="M90" t="inlineStr">
        <is>
          <t>FF000000</t>
        </is>
      </c>
      <c r="N90" t="inlineStr">
        <is>
          <t>00000000</t>
        </is>
      </c>
      <c r="O90" t="n">
        <v/>
      </c>
      <c r="P90" t="n">
        <v/>
      </c>
      <c r="R90" t="b">
        <v>0</v>
      </c>
      <c r="S90" t="n">
        <v/>
      </c>
      <c r="T90" t="n">
        <v/>
      </c>
      <c r="U90" t="n">
        <v/>
      </c>
      <c r="V90" t="b">
        <v>0</v>
      </c>
      <c r="W90" t="inlineStr"/>
      <c r="X90" t="n">
        <v/>
      </c>
    </row>
    <row r="91">
      <c r="A91" t="inlineStr">
        <is>
          <t>DuPoint Analysis</t>
        </is>
      </c>
      <c r="B91" t="inlineStr">
        <is>
          <t>K12</t>
        </is>
      </c>
      <c r="C91" t="n">
        <v>12</v>
      </c>
      <c r="D91" t="n">
        <v>11</v>
      </c>
      <c r="E91" t="inlineStr">
        <is>
          <t>Input</t>
        </is>
      </c>
      <c r="F91" t="n">
        <v/>
      </c>
      <c r="G91" t="inlineStr">
        <is>
          <t>ROE</t>
        </is>
      </c>
      <c r="H91" t="inlineStr"/>
      <c r="I91" t="inlineStr">
        <is>
          <t>General</t>
        </is>
      </c>
      <c r="J91" t="b">
        <v>0</v>
      </c>
      <c r="K91" t="b">
        <v>0</v>
      </c>
      <c r="L91" t="n">
        <v>11</v>
      </c>
      <c r="M91" t="n">
        <v/>
      </c>
      <c r="N91" t="inlineStr">
        <is>
          <t>FFFFFF00</t>
        </is>
      </c>
      <c r="O91" t="inlineStr">
        <is>
          <t>center</t>
        </is>
      </c>
      <c r="P91" t="n">
        <v/>
      </c>
      <c r="R91" t="b">
        <v>1</v>
      </c>
      <c r="S91" t="n">
        <v/>
      </c>
      <c r="T91" t="n">
        <v/>
      </c>
      <c r="U91" t="n">
        <v/>
      </c>
      <c r="V91" t="b">
        <v>0</v>
      </c>
      <c r="W91" t="inlineStr"/>
      <c r="X91" t="n">
        <v/>
      </c>
    </row>
    <row r="92">
      <c r="A92" t="inlineStr">
        <is>
          <t>DuPoint Analysis</t>
        </is>
      </c>
      <c r="B92" t="inlineStr">
        <is>
          <t>L12</t>
        </is>
      </c>
      <c r="C92" t="n">
        <v>12</v>
      </c>
      <c r="D92" t="n">
        <v>12</v>
      </c>
      <c r="E92" t="inlineStr">
        <is>
          <t>Input</t>
        </is>
      </c>
      <c r="F92" t="n">
        <v/>
      </c>
      <c r="H92" t="inlineStr"/>
      <c r="I92" t="inlineStr">
        <is>
          <t>General</t>
        </is>
      </c>
      <c r="J92" t="b">
        <v>0</v>
      </c>
      <c r="K92" t="b">
        <v>0</v>
      </c>
      <c r="L92" t="n">
        <v>11</v>
      </c>
      <c r="M92" t="inlineStr">
        <is>
          <t>FF000000</t>
        </is>
      </c>
      <c r="N92" t="inlineStr">
        <is>
          <t>00000000</t>
        </is>
      </c>
      <c r="O92" t="n">
        <v/>
      </c>
      <c r="P92" t="n">
        <v/>
      </c>
      <c r="R92" t="b">
        <v>0</v>
      </c>
      <c r="S92" t="n">
        <v/>
      </c>
      <c r="T92" t="n">
        <v/>
      </c>
      <c r="U92" t="n">
        <v/>
      </c>
      <c r="V92" t="b">
        <v>0</v>
      </c>
      <c r="W92" t="inlineStr"/>
      <c r="X92" t="n">
        <v/>
      </c>
    </row>
    <row r="93">
      <c r="A93" t="inlineStr">
        <is>
          <t>DuPoint Analysis</t>
        </is>
      </c>
      <c r="B93" t="inlineStr">
        <is>
          <t>M12</t>
        </is>
      </c>
      <c r="C93" t="n">
        <v>12</v>
      </c>
      <c r="D93" t="n">
        <v>13</v>
      </c>
      <c r="E93" t="inlineStr">
        <is>
          <t>Input</t>
        </is>
      </c>
      <c r="F93" t="n">
        <v/>
      </c>
      <c r="H93" t="inlineStr"/>
      <c r="I93" t="inlineStr">
        <is>
          <t>General</t>
        </is>
      </c>
      <c r="J93" t="b">
        <v>0</v>
      </c>
      <c r="K93" t="b">
        <v>0</v>
      </c>
      <c r="L93" t="n">
        <v>11</v>
      </c>
      <c r="M93" t="inlineStr">
        <is>
          <t>FF000000</t>
        </is>
      </c>
      <c r="N93" t="inlineStr">
        <is>
          <t>00000000</t>
        </is>
      </c>
      <c r="O93" t="n">
        <v/>
      </c>
      <c r="P93" t="n">
        <v/>
      </c>
      <c r="R93" t="b">
        <v>0</v>
      </c>
      <c r="S93" t="n">
        <v/>
      </c>
      <c r="T93" t="n">
        <v/>
      </c>
      <c r="U93" t="n">
        <v/>
      </c>
      <c r="V93" t="b">
        <v>0</v>
      </c>
      <c r="W93" t="inlineStr"/>
      <c r="X93" t="n">
        <v/>
      </c>
    </row>
    <row r="94">
      <c r="A94" t="inlineStr">
        <is>
          <t>DuPoint Analysis</t>
        </is>
      </c>
      <c r="B94" t="inlineStr">
        <is>
          <t>A13</t>
        </is>
      </c>
      <c r="C94" t="n">
        <v>13</v>
      </c>
      <c r="D94" t="n">
        <v>1</v>
      </c>
      <c r="E94" t="inlineStr">
        <is>
          <t>Input</t>
        </is>
      </c>
      <c r="F94" t="n">
        <v/>
      </c>
      <c r="H94" t="inlineStr"/>
      <c r="I94" t="inlineStr">
        <is>
          <t>General</t>
        </is>
      </c>
      <c r="J94" t="b">
        <v>0</v>
      </c>
      <c r="K94" t="b">
        <v>0</v>
      </c>
      <c r="L94" t="n">
        <v>11</v>
      </c>
      <c r="M94" t="n">
        <v/>
      </c>
      <c r="N94" t="inlineStr">
        <is>
          <t>00000000</t>
        </is>
      </c>
      <c r="O94" t="n">
        <v/>
      </c>
      <c r="P94" t="n">
        <v/>
      </c>
      <c r="R94" t="b">
        <v>0</v>
      </c>
      <c r="S94" t="n">
        <v/>
      </c>
      <c r="T94" t="n">
        <v/>
      </c>
      <c r="U94" t="n">
        <v/>
      </c>
      <c r="V94" t="b">
        <v>0</v>
      </c>
      <c r="W94" t="inlineStr"/>
      <c r="X94" t="n">
        <v/>
      </c>
    </row>
    <row r="95">
      <c r="A95" t="inlineStr">
        <is>
          <t>DuPoint Analysis</t>
        </is>
      </c>
      <c r="B95" t="inlineStr">
        <is>
          <t>B13</t>
        </is>
      </c>
      <c r="C95" t="n">
        <v>13</v>
      </c>
      <c r="D95" t="n">
        <v>2</v>
      </c>
      <c r="E95" t="inlineStr">
        <is>
          <t>Input</t>
        </is>
      </c>
      <c r="F95" t="n">
        <v/>
      </c>
      <c r="G95" t="n">
        <v>2015</v>
      </c>
      <c r="H95" t="inlineStr"/>
      <c r="I95" t="inlineStr">
        <is>
          <t>General</t>
        </is>
      </c>
      <c r="J95" t="b">
        <v>0</v>
      </c>
      <c r="K95" t="b">
        <v>0</v>
      </c>
      <c r="L95" t="n">
        <v>11</v>
      </c>
      <c r="M95" t="inlineStr">
        <is>
          <t>FFFFFFFF</t>
        </is>
      </c>
      <c r="N95" t="inlineStr">
        <is>
          <t>FF002060</t>
        </is>
      </c>
      <c r="O95" t="inlineStr">
        <is>
          <t>center</t>
        </is>
      </c>
      <c r="P95" t="n">
        <v/>
      </c>
      <c r="R95" t="b">
        <v>1</v>
      </c>
      <c r="S95" t="n">
        <v/>
      </c>
      <c r="T95" t="n">
        <v/>
      </c>
      <c r="U95" t="n">
        <v/>
      </c>
      <c r="V95" t="b">
        <v>0</v>
      </c>
      <c r="W95" t="inlineStr"/>
      <c r="X95" t="n">
        <v/>
      </c>
    </row>
    <row r="96">
      <c r="A96" t="inlineStr">
        <is>
          <t>DuPoint Analysis</t>
        </is>
      </c>
      <c r="B96" t="inlineStr">
        <is>
          <t>C13</t>
        </is>
      </c>
      <c r="C96" t="n">
        <v>13</v>
      </c>
      <c r="D96" t="n">
        <v>3</v>
      </c>
      <c r="E96" t="inlineStr">
        <is>
          <t>Input</t>
        </is>
      </c>
      <c r="F96" t="n">
        <v/>
      </c>
      <c r="G96" t="n">
        <v>2016</v>
      </c>
      <c r="H96" t="inlineStr"/>
      <c r="I96" t="inlineStr">
        <is>
          <t>General</t>
        </is>
      </c>
      <c r="J96" t="b">
        <v>0</v>
      </c>
      <c r="K96" t="b">
        <v>0</v>
      </c>
      <c r="L96" t="n">
        <v>11</v>
      </c>
      <c r="M96" t="inlineStr">
        <is>
          <t>FFFFFFFF</t>
        </is>
      </c>
      <c r="N96" t="inlineStr">
        <is>
          <t>FF002060</t>
        </is>
      </c>
      <c r="O96" t="inlineStr">
        <is>
          <t>center</t>
        </is>
      </c>
      <c r="P96" t="n">
        <v/>
      </c>
      <c r="R96" t="b">
        <v>1</v>
      </c>
      <c r="S96" t="n">
        <v/>
      </c>
      <c r="T96" t="n">
        <v/>
      </c>
      <c r="U96" t="n">
        <v/>
      </c>
      <c r="V96" t="b">
        <v>0</v>
      </c>
      <c r="W96" t="inlineStr"/>
      <c r="X96" t="n">
        <v/>
      </c>
    </row>
    <row r="97">
      <c r="A97" t="inlineStr">
        <is>
          <t>DuPoint Analysis</t>
        </is>
      </c>
      <c r="B97" t="inlineStr">
        <is>
          <t>D13</t>
        </is>
      </c>
      <c r="C97" t="n">
        <v>13</v>
      </c>
      <c r="D97" t="n">
        <v>4</v>
      </c>
      <c r="E97" t="inlineStr">
        <is>
          <t>Input</t>
        </is>
      </c>
      <c r="F97" t="n">
        <v/>
      </c>
      <c r="G97" t="n">
        <v>2017</v>
      </c>
      <c r="H97" t="inlineStr"/>
      <c r="I97" t="inlineStr">
        <is>
          <t>General</t>
        </is>
      </c>
      <c r="J97" t="b">
        <v>0</v>
      </c>
      <c r="K97" t="b">
        <v>0</v>
      </c>
      <c r="L97" t="n">
        <v>11</v>
      </c>
      <c r="M97" t="inlineStr">
        <is>
          <t>FFFFFFFF</t>
        </is>
      </c>
      <c r="N97" t="inlineStr">
        <is>
          <t>FF002060</t>
        </is>
      </c>
      <c r="O97" t="inlineStr">
        <is>
          <t>center</t>
        </is>
      </c>
      <c r="P97" t="n">
        <v/>
      </c>
      <c r="R97" t="b">
        <v>1</v>
      </c>
      <c r="S97" t="n">
        <v/>
      </c>
      <c r="T97" t="n">
        <v/>
      </c>
      <c r="U97" t="n">
        <v/>
      </c>
      <c r="V97" t="b">
        <v>0</v>
      </c>
      <c r="W97" t="inlineStr"/>
      <c r="X97" t="n">
        <v/>
      </c>
    </row>
    <row r="98">
      <c r="A98" t="inlineStr">
        <is>
          <t>DuPoint Analysis</t>
        </is>
      </c>
      <c r="B98" t="inlineStr">
        <is>
          <t>E13</t>
        </is>
      </c>
      <c r="C98" t="n">
        <v>13</v>
      </c>
      <c r="D98" t="n">
        <v>5</v>
      </c>
      <c r="E98" t="inlineStr">
        <is>
          <t>Input</t>
        </is>
      </c>
      <c r="F98" t="n">
        <v/>
      </c>
      <c r="G98" t="n">
        <v>2015</v>
      </c>
      <c r="H98" t="inlineStr"/>
      <c r="I98" t="inlineStr">
        <is>
          <t>General</t>
        </is>
      </c>
      <c r="J98" t="b">
        <v>0</v>
      </c>
      <c r="K98" t="b">
        <v>0</v>
      </c>
      <c r="L98" t="n">
        <v>11</v>
      </c>
      <c r="M98" t="inlineStr">
        <is>
          <t>FFFFFFFF</t>
        </is>
      </c>
      <c r="N98" t="inlineStr">
        <is>
          <t>FF002060</t>
        </is>
      </c>
      <c r="O98" t="inlineStr">
        <is>
          <t>center</t>
        </is>
      </c>
      <c r="P98" t="n">
        <v/>
      </c>
      <c r="R98" t="b">
        <v>1</v>
      </c>
      <c r="S98" t="n">
        <v/>
      </c>
      <c r="T98" t="n">
        <v/>
      </c>
      <c r="U98" t="n">
        <v/>
      </c>
      <c r="V98" t="b">
        <v>0</v>
      </c>
      <c r="W98" t="inlineStr"/>
      <c r="X98" t="n">
        <v/>
      </c>
    </row>
    <row r="99">
      <c r="A99" t="inlineStr">
        <is>
          <t>DuPoint Analysis</t>
        </is>
      </c>
      <c r="B99" t="inlineStr">
        <is>
          <t>F13</t>
        </is>
      </c>
      <c r="C99" t="n">
        <v>13</v>
      </c>
      <c r="D99" t="n">
        <v>6</v>
      </c>
      <c r="E99" t="inlineStr">
        <is>
          <t>Input</t>
        </is>
      </c>
      <c r="F99" t="n">
        <v/>
      </c>
      <c r="G99" t="n">
        <v>2016</v>
      </c>
      <c r="H99" t="inlineStr"/>
      <c r="I99" t="inlineStr">
        <is>
          <t>General</t>
        </is>
      </c>
      <c r="J99" t="b">
        <v>0</v>
      </c>
      <c r="K99" t="b">
        <v>0</v>
      </c>
      <c r="L99" t="n">
        <v>11</v>
      </c>
      <c r="M99" t="inlineStr">
        <is>
          <t>FFFFFFFF</t>
        </is>
      </c>
      <c r="N99" t="inlineStr">
        <is>
          <t>FF002060</t>
        </is>
      </c>
      <c r="O99" t="inlineStr">
        <is>
          <t>center</t>
        </is>
      </c>
      <c r="P99" t="n">
        <v/>
      </c>
      <c r="R99" t="b">
        <v>1</v>
      </c>
      <c r="S99" t="n">
        <v/>
      </c>
      <c r="T99" t="n">
        <v/>
      </c>
      <c r="U99" t="n">
        <v/>
      </c>
      <c r="V99" t="b">
        <v>0</v>
      </c>
      <c r="W99" t="inlineStr"/>
      <c r="X99" t="n">
        <v/>
      </c>
    </row>
    <row r="100">
      <c r="A100" t="inlineStr">
        <is>
          <t>DuPoint Analysis</t>
        </is>
      </c>
      <c r="B100" t="inlineStr">
        <is>
          <t>G13</t>
        </is>
      </c>
      <c r="C100" t="n">
        <v>13</v>
      </c>
      <c r="D100" t="n">
        <v>7</v>
      </c>
      <c r="E100" t="inlineStr">
        <is>
          <t>Input</t>
        </is>
      </c>
      <c r="F100" t="n">
        <v/>
      </c>
      <c r="G100" t="n">
        <v>2017</v>
      </c>
      <c r="H100" t="inlineStr"/>
      <c r="I100" t="inlineStr">
        <is>
          <t>General</t>
        </is>
      </c>
      <c r="J100" t="b">
        <v>0</v>
      </c>
      <c r="K100" t="b">
        <v>0</v>
      </c>
      <c r="L100" t="n">
        <v>11</v>
      </c>
      <c r="M100" t="inlineStr">
        <is>
          <t>FFFFFFFF</t>
        </is>
      </c>
      <c r="N100" t="inlineStr">
        <is>
          <t>FF002060</t>
        </is>
      </c>
      <c r="O100" t="inlineStr">
        <is>
          <t>center</t>
        </is>
      </c>
      <c r="P100" t="n">
        <v/>
      </c>
      <c r="R100" t="b">
        <v>1</v>
      </c>
      <c r="S100" t="n">
        <v/>
      </c>
      <c r="T100" t="n">
        <v/>
      </c>
      <c r="U100" t="n">
        <v/>
      </c>
      <c r="V100" t="b">
        <v>0</v>
      </c>
      <c r="W100" t="inlineStr"/>
      <c r="X100" t="n">
        <v/>
      </c>
    </row>
    <row r="101">
      <c r="A101" t="inlineStr">
        <is>
          <t>DuPoint Analysis</t>
        </is>
      </c>
      <c r="B101" t="inlineStr">
        <is>
          <t>H13</t>
        </is>
      </c>
      <c r="C101" t="n">
        <v>13</v>
      </c>
      <c r="D101" t="n">
        <v>8</v>
      </c>
      <c r="E101" t="inlineStr">
        <is>
          <t>Input</t>
        </is>
      </c>
      <c r="F101" t="n">
        <v/>
      </c>
      <c r="G101" t="n">
        <v>2015</v>
      </c>
      <c r="H101" t="inlineStr"/>
      <c r="I101" t="inlineStr">
        <is>
          <t>General</t>
        </is>
      </c>
      <c r="J101" t="b">
        <v>0</v>
      </c>
      <c r="K101" t="b">
        <v>0</v>
      </c>
      <c r="L101" t="n">
        <v>11</v>
      </c>
      <c r="M101" t="inlineStr">
        <is>
          <t>FFFFFFFF</t>
        </is>
      </c>
      <c r="N101" t="inlineStr">
        <is>
          <t>FF002060</t>
        </is>
      </c>
      <c r="O101" t="inlineStr">
        <is>
          <t>center</t>
        </is>
      </c>
      <c r="P101" t="n">
        <v/>
      </c>
      <c r="R101" t="b">
        <v>1</v>
      </c>
      <c r="S101" t="n">
        <v/>
      </c>
      <c r="T101" t="n">
        <v/>
      </c>
      <c r="U101" t="n">
        <v/>
      </c>
      <c r="V101" t="b">
        <v>0</v>
      </c>
      <c r="W101" t="inlineStr"/>
      <c r="X101" t="n">
        <v/>
      </c>
    </row>
    <row r="102">
      <c r="A102" t="inlineStr">
        <is>
          <t>DuPoint Analysis</t>
        </is>
      </c>
      <c r="B102" t="inlineStr">
        <is>
          <t>I13</t>
        </is>
      </c>
      <c r="C102" t="n">
        <v>13</v>
      </c>
      <c r="D102" t="n">
        <v>9</v>
      </c>
      <c r="E102" t="inlineStr">
        <is>
          <t>Input</t>
        </is>
      </c>
      <c r="F102" t="n">
        <v/>
      </c>
      <c r="G102" t="n">
        <v>2016</v>
      </c>
      <c r="H102" t="inlineStr"/>
      <c r="I102" t="inlineStr">
        <is>
          <t>General</t>
        </is>
      </c>
      <c r="J102" t="b">
        <v>0</v>
      </c>
      <c r="K102" t="b">
        <v>0</v>
      </c>
      <c r="L102" t="n">
        <v>11</v>
      </c>
      <c r="M102" t="inlineStr">
        <is>
          <t>FFFFFFFF</t>
        </is>
      </c>
      <c r="N102" t="inlineStr">
        <is>
          <t>FF002060</t>
        </is>
      </c>
      <c r="O102" t="inlineStr">
        <is>
          <t>center</t>
        </is>
      </c>
      <c r="P102" t="n">
        <v/>
      </c>
      <c r="R102" t="b">
        <v>1</v>
      </c>
      <c r="S102" t="n">
        <v/>
      </c>
      <c r="T102" t="n">
        <v/>
      </c>
      <c r="U102" t="n">
        <v/>
      </c>
      <c r="V102" t="b">
        <v>0</v>
      </c>
      <c r="W102" t="inlineStr"/>
      <c r="X102" t="n">
        <v/>
      </c>
    </row>
    <row r="103">
      <c r="A103" t="inlineStr">
        <is>
          <t>DuPoint Analysis</t>
        </is>
      </c>
      <c r="B103" t="inlineStr">
        <is>
          <t>J13</t>
        </is>
      </c>
      <c r="C103" t="n">
        <v>13</v>
      </c>
      <c r="D103" t="n">
        <v>10</v>
      </c>
      <c r="E103" t="inlineStr">
        <is>
          <t>Input</t>
        </is>
      </c>
      <c r="F103" t="n">
        <v/>
      </c>
      <c r="G103" t="n">
        <v>2017</v>
      </c>
      <c r="H103" t="inlineStr"/>
      <c r="I103" t="inlineStr">
        <is>
          <t>General</t>
        </is>
      </c>
      <c r="J103" t="b">
        <v>0</v>
      </c>
      <c r="K103" t="b">
        <v>0</v>
      </c>
      <c r="L103" t="n">
        <v>11</v>
      </c>
      <c r="M103" t="inlineStr">
        <is>
          <t>FFFFFFFF</t>
        </is>
      </c>
      <c r="N103" t="inlineStr">
        <is>
          <t>FF002060</t>
        </is>
      </c>
      <c r="O103" t="inlineStr">
        <is>
          <t>center</t>
        </is>
      </c>
      <c r="P103" t="n">
        <v/>
      </c>
      <c r="R103" t="b">
        <v>1</v>
      </c>
      <c r="S103" t="n">
        <v/>
      </c>
      <c r="T103" t="n">
        <v/>
      </c>
      <c r="U103" t="n">
        <v/>
      </c>
      <c r="V103" t="b">
        <v>0</v>
      </c>
      <c r="W103" t="inlineStr"/>
      <c r="X103" t="n">
        <v/>
      </c>
    </row>
    <row r="104">
      <c r="A104" t="inlineStr">
        <is>
          <t>DuPoint Analysis</t>
        </is>
      </c>
      <c r="B104" t="inlineStr">
        <is>
          <t>K13</t>
        </is>
      </c>
      <c r="C104" t="n">
        <v>13</v>
      </c>
      <c r="D104" t="n">
        <v>11</v>
      </c>
      <c r="E104" t="inlineStr">
        <is>
          <t>Input</t>
        </is>
      </c>
      <c r="F104" t="n">
        <v/>
      </c>
      <c r="G104" t="n">
        <v>2015</v>
      </c>
      <c r="H104" t="inlineStr"/>
      <c r="I104" t="inlineStr">
        <is>
          <t>General</t>
        </is>
      </c>
      <c r="J104" t="b">
        <v>0</v>
      </c>
      <c r="K104" t="b">
        <v>0</v>
      </c>
      <c r="L104" t="n">
        <v>11</v>
      </c>
      <c r="M104" t="n">
        <v/>
      </c>
      <c r="N104" t="inlineStr">
        <is>
          <t>FFFFFF00</t>
        </is>
      </c>
      <c r="O104" t="inlineStr">
        <is>
          <t>center</t>
        </is>
      </c>
      <c r="P104" t="inlineStr">
        <is>
          <t>center</t>
        </is>
      </c>
      <c r="R104" t="b">
        <v>1</v>
      </c>
      <c r="S104" t="n">
        <v/>
      </c>
      <c r="T104" t="n">
        <v/>
      </c>
      <c r="U104" t="n">
        <v/>
      </c>
      <c r="V104" t="b">
        <v>0</v>
      </c>
      <c r="W104" t="inlineStr"/>
      <c r="X104" t="n">
        <v/>
      </c>
    </row>
    <row r="105">
      <c r="A105" t="inlineStr">
        <is>
          <t>DuPoint Analysis</t>
        </is>
      </c>
      <c r="B105" t="inlineStr">
        <is>
          <t>L13</t>
        </is>
      </c>
      <c r="C105" t="n">
        <v>13</v>
      </c>
      <c r="D105" t="n">
        <v>12</v>
      </c>
      <c r="E105" t="inlineStr">
        <is>
          <t>Input</t>
        </is>
      </c>
      <c r="F105" t="n">
        <v/>
      </c>
      <c r="G105" t="n">
        <v>2016</v>
      </c>
      <c r="H105" t="inlineStr"/>
      <c r="I105" t="inlineStr">
        <is>
          <t>General</t>
        </is>
      </c>
      <c r="J105" t="b">
        <v>0</v>
      </c>
      <c r="K105" t="b">
        <v>0</v>
      </c>
      <c r="L105" t="n">
        <v>11</v>
      </c>
      <c r="M105" t="n">
        <v/>
      </c>
      <c r="N105" t="inlineStr">
        <is>
          <t>FFFFFF00</t>
        </is>
      </c>
      <c r="O105" t="inlineStr">
        <is>
          <t>center</t>
        </is>
      </c>
      <c r="P105" t="inlineStr">
        <is>
          <t>center</t>
        </is>
      </c>
      <c r="R105" t="b">
        <v>1</v>
      </c>
      <c r="S105" t="n">
        <v/>
      </c>
      <c r="T105" t="n">
        <v/>
      </c>
      <c r="U105" t="n">
        <v/>
      </c>
      <c r="V105" t="b">
        <v>0</v>
      </c>
      <c r="W105" t="inlineStr"/>
      <c r="X105" t="n">
        <v/>
      </c>
    </row>
    <row r="106">
      <c r="A106" t="inlineStr">
        <is>
          <t>DuPoint Analysis</t>
        </is>
      </c>
      <c r="B106" t="inlineStr">
        <is>
          <t>M13</t>
        </is>
      </c>
      <c r="C106" t="n">
        <v>13</v>
      </c>
      <c r="D106" t="n">
        <v>13</v>
      </c>
      <c r="E106" t="inlineStr">
        <is>
          <t>Input</t>
        </is>
      </c>
      <c r="F106" t="n">
        <v/>
      </c>
      <c r="G106" t="n">
        <v>2017</v>
      </c>
      <c r="H106" t="inlineStr"/>
      <c r="I106" t="inlineStr">
        <is>
          <t>General</t>
        </is>
      </c>
      <c r="J106" t="b">
        <v>0</v>
      </c>
      <c r="K106" t="b">
        <v>0</v>
      </c>
      <c r="L106" t="n">
        <v>11</v>
      </c>
      <c r="M106" t="n">
        <v/>
      </c>
      <c r="N106" t="inlineStr">
        <is>
          <t>FFFFFF00</t>
        </is>
      </c>
      <c r="O106" t="inlineStr">
        <is>
          <t>center</t>
        </is>
      </c>
      <c r="P106" t="inlineStr">
        <is>
          <t>center</t>
        </is>
      </c>
      <c r="R106" t="b">
        <v>1</v>
      </c>
      <c r="S106" t="n">
        <v/>
      </c>
      <c r="T106" t="n">
        <v/>
      </c>
      <c r="U106" t="n">
        <v/>
      </c>
      <c r="V106" t="b">
        <v>0</v>
      </c>
      <c r="W106" t="inlineStr"/>
      <c r="X106" t="n">
        <v/>
      </c>
    </row>
    <row r="107">
      <c r="A107" t="inlineStr">
        <is>
          <t>DuPoint Analysis</t>
        </is>
      </c>
      <c r="B107" t="inlineStr">
        <is>
          <t>A14</t>
        </is>
      </c>
      <c r="C107" t="n">
        <v>14</v>
      </c>
      <c r="D107" t="n">
        <v>1</v>
      </c>
      <c r="E107" t="inlineStr">
        <is>
          <t>Input</t>
        </is>
      </c>
      <c r="F107" t="n">
        <v/>
      </c>
      <c r="G107" t="inlineStr">
        <is>
          <t>Ultratech</t>
        </is>
      </c>
      <c r="H107" t="inlineStr"/>
      <c r="I107" t="inlineStr">
        <is>
          <t>General</t>
        </is>
      </c>
      <c r="J107" t="b">
        <v>0</v>
      </c>
      <c r="K107" t="b">
        <v>0</v>
      </c>
      <c r="L107" t="n">
        <v>11</v>
      </c>
      <c r="M107" t="inlineStr">
        <is>
          <t>FF000000</t>
        </is>
      </c>
      <c r="N107" t="inlineStr">
        <is>
          <t>00000000</t>
        </is>
      </c>
      <c r="O107" t="n">
        <v/>
      </c>
      <c r="P107" t="n">
        <v/>
      </c>
      <c r="R107" t="b">
        <v>1</v>
      </c>
      <c r="S107" t="n">
        <v/>
      </c>
      <c r="T107" t="n">
        <v/>
      </c>
      <c r="U107" t="n">
        <v/>
      </c>
      <c r="V107" t="b">
        <v>0</v>
      </c>
      <c r="W107" t="inlineStr"/>
      <c r="X107" t="n">
        <v/>
      </c>
    </row>
    <row r="108">
      <c r="A108" t="inlineStr">
        <is>
          <t>DuPoint Analysis</t>
        </is>
      </c>
      <c r="B108" t="inlineStr">
        <is>
          <t>B14</t>
        </is>
      </c>
      <c r="C108" t="n">
        <v>14</v>
      </c>
      <c r="D108" t="n">
        <v>2</v>
      </c>
      <c r="E108" t="inlineStr">
        <is>
          <t>Calculation</t>
        </is>
      </c>
      <c r="F108" t="inlineStr">
        <is>
          <t>'=B7/E7</t>
        </is>
      </c>
      <c r="G108" t="n">
        <v>0.08024350687825672</v>
      </c>
      <c r="H108" t="inlineStr"/>
      <c r="I108" t="inlineStr">
        <is>
          <t>0%</t>
        </is>
      </c>
      <c r="J108" t="b">
        <v>0</v>
      </c>
      <c r="K108" t="b">
        <v>0</v>
      </c>
      <c r="L108" t="n">
        <v>11</v>
      </c>
      <c r="M108" t="inlineStr">
        <is>
          <t>FF000000</t>
        </is>
      </c>
      <c r="N108" t="inlineStr">
        <is>
          <t>00000000</t>
        </is>
      </c>
      <c r="O108" t="n">
        <v/>
      </c>
      <c r="P108" t="n">
        <v/>
      </c>
      <c r="R108" t="b">
        <v>1</v>
      </c>
      <c r="S108" t="inlineStr">
        <is>
          <t>G000198</t>
        </is>
      </c>
      <c r="T108" t="inlineStr">
        <is>
          <t>Horizontal</t>
        </is>
      </c>
      <c r="U108" t="n">
        <v>9</v>
      </c>
      <c r="V108" t="b">
        <v>1</v>
      </c>
      <c r="W108" t="inlineStr">
        <is>
          <t>DuPoint Analysis!B14:J14</t>
        </is>
      </c>
      <c r="X108">
        <f>R[-7]C[0]/R[-7]C[3]</f>
        <v/>
      </c>
    </row>
    <row r="109">
      <c r="A109" t="inlineStr">
        <is>
          <t>DuPoint Analysis</t>
        </is>
      </c>
      <c r="B109" t="inlineStr">
        <is>
          <t>C14</t>
        </is>
      </c>
      <c r="C109" t="n">
        <v>14</v>
      </c>
      <c r="D109" t="n">
        <v>3</v>
      </c>
      <c r="E109" t="inlineStr">
        <is>
          <t>Calculation</t>
        </is>
      </c>
      <c r="F109" t="inlineStr">
        <is>
          <t>'=C7/F7</t>
        </is>
      </c>
      <c r="G109" t="n">
        <v>0.08568787506786069</v>
      </c>
      <c r="H109" t="inlineStr"/>
      <c r="I109" t="inlineStr">
        <is>
          <t>0%</t>
        </is>
      </c>
      <c r="J109" t="b">
        <v>0</v>
      </c>
      <c r="K109" t="b">
        <v>0</v>
      </c>
      <c r="L109" t="n">
        <v>11</v>
      </c>
      <c r="M109" t="inlineStr">
        <is>
          <t>FF000000</t>
        </is>
      </c>
      <c r="N109" t="inlineStr">
        <is>
          <t>00000000</t>
        </is>
      </c>
      <c r="O109" t="n">
        <v/>
      </c>
      <c r="P109" t="n">
        <v/>
      </c>
      <c r="R109" t="b">
        <v>1</v>
      </c>
      <c r="S109" t="inlineStr">
        <is>
          <t>G000198</t>
        </is>
      </c>
      <c r="T109" t="inlineStr">
        <is>
          <t>Horizontal</t>
        </is>
      </c>
      <c r="U109" t="n">
        <v>9</v>
      </c>
      <c r="V109" t="b">
        <v>1</v>
      </c>
      <c r="W109" t="inlineStr">
        <is>
          <t>DuPoint Analysis!B14:J14</t>
        </is>
      </c>
      <c r="X109">
        <f>R[-7]C[0]/R[-7]C[3]</f>
        <v/>
      </c>
    </row>
    <row r="110">
      <c r="A110" t="inlineStr">
        <is>
          <t>DuPoint Analysis</t>
        </is>
      </c>
      <c r="B110" t="inlineStr">
        <is>
          <t>D14</t>
        </is>
      </c>
      <c r="C110" t="n">
        <v>14</v>
      </c>
      <c r="D110" t="n">
        <v>4</v>
      </c>
      <c r="E110" t="inlineStr">
        <is>
          <t>Calculation</t>
        </is>
      </c>
      <c r="F110" t="inlineStr">
        <is>
          <t>'=D7/G7</t>
        </is>
      </c>
      <c r="G110" t="n">
        <v>0.07721315537737194</v>
      </c>
      <c r="H110" t="inlineStr"/>
      <c r="I110" t="inlineStr">
        <is>
          <t>0%</t>
        </is>
      </c>
      <c r="J110" t="b">
        <v>0</v>
      </c>
      <c r="K110" t="b">
        <v>0</v>
      </c>
      <c r="L110" t="n">
        <v>11</v>
      </c>
      <c r="M110" t="inlineStr">
        <is>
          <t>FF000000</t>
        </is>
      </c>
      <c r="N110" t="inlineStr">
        <is>
          <t>00000000</t>
        </is>
      </c>
      <c r="O110" t="n">
        <v/>
      </c>
      <c r="P110" t="n">
        <v/>
      </c>
      <c r="R110" t="b">
        <v>1</v>
      </c>
      <c r="S110" t="inlineStr">
        <is>
          <t>G000198</t>
        </is>
      </c>
      <c r="T110" t="inlineStr">
        <is>
          <t>Horizontal</t>
        </is>
      </c>
      <c r="U110" t="n">
        <v>9</v>
      </c>
      <c r="V110" t="b">
        <v>1</v>
      </c>
      <c r="W110" t="inlineStr">
        <is>
          <t>DuPoint Analysis!B14:J14</t>
        </is>
      </c>
      <c r="X110">
        <f>R[-7]C[0]/R[-7]C[3]</f>
        <v/>
      </c>
    </row>
    <row r="111">
      <c r="A111" t="inlineStr">
        <is>
          <t>DuPoint Analysis</t>
        </is>
      </c>
      <c r="B111" t="inlineStr">
        <is>
          <t>E14</t>
        </is>
      </c>
      <c r="C111" t="n">
        <v>14</v>
      </c>
      <c r="D111" t="n">
        <v>5</v>
      </c>
      <c r="E111" t="inlineStr">
        <is>
          <t>Calculation</t>
        </is>
      </c>
      <c r="F111" t="inlineStr">
        <is>
          <t>'=E7/H7</t>
        </is>
      </c>
      <c r="G111" t="n">
        <v>1.310765549283686</v>
      </c>
      <c r="H111" t="inlineStr"/>
      <c r="I111" t="inlineStr">
        <is>
          <t>0.00;[Red]0.00</t>
        </is>
      </c>
      <c r="J111" t="b">
        <v>0</v>
      </c>
      <c r="K111" t="b">
        <v>0</v>
      </c>
      <c r="L111" t="n">
        <v>11</v>
      </c>
      <c r="M111" t="inlineStr">
        <is>
          <t>FF000000</t>
        </is>
      </c>
      <c r="N111" t="inlineStr">
        <is>
          <t>00000000</t>
        </is>
      </c>
      <c r="O111" t="n">
        <v/>
      </c>
      <c r="P111" t="n">
        <v/>
      </c>
      <c r="R111" t="b">
        <v>1</v>
      </c>
      <c r="S111" t="inlineStr">
        <is>
          <t>G000198</t>
        </is>
      </c>
      <c r="T111" t="inlineStr">
        <is>
          <t>Horizontal</t>
        </is>
      </c>
      <c r="U111" t="n">
        <v>9</v>
      </c>
      <c r="V111" t="b">
        <v>1</v>
      </c>
      <c r="W111" t="inlineStr">
        <is>
          <t>DuPoint Analysis!B14:J14</t>
        </is>
      </c>
      <c r="X111">
        <f>R[-7]C[0]/R[-7]C[3]</f>
        <v/>
      </c>
    </row>
    <row r="112">
      <c r="A112" t="inlineStr">
        <is>
          <t>DuPoint Analysis</t>
        </is>
      </c>
      <c r="B112" t="inlineStr">
        <is>
          <t>F14</t>
        </is>
      </c>
      <c r="C112" t="n">
        <v>14</v>
      </c>
      <c r="D112" t="n">
        <v>6</v>
      </c>
      <c r="E112" t="inlineStr">
        <is>
          <t>Calculation</t>
        </is>
      </c>
      <c r="F112" t="inlineStr">
        <is>
          <t>'=F7/I7</t>
        </is>
      </c>
      <c r="G112" t="n">
        <v>1.272055545071267</v>
      </c>
      <c r="H112" t="inlineStr"/>
      <c r="I112" t="inlineStr">
        <is>
          <t>0.00;[Red]0.00</t>
        </is>
      </c>
      <c r="J112" t="b">
        <v>0</v>
      </c>
      <c r="K112" t="b">
        <v>0</v>
      </c>
      <c r="L112" t="n">
        <v>11</v>
      </c>
      <c r="M112" t="inlineStr">
        <is>
          <t>FF000000</t>
        </is>
      </c>
      <c r="N112" t="inlineStr">
        <is>
          <t>00000000</t>
        </is>
      </c>
      <c r="O112" t="n">
        <v/>
      </c>
      <c r="P112" t="n">
        <v/>
      </c>
      <c r="R112" t="b">
        <v>1</v>
      </c>
      <c r="S112" t="inlineStr">
        <is>
          <t>G000198</t>
        </is>
      </c>
      <c r="T112" t="inlineStr">
        <is>
          <t>Horizontal</t>
        </is>
      </c>
      <c r="U112" t="n">
        <v>9</v>
      </c>
      <c r="V112" t="b">
        <v>1</v>
      </c>
      <c r="W112" t="inlineStr">
        <is>
          <t>DuPoint Analysis!B14:J14</t>
        </is>
      </c>
      <c r="X112">
        <f>R[-7]C[0]/R[-7]C[3]</f>
        <v/>
      </c>
    </row>
    <row r="113">
      <c r="A113" t="inlineStr">
        <is>
          <t>DuPoint Analysis</t>
        </is>
      </c>
      <c r="B113" t="inlineStr">
        <is>
          <t>G14</t>
        </is>
      </c>
      <c r="C113" t="n">
        <v>14</v>
      </c>
      <c r="D113" t="n">
        <v>7</v>
      </c>
      <c r="E113" t="inlineStr">
        <is>
          <t>Calculation</t>
        </is>
      </c>
      <c r="F113" t="inlineStr">
        <is>
          <t>'=G7/J7</t>
        </is>
      </c>
      <c r="G113" t="n">
        <v>1</v>
      </c>
      <c r="H113" t="inlineStr"/>
      <c r="I113" t="inlineStr">
        <is>
          <t>0.00;[Red]0.00</t>
        </is>
      </c>
      <c r="J113" t="b">
        <v>0</v>
      </c>
      <c r="K113" t="b">
        <v>0</v>
      </c>
      <c r="L113" t="n">
        <v>11</v>
      </c>
      <c r="M113" t="inlineStr">
        <is>
          <t>FF000000</t>
        </is>
      </c>
      <c r="N113" t="inlineStr">
        <is>
          <t>00000000</t>
        </is>
      </c>
      <c r="O113" t="n">
        <v/>
      </c>
      <c r="P113" t="n">
        <v/>
      </c>
      <c r="R113" t="b">
        <v>1</v>
      </c>
      <c r="S113" t="inlineStr">
        <is>
          <t>G000198</t>
        </is>
      </c>
      <c r="T113" t="inlineStr">
        <is>
          <t>Horizontal</t>
        </is>
      </c>
      <c r="U113" t="n">
        <v>9</v>
      </c>
      <c r="V113" t="b">
        <v>1</v>
      </c>
      <c r="W113" t="inlineStr">
        <is>
          <t>DuPoint Analysis!B14:J14</t>
        </is>
      </c>
      <c r="X113">
        <f>R[-7]C[0]/R[-7]C[3]</f>
        <v/>
      </c>
    </row>
    <row r="114">
      <c r="A114" t="inlineStr">
        <is>
          <t>DuPoint Analysis</t>
        </is>
      </c>
      <c r="B114" t="inlineStr">
        <is>
          <t>H14</t>
        </is>
      </c>
      <c r="C114" t="n">
        <v>14</v>
      </c>
      <c r="D114" t="n">
        <v>8</v>
      </c>
      <c r="E114" t="inlineStr">
        <is>
          <t>Calculation</t>
        </is>
      </c>
      <c r="F114" t="inlineStr">
        <is>
          <t>'=H7/K7</t>
        </is>
      </c>
      <c r="G114" t="n">
        <v>1.194862127479054</v>
      </c>
      <c r="H114" t="inlineStr"/>
      <c r="I114" t="inlineStr">
        <is>
          <t>0.00;[Red]0.00</t>
        </is>
      </c>
      <c r="J114" t="b">
        <v>0</v>
      </c>
      <c r="K114" t="b">
        <v>0</v>
      </c>
      <c r="L114" t="n">
        <v>11</v>
      </c>
      <c r="M114" t="inlineStr">
        <is>
          <t>FF000000</t>
        </is>
      </c>
      <c r="N114" t="inlineStr">
        <is>
          <t>00000000</t>
        </is>
      </c>
      <c r="O114" t="n">
        <v/>
      </c>
      <c r="P114" t="n">
        <v/>
      </c>
      <c r="R114" t="b">
        <v>1</v>
      </c>
      <c r="S114" t="inlineStr">
        <is>
          <t>G000198</t>
        </is>
      </c>
      <c r="T114" t="inlineStr">
        <is>
          <t>Horizontal</t>
        </is>
      </c>
      <c r="U114" t="n">
        <v>9</v>
      </c>
      <c r="V114" t="b">
        <v>1</v>
      </c>
      <c r="W114" t="inlineStr">
        <is>
          <t>DuPoint Analysis!B14:J14</t>
        </is>
      </c>
      <c r="X114">
        <f>R[-7]C[0]/R[-7]C[3]</f>
        <v/>
      </c>
    </row>
    <row r="115">
      <c r="A115" t="inlineStr">
        <is>
          <t>DuPoint Analysis</t>
        </is>
      </c>
      <c r="B115" t="inlineStr">
        <is>
          <t>I14</t>
        </is>
      </c>
      <c r="C115" t="n">
        <v>14</v>
      </c>
      <c r="D115" t="n">
        <v>9</v>
      </c>
      <c r="E115" t="inlineStr">
        <is>
          <t>Calculation</t>
        </is>
      </c>
      <c r="F115" t="inlineStr">
        <is>
          <t>'=I7/L7</t>
        </is>
      </c>
      <c r="G115" t="n">
        <v>1.114559448964497</v>
      </c>
      <c r="H115" t="inlineStr"/>
      <c r="I115" t="inlineStr">
        <is>
          <t>0.00;[Red]0.00</t>
        </is>
      </c>
      <c r="J115" t="b">
        <v>0</v>
      </c>
      <c r="K115" t="b">
        <v>0</v>
      </c>
      <c r="L115" t="n">
        <v>11</v>
      </c>
      <c r="M115" t="inlineStr">
        <is>
          <t>FF000000</t>
        </is>
      </c>
      <c r="N115" t="inlineStr">
        <is>
          <t>00000000</t>
        </is>
      </c>
      <c r="O115" t="n">
        <v/>
      </c>
      <c r="P115" t="n">
        <v/>
      </c>
      <c r="R115" t="b">
        <v>1</v>
      </c>
      <c r="S115" t="inlineStr">
        <is>
          <t>G000198</t>
        </is>
      </c>
      <c r="T115" t="inlineStr">
        <is>
          <t>Horizontal</t>
        </is>
      </c>
      <c r="U115" t="n">
        <v>9</v>
      </c>
      <c r="V115" t="b">
        <v>1</v>
      </c>
      <c r="W115" t="inlineStr">
        <is>
          <t>DuPoint Analysis!B14:J14</t>
        </is>
      </c>
      <c r="X115">
        <f>R[-7]C[0]/R[-7]C[3]</f>
        <v/>
      </c>
    </row>
    <row r="116">
      <c r="A116" t="inlineStr">
        <is>
          <t>DuPoint Analysis</t>
        </is>
      </c>
      <c r="B116" t="inlineStr">
        <is>
          <t>J14</t>
        </is>
      </c>
      <c r="C116" t="n">
        <v>14</v>
      </c>
      <c r="D116" t="n">
        <v>10</v>
      </c>
      <c r="E116" t="inlineStr">
        <is>
          <t>Calculation</t>
        </is>
      </c>
      <c r="F116" t="inlineStr">
        <is>
          <t>'=J7/M7</t>
        </is>
      </c>
      <c r="G116" t="n">
        <v>1.206885259596508</v>
      </c>
      <c r="H116" t="inlineStr"/>
      <c r="I116" t="inlineStr">
        <is>
          <t>0.00;[Red]0.00</t>
        </is>
      </c>
      <c r="J116" t="b">
        <v>0</v>
      </c>
      <c r="K116" t="b">
        <v>0</v>
      </c>
      <c r="L116" t="n">
        <v>11</v>
      </c>
      <c r="M116" t="inlineStr">
        <is>
          <t>FF000000</t>
        </is>
      </c>
      <c r="N116" t="inlineStr">
        <is>
          <t>00000000</t>
        </is>
      </c>
      <c r="O116" t="n">
        <v/>
      </c>
      <c r="P116" t="n">
        <v/>
      </c>
      <c r="R116" t="b">
        <v>1</v>
      </c>
      <c r="S116" t="inlineStr">
        <is>
          <t>G000198</t>
        </is>
      </c>
      <c r="T116" t="inlineStr">
        <is>
          <t>Horizontal</t>
        </is>
      </c>
      <c r="U116" t="n">
        <v>9</v>
      </c>
      <c r="V116" t="b">
        <v>1</v>
      </c>
      <c r="W116" t="inlineStr">
        <is>
          <t>DuPoint Analysis!B14:J14</t>
        </is>
      </c>
      <c r="X116">
        <f>R[-7]C[0]/R[-7]C[3]</f>
        <v/>
      </c>
    </row>
    <row r="117">
      <c r="A117" t="inlineStr">
        <is>
          <t>DuPoint Analysis</t>
        </is>
      </c>
      <c r="B117" t="inlineStr">
        <is>
          <t>K14</t>
        </is>
      </c>
      <c r="C117" t="n">
        <v>14</v>
      </c>
      <c r="D117" t="n">
        <v>11</v>
      </c>
      <c r="E117" t="inlineStr">
        <is>
          <t>Output</t>
        </is>
      </c>
      <c r="F117" t="inlineStr">
        <is>
          <t>'=B14*E14*H14</t>
        </is>
      </c>
      <c r="G117" t="n">
        <v>0.1256761056315622</v>
      </c>
      <c r="H117" t="inlineStr"/>
      <c r="I117" t="inlineStr">
        <is>
          <t>0%</t>
        </is>
      </c>
      <c r="J117" t="b">
        <v>0</v>
      </c>
      <c r="K117" t="b">
        <v>0</v>
      </c>
      <c r="L117" t="n">
        <v>11</v>
      </c>
      <c r="M117" t="inlineStr">
        <is>
          <t>FF000000</t>
        </is>
      </c>
      <c r="N117" t="inlineStr">
        <is>
          <t>00000000</t>
        </is>
      </c>
      <c r="O117" t="n">
        <v/>
      </c>
      <c r="P117" t="n">
        <v/>
      </c>
      <c r="R117" t="b">
        <v>1</v>
      </c>
      <c r="S117" t="inlineStr">
        <is>
          <t>G000201</t>
        </is>
      </c>
      <c r="T117" t="inlineStr">
        <is>
          <t>Horizontal</t>
        </is>
      </c>
      <c r="U117" t="n">
        <v>3</v>
      </c>
      <c r="V117" t="b">
        <v>1</v>
      </c>
      <c r="W117" t="inlineStr">
        <is>
          <t>DuPoint Analysis!K14:M14</t>
        </is>
      </c>
      <c r="X117">
        <f>R[0]C[-9]*R[0]C[-6]*R[0]C[-3]</f>
        <v/>
      </c>
    </row>
    <row r="118">
      <c r="A118" t="inlineStr">
        <is>
          <t>DuPoint Analysis</t>
        </is>
      </c>
      <c r="B118" t="inlineStr">
        <is>
          <t>L14</t>
        </is>
      </c>
      <c r="C118" t="n">
        <v>14</v>
      </c>
      <c r="D118" t="n">
        <v>12</v>
      </c>
      <c r="E118" t="inlineStr">
        <is>
          <t>Output</t>
        </is>
      </c>
      <c r="F118" t="inlineStr">
        <is>
          <t>'=C14*F14*I14</t>
        </is>
      </c>
      <c r="G118" t="n">
        <v>0.1214866863905326</v>
      </c>
      <c r="H118" t="inlineStr"/>
      <c r="I118" t="inlineStr">
        <is>
          <t>0%</t>
        </is>
      </c>
      <c r="J118" t="b">
        <v>0</v>
      </c>
      <c r="K118" t="b">
        <v>0</v>
      </c>
      <c r="L118" t="n">
        <v>11</v>
      </c>
      <c r="M118" t="inlineStr">
        <is>
          <t>FF000000</t>
        </is>
      </c>
      <c r="N118" t="inlineStr">
        <is>
          <t>00000000</t>
        </is>
      </c>
      <c r="O118" t="n">
        <v/>
      </c>
      <c r="P118" t="n">
        <v/>
      </c>
      <c r="R118" t="b">
        <v>1</v>
      </c>
      <c r="S118" t="inlineStr">
        <is>
          <t>G000201</t>
        </is>
      </c>
      <c r="T118" t="inlineStr">
        <is>
          <t>Horizontal</t>
        </is>
      </c>
      <c r="U118" t="n">
        <v>3</v>
      </c>
      <c r="V118" t="b">
        <v>1</v>
      </c>
      <c r="W118" t="inlineStr">
        <is>
          <t>DuPoint Analysis!K14:M14</t>
        </is>
      </c>
      <c r="X118">
        <f>R[0]C[-9]*R[0]C[-6]*R[0]C[-3]</f>
        <v/>
      </c>
    </row>
    <row r="119">
      <c r="A119" t="inlineStr">
        <is>
          <t>DuPoint Analysis</t>
        </is>
      </c>
      <c r="B119" t="inlineStr">
        <is>
          <t>M14</t>
        </is>
      </c>
      <c r="C119" t="n">
        <v>14</v>
      </c>
      <c r="D119" t="n">
        <v>13</v>
      </c>
      <c r="E119" t="inlineStr">
        <is>
          <t>Output</t>
        </is>
      </c>
      <c r="F119" t="inlineStr">
        <is>
          <t>'=D14*G14*J14</t>
        </is>
      </c>
      <c r="G119" t="n">
        <v>0.09318741907188505</v>
      </c>
      <c r="H119" t="inlineStr"/>
      <c r="I119" t="inlineStr">
        <is>
          <t>0%</t>
        </is>
      </c>
      <c r="J119" t="b">
        <v>0</v>
      </c>
      <c r="K119" t="b">
        <v>0</v>
      </c>
      <c r="L119" t="n">
        <v>11</v>
      </c>
      <c r="M119" t="inlineStr">
        <is>
          <t>FF000000</t>
        </is>
      </c>
      <c r="N119" t="inlineStr">
        <is>
          <t>00000000</t>
        </is>
      </c>
      <c r="O119" t="n">
        <v/>
      </c>
      <c r="P119" t="n">
        <v/>
      </c>
      <c r="R119" t="b">
        <v>1</v>
      </c>
      <c r="S119" t="inlineStr">
        <is>
          <t>G000201</t>
        </is>
      </c>
      <c r="T119" t="inlineStr">
        <is>
          <t>Horizontal</t>
        </is>
      </c>
      <c r="U119" t="n">
        <v>3</v>
      </c>
      <c r="V119" t="b">
        <v>1</v>
      </c>
      <c r="W119" t="inlineStr">
        <is>
          <t>DuPoint Analysis!K14:M14</t>
        </is>
      </c>
      <c r="X119">
        <f>R[0]C[-9]*R[0]C[-6]*R[0]C[-3]</f>
        <v/>
      </c>
    </row>
    <row r="120">
      <c r="A120" t="inlineStr">
        <is>
          <t>DuPoint Analysis</t>
        </is>
      </c>
      <c r="B120" t="inlineStr">
        <is>
          <t>A15</t>
        </is>
      </c>
      <c r="C120" t="n">
        <v>15</v>
      </c>
      <c r="D120" t="n">
        <v>1</v>
      </c>
      <c r="E120" t="inlineStr">
        <is>
          <t>Input</t>
        </is>
      </c>
      <c r="F120" t="n">
        <v/>
      </c>
      <c r="G120" t="inlineStr">
        <is>
          <t xml:space="preserve">Ambuja </t>
        </is>
      </c>
      <c r="H120" t="inlineStr"/>
      <c r="I120" t="inlineStr">
        <is>
          <t>General</t>
        </is>
      </c>
      <c r="J120" t="b">
        <v>0</v>
      </c>
      <c r="K120" t="b">
        <v>0</v>
      </c>
      <c r="L120" t="n">
        <v>11</v>
      </c>
      <c r="M120" t="inlineStr">
        <is>
          <t>FF000000</t>
        </is>
      </c>
      <c r="N120" t="inlineStr">
        <is>
          <t>00000000</t>
        </is>
      </c>
      <c r="O120" t="n">
        <v/>
      </c>
      <c r="P120" t="n">
        <v/>
      </c>
      <c r="R120" t="b">
        <v>1</v>
      </c>
      <c r="S120" t="n">
        <v/>
      </c>
      <c r="T120" t="n">
        <v/>
      </c>
      <c r="U120" t="n">
        <v/>
      </c>
      <c r="V120" t="b">
        <v>0</v>
      </c>
      <c r="W120" t="inlineStr"/>
      <c r="X120" t="n">
        <v/>
      </c>
    </row>
    <row r="121">
      <c r="A121" t="inlineStr">
        <is>
          <t>DuPoint Analysis</t>
        </is>
      </c>
      <c r="B121" t="inlineStr">
        <is>
          <t>B15</t>
        </is>
      </c>
      <c r="C121" t="n">
        <v>15</v>
      </c>
      <c r="D121" t="n">
        <v>2</v>
      </c>
      <c r="E121" t="inlineStr">
        <is>
          <t>Calculation</t>
        </is>
      </c>
      <c r="F121" t="inlineStr">
        <is>
          <t>'=B8/E8</t>
        </is>
      </c>
      <c r="G121" t="n">
        <v>0.08625106746370624</v>
      </c>
      <c r="H121" t="inlineStr"/>
      <c r="I121" t="inlineStr">
        <is>
          <t>0%</t>
        </is>
      </c>
      <c r="J121" t="b">
        <v>0</v>
      </c>
      <c r="K121" t="b">
        <v>0</v>
      </c>
      <c r="L121" t="n">
        <v>11</v>
      </c>
      <c r="M121" t="inlineStr">
        <is>
          <t>FF000000</t>
        </is>
      </c>
      <c r="N121" t="inlineStr">
        <is>
          <t>00000000</t>
        </is>
      </c>
      <c r="O121" t="n">
        <v/>
      </c>
      <c r="P121" t="n">
        <v/>
      </c>
      <c r="R121" t="b">
        <v>1</v>
      </c>
      <c r="S121" t="inlineStr">
        <is>
          <t>G000199</t>
        </is>
      </c>
      <c r="T121" t="inlineStr">
        <is>
          <t>Horizontal</t>
        </is>
      </c>
      <c r="U121" t="n">
        <v>9</v>
      </c>
      <c r="V121" t="b">
        <v>1</v>
      </c>
      <c r="W121" t="inlineStr">
        <is>
          <t>DuPoint Analysis!B15:J15</t>
        </is>
      </c>
      <c r="X121">
        <f>R[-7]C[0]/R[-7]C[3]</f>
        <v/>
      </c>
    </row>
    <row r="122">
      <c r="A122" t="inlineStr">
        <is>
          <t>DuPoint Analysis</t>
        </is>
      </c>
      <c r="B122" t="inlineStr">
        <is>
          <t>C15</t>
        </is>
      </c>
      <c r="C122" t="n">
        <v>15</v>
      </c>
      <c r="D122" t="n">
        <v>3</v>
      </c>
      <c r="E122" t="inlineStr">
        <is>
          <t>Calculation</t>
        </is>
      </c>
      <c r="F122" t="inlineStr">
        <is>
          <t>'=C8/F8</t>
        </is>
      </c>
      <c r="G122" t="n">
        <v>0.1022266096303609</v>
      </c>
      <c r="H122" t="inlineStr"/>
      <c r="I122" t="inlineStr">
        <is>
          <t>0%</t>
        </is>
      </c>
      <c r="J122" t="b">
        <v>0</v>
      </c>
      <c r="K122" t="b">
        <v>0</v>
      </c>
      <c r="L122" t="n">
        <v>11</v>
      </c>
      <c r="M122" t="inlineStr">
        <is>
          <t>FF000000</t>
        </is>
      </c>
      <c r="N122" t="inlineStr">
        <is>
          <t>00000000</t>
        </is>
      </c>
      <c r="O122" t="n">
        <v/>
      </c>
      <c r="P122" t="n">
        <v/>
      </c>
      <c r="R122" t="b">
        <v>1</v>
      </c>
      <c r="S122" t="inlineStr">
        <is>
          <t>G000199</t>
        </is>
      </c>
      <c r="T122" t="inlineStr">
        <is>
          <t>Horizontal</t>
        </is>
      </c>
      <c r="U122" t="n">
        <v>9</v>
      </c>
      <c r="V122" t="b">
        <v>1</v>
      </c>
      <c r="W122" t="inlineStr">
        <is>
          <t>DuPoint Analysis!B15:J15</t>
        </is>
      </c>
      <c r="X122">
        <f>R[-7]C[0]/R[-7]C[3]</f>
        <v/>
      </c>
    </row>
    <row r="123">
      <c r="A123" t="inlineStr">
        <is>
          <t>DuPoint Analysis</t>
        </is>
      </c>
      <c r="B123" t="inlineStr">
        <is>
          <t>D15</t>
        </is>
      </c>
      <c r="C123" t="n">
        <v>15</v>
      </c>
      <c r="D123" t="n">
        <v>4</v>
      </c>
      <c r="E123" t="inlineStr">
        <is>
          <t>Calculation</t>
        </is>
      </c>
      <c r="F123" t="inlineStr">
        <is>
          <t>'=D8/G8</t>
        </is>
      </c>
      <c r="G123" t="n">
        <v>0.1220703125</v>
      </c>
      <c r="H123" t="inlineStr"/>
      <c r="I123" t="inlineStr">
        <is>
          <t>0%</t>
        </is>
      </c>
      <c r="J123" t="b">
        <v>0</v>
      </c>
      <c r="K123" t="b">
        <v>0</v>
      </c>
      <c r="L123" t="n">
        <v>11</v>
      </c>
      <c r="M123" t="inlineStr">
        <is>
          <t>FF000000</t>
        </is>
      </c>
      <c r="N123" t="inlineStr">
        <is>
          <t>00000000</t>
        </is>
      </c>
      <c r="O123" t="n">
        <v/>
      </c>
      <c r="P123" t="n">
        <v/>
      </c>
      <c r="R123" t="b">
        <v>1</v>
      </c>
      <c r="S123" t="inlineStr">
        <is>
          <t>G000199</t>
        </is>
      </c>
      <c r="T123" t="inlineStr">
        <is>
          <t>Horizontal</t>
        </is>
      </c>
      <c r="U123" t="n">
        <v>9</v>
      </c>
      <c r="V123" t="b">
        <v>1</v>
      </c>
      <c r="W123" t="inlineStr">
        <is>
          <t>DuPoint Analysis!B15:J15</t>
        </is>
      </c>
      <c r="X123">
        <f>R[-7]C[0]/R[-7]C[3]</f>
        <v/>
      </c>
    </row>
    <row r="124">
      <c r="A124" t="inlineStr">
        <is>
          <t>DuPoint Analysis</t>
        </is>
      </c>
      <c r="B124" t="inlineStr">
        <is>
          <t>E15</t>
        </is>
      </c>
      <c r="C124" t="n">
        <v>15</v>
      </c>
      <c r="D124" t="n">
        <v>5</v>
      </c>
      <c r="E124" t="inlineStr">
        <is>
          <t>Calculation</t>
        </is>
      </c>
      <c r="F124" t="inlineStr">
        <is>
          <t>'=E8/H8</t>
        </is>
      </c>
      <c r="G124" t="n">
        <v>0.4787652680533551</v>
      </c>
      <c r="H124" t="inlineStr"/>
      <c r="I124" t="inlineStr">
        <is>
          <t>0.00;[Red]0.00</t>
        </is>
      </c>
      <c r="J124" t="b">
        <v>0</v>
      </c>
      <c r="K124" t="b">
        <v>0</v>
      </c>
      <c r="L124" t="n">
        <v>11</v>
      </c>
      <c r="M124" t="inlineStr">
        <is>
          <t>FF000000</t>
        </is>
      </c>
      <c r="N124" t="inlineStr">
        <is>
          <t>00000000</t>
        </is>
      </c>
      <c r="O124" t="n">
        <v/>
      </c>
      <c r="P124" t="n">
        <v/>
      </c>
      <c r="R124" t="b">
        <v>1</v>
      </c>
      <c r="S124" t="inlineStr">
        <is>
          <t>G000199</t>
        </is>
      </c>
      <c r="T124" t="inlineStr">
        <is>
          <t>Horizontal</t>
        </is>
      </c>
      <c r="U124" t="n">
        <v>9</v>
      </c>
      <c r="V124" t="b">
        <v>1</v>
      </c>
      <c r="W124" t="inlineStr">
        <is>
          <t>DuPoint Analysis!B15:J15</t>
        </is>
      </c>
      <c r="X124">
        <f>R[-7]C[0]/R[-7]C[3]</f>
        <v/>
      </c>
    </row>
    <row r="125">
      <c r="A125" t="inlineStr">
        <is>
          <t>DuPoint Analysis</t>
        </is>
      </c>
      <c r="B125" t="inlineStr">
        <is>
          <t>F15</t>
        </is>
      </c>
      <c r="C125" t="n">
        <v>15</v>
      </c>
      <c r="D125" t="n">
        <v>6</v>
      </c>
      <c r="E125" t="inlineStr">
        <is>
          <t>Calculation</t>
        </is>
      </c>
      <c r="F125" t="inlineStr">
        <is>
          <t>'=F8/I8</t>
        </is>
      </c>
      <c r="G125" t="n">
        <v>0.4763571764460003</v>
      </c>
      <c r="H125" t="inlineStr"/>
      <c r="I125" t="inlineStr">
        <is>
          <t>0.00;[Red]0.00</t>
        </is>
      </c>
      <c r="J125" t="b">
        <v>0</v>
      </c>
      <c r="K125" t="b">
        <v>0</v>
      </c>
      <c r="L125" t="n">
        <v>11</v>
      </c>
      <c r="M125" t="inlineStr">
        <is>
          <t>FF000000</t>
        </is>
      </c>
      <c r="N125" t="inlineStr">
        <is>
          <t>00000000</t>
        </is>
      </c>
      <c r="O125" t="n">
        <v/>
      </c>
      <c r="P125" t="n">
        <v/>
      </c>
      <c r="R125" t="b">
        <v>1</v>
      </c>
      <c r="S125" t="inlineStr">
        <is>
          <t>G000199</t>
        </is>
      </c>
      <c r="T125" t="inlineStr">
        <is>
          <t>Horizontal</t>
        </is>
      </c>
      <c r="U125" t="n">
        <v>9</v>
      </c>
      <c r="V125" t="b">
        <v>1</v>
      </c>
      <c r="W125" t="inlineStr">
        <is>
          <t>DuPoint Analysis!B15:J15</t>
        </is>
      </c>
      <c r="X125">
        <f>R[-7]C[0]/R[-7]C[3]</f>
        <v/>
      </c>
    </row>
    <row r="126">
      <c r="A126" t="inlineStr">
        <is>
          <t>DuPoint Analysis</t>
        </is>
      </c>
      <c r="B126" t="inlineStr">
        <is>
          <t>G15</t>
        </is>
      </c>
      <c r="C126" t="n">
        <v>15</v>
      </c>
      <c r="D126" t="n">
        <v>7</v>
      </c>
      <c r="E126" t="inlineStr">
        <is>
          <t>Calculation</t>
        </is>
      </c>
      <c r="F126" t="inlineStr">
        <is>
          <t>'=G8/J8</t>
        </is>
      </c>
      <c r="G126" t="n">
        <v>0.5354528341351181</v>
      </c>
      <c r="H126" t="inlineStr"/>
      <c r="I126" t="inlineStr">
        <is>
          <t>0.00;[Red]0.00</t>
        </is>
      </c>
      <c r="J126" t="b">
        <v>0</v>
      </c>
      <c r="K126" t="b">
        <v>0</v>
      </c>
      <c r="L126" t="n">
        <v>11</v>
      </c>
      <c r="M126" t="inlineStr">
        <is>
          <t>FF000000</t>
        </is>
      </c>
      <c r="N126" t="inlineStr">
        <is>
          <t>00000000</t>
        </is>
      </c>
      <c r="O126" t="n">
        <v/>
      </c>
      <c r="P126" t="n">
        <v/>
      </c>
      <c r="R126" t="b">
        <v>1</v>
      </c>
      <c r="S126" t="inlineStr">
        <is>
          <t>G000199</t>
        </is>
      </c>
      <c r="T126" t="inlineStr">
        <is>
          <t>Horizontal</t>
        </is>
      </c>
      <c r="U126" t="n">
        <v>9</v>
      </c>
      <c r="V126" t="b">
        <v>1</v>
      </c>
      <c r="W126" t="inlineStr">
        <is>
          <t>DuPoint Analysis!B15:J15</t>
        </is>
      </c>
      <c r="X126">
        <f>R[-7]C[0]/R[-7]C[3]</f>
        <v/>
      </c>
    </row>
    <row r="127">
      <c r="A127" t="inlineStr">
        <is>
          <t>DuPoint Analysis</t>
        </is>
      </c>
      <c r="B127" t="inlineStr">
        <is>
          <t>H15</t>
        </is>
      </c>
      <c r="C127" t="n">
        <v>15</v>
      </c>
      <c r="D127" t="n">
        <v>8</v>
      </c>
      <c r="E127" t="inlineStr">
        <is>
          <t>Calculation</t>
        </is>
      </c>
      <c r="F127" t="inlineStr">
        <is>
          <t>'=H8/K8</t>
        </is>
      </c>
      <c r="G127" t="n">
        <v>0.7454285499858472</v>
      </c>
      <c r="H127" t="inlineStr"/>
      <c r="I127" t="inlineStr">
        <is>
          <t>0.00;[Red]0.00</t>
        </is>
      </c>
      <c r="J127" t="b">
        <v>0</v>
      </c>
      <c r="K127" t="b">
        <v>0</v>
      </c>
      <c r="L127" t="n">
        <v>11</v>
      </c>
      <c r="M127" t="inlineStr">
        <is>
          <t>FF000000</t>
        </is>
      </c>
      <c r="N127" t="inlineStr">
        <is>
          <t>00000000</t>
        </is>
      </c>
      <c r="O127" t="n">
        <v/>
      </c>
      <c r="P127" t="n">
        <v/>
      </c>
      <c r="R127" t="b">
        <v>1</v>
      </c>
      <c r="S127" t="inlineStr">
        <is>
          <t>G000199</t>
        </is>
      </c>
      <c r="T127" t="inlineStr">
        <is>
          <t>Horizontal</t>
        </is>
      </c>
      <c r="U127" t="n">
        <v>9</v>
      </c>
      <c r="V127" t="b">
        <v>1</v>
      </c>
      <c r="W127" t="inlineStr">
        <is>
          <t>DuPoint Analysis!B15:J15</t>
        </is>
      </c>
      <c r="X127">
        <f>R[-7]C[0]/R[-7]C[3]</f>
        <v/>
      </c>
    </row>
    <row r="128">
      <c r="A128" t="inlineStr">
        <is>
          <t>DuPoint Analysis</t>
        </is>
      </c>
      <c r="B128" t="inlineStr">
        <is>
          <t>I15</t>
        </is>
      </c>
      <c r="C128" t="n">
        <v>15</v>
      </c>
      <c r="D128" t="n">
        <v>9</v>
      </c>
      <c r="E128" t="inlineStr">
        <is>
          <t>Calculation</t>
        </is>
      </c>
      <c r="F128" t="inlineStr">
        <is>
          <t>'=I8/L8</t>
        </is>
      </c>
      <c r="G128" t="n">
        <v>0.9887445645912796</v>
      </c>
      <c r="H128" t="inlineStr"/>
      <c r="I128" t="inlineStr">
        <is>
          <t>0.00;[Red]0.00</t>
        </is>
      </c>
      <c r="J128" t="b">
        <v>0</v>
      </c>
      <c r="K128" t="b">
        <v>0</v>
      </c>
      <c r="L128" t="n">
        <v>11</v>
      </c>
      <c r="M128" t="inlineStr">
        <is>
          <t>FF000000</t>
        </is>
      </c>
      <c r="N128" t="inlineStr">
        <is>
          <t>00000000</t>
        </is>
      </c>
      <c r="O128" t="n">
        <v/>
      </c>
      <c r="P128" t="n">
        <v/>
      </c>
      <c r="R128" t="b">
        <v>1</v>
      </c>
      <c r="S128" t="inlineStr">
        <is>
          <t>G000199</t>
        </is>
      </c>
      <c r="T128" t="inlineStr">
        <is>
          <t>Horizontal</t>
        </is>
      </c>
      <c r="U128" t="n">
        <v>9</v>
      </c>
      <c r="V128" t="b">
        <v>1</v>
      </c>
      <c r="W128" t="inlineStr">
        <is>
          <t>DuPoint Analysis!B15:J15</t>
        </is>
      </c>
      <c r="X128">
        <f>R[-7]C[0]/R[-7]C[3]</f>
        <v/>
      </c>
    </row>
    <row r="129">
      <c r="A129" t="inlineStr">
        <is>
          <t>DuPoint Analysis</t>
        </is>
      </c>
      <c r="B129" t="inlineStr">
        <is>
          <t>J15</t>
        </is>
      </c>
      <c r="C129" t="n">
        <v>15</v>
      </c>
      <c r="D129" t="n">
        <v>10</v>
      </c>
      <c r="E129" t="inlineStr">
        <is>
          <t>Calculation</t>
        </is>
      </c>
      <c r="F129" t="inlineStr">
        <is>
          <t>'=J8/M8</t>
        </is>
      </c>
      <c r="G129" t="n">
        <v>0.9574825478728758</v>
      </c>
      <c r="H129" t="inlineStr"/>
      <c r="I129" t="inlineStr">
        <is>
          <t>0.00;[Red]0.00</t>
        </is>
      </c>
      <c r="J129" t="b">
        <v>0</v>
      </c>
      <c r="K129" t="b">
        <v>0</v>
      </c>
      <c r="L129" t="n">
        <v>11</v>
      </c>
      <c r="M129" t="inlineStr">
        <is>
          <t>FF000000</t>
        </is>
      </c>
      <c r="N129" t="inlineStr">
        <is>
          <t>00000000</t>
        </is>
      </c>
      <c r="O129" t="n">
        <v/>
      </c>
      <c r="P129" t="n">
        <v/>
      </c>
      <c r="R129" t="b">
        <v>1</v>
      </c>
      <c r="S129" t="inlineStr">
        <is>
          <t>G000199</t>
        </is>
      </c>
      <c r="T129" t="inlineStr">
        <is>
          <t>Horizontal</t>
        </is>
      </c>
      <c r="U129" t="n">
        <v>9</v>
      </c>
      <c r="V129" t="b">
        <v>1</v>
      </c>
      <c r="W129" t="inlineStr">
        <is>
          <t>DuPoint Analysis!B15:J15</t>
        </is>
      </c>
      <c r="X129">
        <f>R[-7]C[0]/R[-7]C[3]</f>
        <v/>
      </c>
    </row>
    <row r="130">
      <c r="A130" t="inlineStr">
        <is>
          <t>DuPoint Analysis</t>
        </is>
      </c>
      <c r="B130" t="inlineStr">
        <is>
          <t>K15</t>
        </is>
      </c>
      <c r="C130" t="n">
        <v>15</v>
      </c>
      <c r="D130" t="n">
        <v>11</v>
      </c>
      <c r="E130" t="inlineStr">
        <is>
          <t>Output</t>
        </is>
      </c>
      <c r="F130" t="inlineStr">
        <is>
          <t>'=B15*E15*H15</t>
        </is>
      </c>
      <c r="G130" t="n">
        <v>0.03078173804817113</v>
      </c>
      <c r="H130" t="inlineStr"/>
      <c r="I130" t="inlineStr">
        <is>
          <t>0%</t>
        </is>
      </c>
      <c r="J130" t="b">
        <v>0</v>
      </c>
      <c r="K130" t="b">
        <v>0</v>
      </c>
      <c r="L130" t="n">
        <v>11</v>
      </c>
      <c r="M130" t="inlineStr">
        <is>
          <t>FF000000</t>
        </is>
      </c>
      <c r="N130" t="inlineStr">
        <is>
          <t>00000000</t>
        </is>
      </c>
      <c r="O130" t="n">
        <v/>
      </c>
      <c r="P130" t="n">
        <v/>
      </c>
      <c r="R130" t="b">
        <v>1</v>
      </c>
      <c r="S130" t="inlineStr">
        <is>
          <t>G000202</t>
        </is>
      </c>
      <c r="T130" t="inlineStr">
        <is>
          <t>Horizontal</t>
        </is>
      </c>
      <c r="U130" t="n">
        <v>3</v>
      </c>
      <c r="V130" t="b">
        <v>1</v>
      </c>
      <c r="W130" t="inlineStr">
        <is>
          <t>DuPoint Analysis!K15:M15</t>
        </is>
      </c>
      <c r="X130">
        <f>R[0]C[-9]*R[0]C[-6]*R[0]C[-3]</f>
        <v/>
      </c>
    </row>
    <row r="131">
      <c r="A131" t="inlineStr">
        <is>
          <t>DuPoint Analysis</t>
        </is>
      </c>
      <c r="B131" t="inlineStr">
        <is>
          <t>L15</t>
        </is>
      </c>
      <c r="C131" t="n">
        <v>15</v>
      </c>
      <c r="D131" t="n">
        <v>12</v>
      </c>
      <c r="E131" t="inlineStr">
        <is>
          <t>Output</t>
        </is>
      </c>
      <c r="F131" t="inlineStr">
        <is>
          <t>'=C15*F15*I15</t>
        </is>
      </c>
      <c r="G131" t="n">
        <v>0.04814828017132937</v>
      </c>
      <c r="H131" t="inlineStr"/>
      <c r="I131" t="inlineStr">
        <is>
          <t>0%</t>
        </is>
      </c>
      <c r="J131" t="b">
        <v>0</v>
      </c>
      <c r="K131" t="b">
        <v>0</v>
      </c>
      <c r="L131" t="n">
        <v>11</v>
      </c>
      <c r="M131" t="inlineStr">
        <is>
          <t>FF000000</t>
        </is>
      </c>
      <c r="N131" t="inlineStr">
        <is>
          <t>00000000</t>
        </is>
      </c>
      <c r="O131" t="n">
        <v/>
      </c>
      <c r="P131" t="n">
        <v/>
      </c>
      <c r="R131" t="b">
        <v>1</v>
      </c>
      <c r="S131" t="inlineStr">
        <is>
          <t>G000202</t>
        </is>
      </c>
      <c r="T131" t="inlineStr">
        <is>
          <t>Horizontal</t>
        </is>
      </c>
      <c r="U131" t="n">
        <v>3</v>
      </c>
      <c r="V131" t="b">
        <v>1</v>
      </c>
      <c r="W131" t="inlineStr">
        <is>
          <t>DuPoint Analysis!K15:M15</t>
        </is>
      </c>
      <c r="X131">
        <f>R[0]C[-9]*R[0]C[-6]*R[0]C[-3]</f>
        <v/>
      </c>
    </row>
    <row r="132">
      <c r="A132" t="inlineStr">
        <is>
          <t>DuPoint Analysis</t>
        </is>
      </c>
      <c r="B132" t="inlineStr">
        <is>
          <t>M15</t>
        </is>
      </c>
      <c r="C132" t="n">
        <v>15</v>
      </c>
      <c r="D132" t="n">
        <v>13</v>
      </c>
      <c r="E132" t="inlineStr">
        <is>
          <t>Output</t>
        </is>
      </c>
      <c r="F132" t="inlineStr">
        <is>
          <t>'=D15*G15*J15</t>
        </is>
      </c>
      <c r="G132" t="n">
        <v>0.06258383104168033</v>
      </c>
      <c r="H132" t="inlineStr"/>
      <c r="I132" t="inlineStr">
        <is>
          <t>0%</t>
        </is>
      </c>
      <c r="J132" t="b">
        <v>0</v>
      </c>
      <c r="K132" t="b">
        <v>0</v>
      </c>
      <c r="L132" t="n">
        <v>11</v>
      </c>
      <c r="M132" t="inlineStr">
        <is>
          <t>FF000000</t>
        </is>
      </c>
      <c r="N132" t="inlineStr">
        <is>
          <t>00000000</t>
        </is>
      </c>
      <c r="O132" t="n">
        <v/>
      </c>
      <c r="P132" t="n">
        <v/>
      </c>
      <c r="R132" t="b">
        <v>1</v>
      </c>
      <c r="S132" t="inlineStr">
        <is>
          <t>G000202</t>
        </is>
      </c>
      <c r="T132" t="inlineStr">
        <is>
          <t>Horizontal</t>
        </is>
      </c>
      <c r="U132" t="n">
        <v>3</v>
      </c>
      <c r="V132" t="b">
        <v>1</v>
      </c>
      <c r="W132" t="inlineStr">
        <is>
          <t>DuPoint Analysis!K15:M15</t>
        </is>
      </c>
      <c r="X132">
        <f>R[0]C[-9]*R[0]C[-6]*R[0]C[-3]</f>
        <v/>
      </c>
    </row>
    <row r="133">
      <c r="A133" t="inlineStr">
        <is>
          <t>DuPoint Analysis</t>
        </is>
      </c>
      <c r="B133" t="inlineStr">
        <is>
          <t>A16</t>
        </is>
      </c>
      <c r="C133" t="n">
        <v>16</v>
      </c>
      <c r="D133" t="n">
        <v>1</v>
      </c>
      <c r="E133" t="inlineStr">
        <is>
          <t>Input</t>
        </is>
      </c>
      <c r="F133" t="n">
        <v/>
      </c>
      <c r="G133" t="inlineStr">
        <is>
          <t>ACC</t>
        </is>
      </c>
      <c r="H133" t="inlineStr"/>
      <c r="I133" t="inlineStr">
        <is>
          <t>General</t>
        </is>
      </c>
      <c r="J133" t="b">
        <v>0</v>
      </c>
      <c r="K133" t="b">
        <v>0</v>
      </c>
      <c r="L133" t="n">
        <v>11</v>
      </c>
      <c r="M133" t="inlineStr">
        <is>
          <t>FF000000</t>
        </is>
      </c>
      <c r="N133" t="inlineStr">
        <is>
          <t>00000000</t>
        </is>
      </c>
      <c r="O133" t="n">
        <v/>
      </c>
      <c r="P133" t="n">
        <v/>
      </c>
      <c r="R133" t="b">
        <v>1</v>
      </c>
      <c r="S133" t="n">
        <v/>
      </c>
      <c r="T133" t="n">
        <v/>
      </c>
      <c r="U133" t="n">
        <v/>
      </c>
      <c r="V133" t="b">
        <v>0</v>
      </c>
      <c r="W133" t="inlineStr"/>
      <c r="X133" t="n">
        <v/>
      </c>
    </row>
    <row r="134">
      <c r="A134" t="inlineStr">
        <is>
          <t>DuPoint Analysis</t>
        </is>
      </c>
      <c r="B134" t="inlineStr">
        <is>
          <t>B16</t>
        </is>
      </c>
      <c r="C134" t="n">
        <v>16</v>
      </c>
      <c r="D134" t="n">
        <v>2</v>
      </c>
      <c r="E134" t="inlineStr">
        <is>
          <t>Calculation</t>
        </is>
      </c>
      <c r="F134" t="inlineStr">
        <is>
          <t>'=B9/E9</t>
        </is>
      </c>
      <c r="G134" t="n">
        <v>0.04396107784431138</v>
      </c>
      <c r="H134" t="inlineStr"/>
      <c r="I134" t="inlineStr">
        <is>
          <t>0%</t>
        </is>
      </c>
      <c r="J134" t="b">
        <v>0</v>
      </c>
      <c r="K134" t="b">
        <v>0</v>
      </c>
      <c r="L134" t="n">
        <v>11</v>
      </c>
      <c r="M134" t="inlineStr">
        <is>
          <t>FF000000</t>
        </is>
      </c>
      <c r="N134" t="inlineStr">
        <is>
          <t>00000000</t>
        </is>
      </c>
      <c r="O134" t="n">
        <v/>
      </c>
      <c r="P134" t="n">
        <v/>
      </c>
      <c r="R134" t="b">
        <v>1</v>
      </c>
      <c r="S134" t="inlineStr">
        <is>
          <t>G000200</t>
        </is>
      </c>
      <c r="T134" t="inlineStr">
        <is>
          <t>Horizontal</t>
        </is>
      </c>
      <c r="U134" t="n">
        <v>9</v>
      </c>
      <c r="V134" t="b">
        <v>1</v>
      </c>
      <c r="W134" t="inlineStr">
        <is>
          <t>DuPoint Analysis!B16:J16</t>
        </is>
      </c>
      <c r="X134">
        <f>R[-7]C[0]/R[-7]C[3]</f>
        <v/>
      </c>
    </row>
    <row r="135">
      <c r="A135" t="inlineStr">
        <is>
          <t>DuPoint Analysis</t>
        </is>
      </c>
      <c r="B135" t="inlineStr">
        <is>
          <t>C16</t>
        </is>
      </c>
      <c r="C135" t="n">
        <v>16</v>
      </c>
      <c r="D135" t="n">
        <v>3</v>
      </c>
      <c r="E135" t="inlineStr">
        <is>
          <t>Calculation</t>
        </is>
      </c>
      <c r="F135" t="inlineStr">
        <is>
          <t>'=C9/F9</t>
        </is>
      </c>
      <c r="G135" t="n">
        <v>0.05206465183217093</v>
      </c>
      <c r="H135" t="inlineStr"/>
      <c r="I135" t="inlineStr">
        <is>
          <t>0%</t>
        </is>
      </c>
      <c r="J135" t="b">
        <v>0</v>
      </c>
      <c r="K135" t="b">
        <v>0</v>
      </c>
      <c r="L135" t="n">
        <v>11</v>
      </c>
      <c r="M135" t="inlineStr">
        <is>
          <t>FF000000</t>
        </is>
      </c>
      <c r="N135" t="inlineStr">
        <is>
          <t>00000000</t>
        </is>
      </c>
      <c r="O135" t="n">
        <v/>
      </c>
      <c r="P135" t="n">
        <v/>
      </c>
      <c r="R135" t="b">
        <v>1</v>
      </c>
      <c r="S135" t="inlineStr">
        <is>
          <t>G000200</t>
        </is>
      </c>
      <c r="T135" t="inlineStr">
        <is>
          <t>Horizontal</t>
        </is>
      </c>
      <c r="U135" t="n">
        <v>9</v>
      </c>
      <c r="V135" t="b">
        <v>1</v>
      </c>
      <c r="W135" t="inlineStr">
        <is>
          <t>DuPoint Analysis!B16:J16</t>
        </is>
      </c>
      <c r="X135">
        <f>R[-7]C[0]/R[-7]C[3]</f>
        <v/>
      </c>
    </row>
    <row r="136">
      <c r="A136" t="inlineStr">
        <is>
          <t>DuPoint Analysis</t>
        </is>
      </c>
      <c r="B136" t="inlineStr">
        <is>
          <t>D16</t>
        </is>
      </c>
      <c r="C136" t="n">
        <v>16</v>
      </c>
      <c r="D136" t="n">
        <v>4</v>
      </c>
      <c r="E136" t="inlineStr">
        <is>
          <t>Calculation</t>
        </is>
      </c>
      <c r="F136" t="inlineStr">
        <is>
          <t>'=D9/G9</t>
        </is>
      </c>
      <c r="G136" t="n">
        <v>0.06451759228114153</v>
      </c>
      <c r="H136" t="inlineStr"/>
      <c r="I136" t="inlineStr">
        <is>
          <t>0%</t>
        </is>
      </c>
      <c r="J136" t="b">
        <v>0</v>
      </c>
      <c r="K136" t="b">
        <v>0</v>
      </c>
      <c r="L136" t="n">
        <v>11</v>
      </c>
      <c r="M136" t="inlineStr">
        <is>
          <t>FF000000</t>
        </is>
      </c>
      <c r="N136" t="inlineStr">
        <is>
          <t>00000000</t>
        </is>
      </c>
      <c r="O136" t="n">
        <v/>
      </c>
      <c r="P136" t="n">
        <v/>
      </c>
      <c r="R136" t="b">
        <v>1</v>
      </c>
      <c r="S136" t="inlineStr">
        <is>
          <t>G000200</t>
        </is>
      </c>
      <c r="T136" t="inlineStr">
        <is>
          <t>Horizontal</t>
        </is>
      </c>
      <c r="U136" t="n">
        <v>9</v>
      </c>
      <c r="V136" t="b">
        <v>1</v>
      </c>
      <c r="W136" t="inlineStr">
        <is>
          <t>DuPoint Analysis!B16:J16</t>
        </is>
      </c>
      <c r="X136">
        <f>R[-7]C[0]/R[-7]C[3]</f>
        <v/>
      </c>
    </row>
    <row r="137">
      <c r="A137" t="inlineStr">
        <is>
          <t>DuPoint Analysis</t>
        </is>
      </c>
      <c r="B137" t="inlineStr">
        <is>
          <t>E16</t>
        </is>
      </c>
      <c r="C137" t="n">
        <v>16</v>
      </c>
      <c r="D137" t="n">
        <v>5</v>
      </c>
      <c r="E137" t="inlineStr">
        <is>
          <t>Calculation</t>
        </is>
      </c>
      <c r="F137" t="inlineStr">
        <is>
          <t>'=E9/H9</t>
        </is>
      </c>
      <c r="G137" t="n">
        <v>1.421833228327686</v>
      </c>
      <c r="H137" t="inlineStr"/>
      <c r="I137" t="inlineStr">
        <is>
          <t>0.00;[Red]0.00</t>
        </is>
      </c>
      <c r="J137" t="b">
        <v>0</v>
      </c>
      <c r="K137" t="b">
        <v>0</v>
      </c>
      <c r="L137" t="n">
        <v>11</v>
      </c>
      <c r="M137" t="inlineStr">
        <is>
          <t>FF000000</t>
        </is>
      </c>
      <c r="N137" t="inlineStr">
        <is>
          <t>00000000</t>
        </is>
      </c>
      <c r="O137" t="n">
        <v/>
      </c>
      <c r="P137" t="n">
        <v/>
      </c>
      <c r="R137" t="b">
        <v>1</v>
      </c>
      <c r="S137" t="inlineStr">
        <is>
          <t>G000200</t>
        </is>
      </c>
      <c r="T137" t="inlineStr">
        <is>
          <t>Horizontal</t>
        </is>
      </c>
      <c r="U137" t="n">
        <v>9</v>
      </c>
      <c r="V137" t="b">
        <v>1</v>
      </c>
      <c r="W137" t="inlineStr">
        <is>
          <t>DuPoint Analysis!B16:J16</t>
        </is>
      </c>
      <c r="X137">
        <f>R[-7]C[0]/R[-7]C[3]</f>
        <v/>
      </c>
    </row>
    <row r="138">
      <c r="A138" t="inlineStr">
        <is>
          <t>DuPoint Analysis</t>
        </is>
      </c>
      <c r="B138" t="inlineStr">
        <is>
          <t>F16</t>
        </is>
      </c>
      <c r="C138" t="n">
        <v>16</v>
      </c>
      <c r="D138" t="n">
        <v>6</v>
      </c>
      <c r="E138" t="inlineStr">
        <is>
          <t>Calculation</t>
        </is>
      </c>
      <c r="F138" t="inlineStr">
        <is>
          <t>'=F9/I9</t>
        </is>
      </c>
      <c r="G138" t="n">
        <v>1.361384486533853</v>
      </c>
      <c r="H138" t="inlineStr"/>
      <c r="I138" t="inlineStr">
        <is>
          <t>0.00;[Red]0.00</t>
        </is>
      </c>
      <c r="J138" t="b">
        <v>0</v>
      </c>
      <c r="K138" t="b">
        <v>0</v>
      </c>
      <c r="L138" t="n">
        <v>11</v>
      </c>
      <c r="M138" t="inlineStr">
        <is>
          <t>FF000000</t>
        </is>
      </c>
      <c r="N138" t="inlineStr">
        <is>
          <t>00000000</t>
        </is>
      </c>
      <c r="O138" t="n">
        <v/>
      </c>
      <c r="P138" t="n">
        <v/>
      </c>
      <c r="R138" t="b">
        <v>1</v>
      </c>
      <c r="S138" t="inlineStr">
        <is>
          <t>G000200</t>
        </is>
      </c>
      <c r="T138" t="inlineStr">
        <is>
          <t>Horizontal</t>
        </is>
      </c>
      <c r="U138" t="n">
        <v>9</v>
      </c>
      <c r="V138" t="b">
        <v>1</v>
      </c>
      <c r="W138" t="inlineStr">
        <is>
          <t>DuPoint Analysis!B16:J16</t>
        </is>
      </c>
      <c r="X138">
        <f>R[-7]C[0]/R[-7]C[3]</f>
        <v/>
      </c>
    </row>
    <row r="139">
      <c r="A139" t="inlineStr">
        <is>
          <t>DuPoint Analysis</t>
        </is>
      </c>
      <c r="B139" t="inlineStr">
        <is>
          <t>G16</t>
        </is>
      </c>
      <c r="C139" t="n">
        <v>16</v>
      </c>
      <c r="D139" t="n">
        <v>7</v>
      </c>
      <c r="E139" t="inlineStr">
        <is>
          <t>Calculation</t>
        </is>
      </c>
      <c r="F139" t="inlineStr">
        <is>
          <t>'=G9/J9</t>
        </is>
      </c>
      <c r="G139" t="n">
        <v>1.559118772862487</v>
      </c>
      <c r="H139" t="inlineStr"/>
      <c r="I139" t="inlineStr">
        <is>
          <t>0.00;[Red]0.00</t>
        </is>
      </c>
      <c r="J139" t="b">
        <v>0</v>
      </c>
      <c r="K139" t="b">
        <v>0</v>
      </c>
      <c r="L139" t="n">
        <v>11</v>
      </c>
      <c r="M139" t="inlineStr">
        <is>
          <t>FF000000</t>
        </is>
      </c>
      <c r="N139" t="inlineStr">
        <is>
          <t>00000000</t>
        </is>
      </c>
      <c r="O139" t="n">
        <v/>
      </c>
      <c r="P139" t="n">
        <v/>
      </c>
      <c r="R139" t="b">
        <v>1</v>
      </c>
      <c r="S139" t="inlineStr">
        <is>
          <t>G000200</t>
        </is>
      </c>
      <c r="T139" t="inlineStr">
        <is>
          <t>Horizontal</t>
        </is>
      </c>
      <c r="U139" t="n">
        <v>9</v>
      </c>
      <c r="V139" t="b">
        <v>1</v>
      </c>
      <c r="W139" t="inlineStr">
        <is>
          <t>DuPoint Analysis!B16:J16</t>
        </is>
      </c>
      <c r="X139">
        <f>R[-7]C[0]/R[-7]C[3]</f>
        <v/>
      </c>
    </row>
    <row r="140">
      <c r="A140" t="inlineStr">
        <is>
          <t>DuPoint Analysis</t>
        </is>
      </c>
      <c r="B140" t="inlineStr">
        <is>
          <t>H16</t>
        </is>
      </c>
      <c r="C140" t="n">
        <v>16</v>
      </c>
      <c r="D140" t="n">
        <v>8</v>
      </c>
      <c r="E140" t="inlineStr">
        <is>
          <t>Calculation</t>
        </is>
      </c>
      <c r="F140" t="inlineStr">
        <is>
          <t>'=H9/K9</t>
        </is>
      </c>
      <c r="G140" t="n">
        <v>1.115801423560231</v>
      </c>
      <c r="H140" t="inlineStr"/>
      <c r="I140" t="inlineStr">
        <is>
          <t>0.00;[Red]0.00</t>
        </is>
      </c>
      <c r="J140" t="b">
        <v>0</v>
      </c>
      <c r="K140" t="b">
        <v>0</v>
      </c>
      <c r="L140" t="n">
        <v>11</v>
      </c>
      <c r="M140" t="inlineStr">
        <is>
          <t>FF000000</t>
        </is>
      </c>
      <c r="N140" t="inlineStr">
        <is>
          <t>00000000</t>
        </is>
      </c>
      <c r="O140" t="n">
        <v/>
      </c>
      <c r="P140" t="n">
        <v/>
      </c>
      <c r="R140" t="b">
        <v>1</v>
      </c>
      <c r="S140" t="inlineStr">
        <is>
          <t>G000200</t>
        </is>
      </c>
      <c r="T140" t="inlineStr">
        <is>
          <t>Horizontal</t>
        </is>
      </c>
      <c r="U140" t="n">
        <v>9</v>
      </c>
      <c r="V140" t="b">
        <v>1</v>
      </c>
      <c r="W140" t="inlineStr">
        <is>
          <t>DuPoint Analysis!B16:J16</t>
        </is>
      </c>
      <c r="X140">
        <f>R[-7]C[0]/R[-7]C[3]</f>
        <v/>
      </c>
    </row>
    <row r="141">
      <c r="A141" t="inlineStr">
        <is>
          <t>DuPoint Analysis</t>
        </is>
      </c>
      <c r="B141" t="inlineStr">
        <is>
          <t>I16</t>
        </is>
      </c>
      <c r="C141" t="n">
        <v>16</v>
      </c>
      <c r="D141" t="n">
        <v>9</v>
      </c>
      <c r="E141" t="inlineStr">
        <is>
          <t>Calculation</t>
        </is>
      </c>
      <c r="F141" t="inlineStr">
        <is>
          <t>'=I9/L9</t>
        </is>
      </c>
      <c r="G141" t="n">
        <v>1.053652306376549</v>
      </c>
      <c r="H141" t="inlineStr"/>
      <c r="I141" t="inlineStr">
        <is>
          <t>0.00;[Red]0.00</t>
        </is>
      </c>
      <c r="J141" t="b">
        <v>0</v>
      </c>
      <c r="K141" t="b">
        <v>0</v>
      </c>
      <c r="L141" t="n">
        <v>11</v>
      </c>
      <c r="M141" t="inlineStr">
        <is>
          <t>FF000000</t>
        </is>
      </c>
      <c r="N141" t="inlineStr">
        <is>
          <t>00000000</t>
        </is>
      </c>
      <c r="O141" t="n">
        <v/>
      </c>
      <c r="P141" t="n">
        <v/>
      </c>
      <c r="R141" t="b">
        <v>1</v>
      </c>
      <c r="S141" t="inlineStr">
        <is>
          <t>G000200</t>
        </is>
      </c>
      <c r="T141" t="inlineStr">
        <is>
          <t>Horizontal</t>
        </is>
      </c>
      <c r="U141" t="n">
        <v>9</v>
      </c>
      <c r="V141" t="b">
        <v>1</v>
      </c>
      <c r="W141" t="inlineStr">
        <is>
          <t>DuPoint Analysis!B16:J16</t>
        </is>
      </c>
      <c r="X141">
        <f>R[-7]C[0]/R[-7]C[3]</f>
        <v/>
      </c>
    </row>
    <row r="142">
      <c r="A142" t="inlineStr">
        <is>
          <t>DuPoint Analysis</t>
        </is>
      </c>
      <c r="B142" t="inlineStr">
        <is>
          <t>J16</t>
        </is>
      </c>
      <c r="C142" t="n">
        <v>16</v>
      </c>
      <c r="D142" t="n">
        <v>10</v>
      </c>
      <c r="E142" t="inlineStr">
        <is>
          <t>Calculation</t>
        </is>
      </c>
      <c r="F142" t="inlineStr">
        <is>
          <t>'=J9/M9</t>
        </is>
      </c>
      <c r="G142" t="n">
        <v>0.9820584630606931</v>
      </c>
      <c r="H142" t="inlineStr"/>
      <c r="I142" t="inlineStr">
        <is>
          <t>0.00;[Red]0.00</t>
        </is>
      </c>
      <c r="J142" t="b">
        <v>0</v>
      </c>
      <c r="K142" t="b">
        <v>0</v>
      </c>
      <c r="L142" t="n">
        <v>11</v>
      </c>
      <c r="M142" t="inlineStr">
        <is>
          <t>FF000000</t>
        </is>
      </c>
      <c r="N142" t="inlineStr">
        <is>
          <t>00000000</t>
        </is>
      </c>
      <c r="O142" t="n">
        <v/>
      </c>
      <c r="P142" t="n">
        <v/>
      </c>
      <c r="R142" t="b">
        <v>1</v>
      </c>
      <c r="S142" t="inlineStr">
        <is>
          <t>G000200</t>
        </is>
      </c>
      <c r="T142" t="inlineStr">
        <is>
          <t>Horizontal</t>
        </is>
      </c>
      <c r="U142" t="n">
        <v>9</v>
      </c>
      <c r="V142" t="b">
        <v>1</v>
      </c>
      <c r="W142" t="inlineStr">
        <is>
          <t>DuPoint Analysis!B16:J16</t>
        </is>
      </c>
      <c r="X142">
        <f>R[-7]C[0]/R[-7]C[3]</f>
        <v/>
      </c>
    </row>
    <row r="143">
      <c r="A143" t="inlineStr">
        <is>
          <t>DuPoint Analysis</t>
        </is>
      </c>
      <c r="B143" t="inlineStr">
        <is>
          <t>K16</t>
        </is>
      </c>
      <c r="C143" t="n">
        <v>16</v>
      </c>
      <c r="D143" t="n">
        <v>11</v>
      </c>
      <c r="E143" t="inlineStr">
        <is>
          <t>Output</t>
        </is>
      </c>
      <c r="F143" t="inlineStr">
        <is>
          <t>'=B16*E16*H16</t>
        </is>
      </c>
      <c r="G143" t="n">
        <v>0.0697435264109135</v>
      </c>
      <c r="H143" t="inlineStr"/>
      <c r="I143" t="inlineStr">
        <is>
          <t>0%</t>
        </is>
      </c>
      <c r="J143" t="b">
        <v>0</v>
      </c>
      <c r="K143" t="b">
        <v>0</v>
      </c>
      <c r="L143" t="n">
        <v>11</v>
      </c>
      <c r="M143" t="inlineStr">
        <is>
          <t>FF000000</t>
        </is>
      </c>
      <c r="N143" t="inlineStr">
        <is>
          <t>00000000</t>
        </is>
      </c>
      <c r="O143" t="n">
        <v/>
      </c>
      <c r="P143" t="n">
        <v/>
      </c>
      <c r="R143" t="b">
        <v>1</v>
      </c>
      <c r="S143" t="inlineStr">
        <is>
          <t>G000203</t>
        </is>
      </c>
      <c r="T143" t="inlineStr">
        <is>
          <t>Horizontal</t>
        </is>
      </c>
      <c r="U143" t="n">
        <v>3</v>
      </c>
      <c r="V143" t="b">
        <v>1</v>
      </c>
      <c r="W143" t="inlineStr">
        <is>
          <t>DuPoint Analysis!K16:M16</t>
        </is>
      </c>
      <c r="X143">
        <f>R[0]C[-9]*R[0]C[-6]*R[0]C[-3]</f>
        <v/>
      </c>
    </row>
    <row r="144">
      <c r="A144" t="inlineStr">
        <is>
          <t>DuPoint Analysis</t>
        </is>
      </c>
      <c r="B144" t="inlineStr">
        <is>
          <t>L16</t>
        </is>
      </c>
      <c r="C144" t="n">
        <v>16</v>
      </c>
      <c r="D144" t="n">
        <v>12</v>
      </c>
      <c r="E144" t="inlineStr">
        <is>
          <t>Output</t>
        </is>
      </c>
      <c r="F144" t="inlineStr">
        <is>
          <t>'=C16*F16*I16</t>
        </is>
      </c>
      <c r="G144" t="n">
        <v>0.07468288527609936</v>
      </c>
      <c r="H144" t="inlineStr"/>
      <c r="I144" t="inlineStr">
        <is>
          <t>0%</t>
        </is>
      </c>
      <c r="J144" t="b">
        <v>0</v>
      </c>
      <c r="K144" t="b">
        <v>0</v>
      </c>
      <c r="L144" t="n">
        <v>11</v>
      </c>
      <c r="M144" t="inlineStr">
        <is>
          <t>FF000000</t>
        </is>
      </c>
      <c r="N144" t="inlineStr">
        <is>
          <t>00000000</t>
        </is>
      </c>
      <c r="O144" t="n">
        <v/>
      </c>
      <c r="P144" t="n">
        <v/>
      </c>
      <c r="R144" t="b">
        <v>1</v>
      </c>
      <c r="S144" t="inlineStr">
        <is>
          <t>G000203</t>
        </is>
      </c>
      <c r="T144" t="inlineStr">
        <is>
          <t>Horizontal</t>
        </is>
      </c>
      <c r="U144" t="n">
        <v>3</v>
      </c>
      <c r="V144" t="b">
        <v>1</v>
      </c>
      <c r="W144" t="inlineStr">
        <is>
          <t>DuPoint Analysis!K16:M16</t>
        </is>
      </c>
      <c r="X144">
        <f>R[0]C[-9]*R[0]C[-6]*R[0]C[-3]</f>
        <v/>
      </c>
    </row>
    <row r="145">
      <c r="A145" t="inlineStr">
        <is>
          <t>DuPoint Analysis</t>
        </is>
      </c>
      <c r="B145" t="inlineStr">
        <is>
          <t>M16</t>
        </is>
      </c>
      <c r="C145" t="n">
        <v>16</v>
      </c>
      <c r="D145" t="n">
        <v>13</v>
      </c>
      <c r="E145" t="inlineStr">
        <is>
          <t>Output</t>
        </is>
      </c>
      <c r="F145" t="inlineStr">
        <is>
          <t>'=D16*G16*J16</t>
        </is>
      </c>
      <c r="G145" t="n">
        <v>0.09878583953164585</v>
      </c>
      <c r="H145" t="inlineStr"/>
      <c r="I145" t="inlineStr">
        <is>
          <t>0%</t>
        </is>
      </c>
      <c r="J145" t="b">
        <v>0</v>
      </c>
      <c r="K145" t="b">
        <v>0</v>
      </c>
      <c r="L145" t="n">
        <v>11</v>
      </c>
      <c r="M145" t="inlineStr">
        <is>
          <t>FF000000</t>
        </is>
      </c>
      <c r="N145" t="inlineStr">
        <is>
          <t>00000000</t>
        </is>
      </c>
      <c r="O145" t="n">
        <v/>
      </c>
      <c r="P145" t="n">
        <v/>
      </c>
      <c r="R145" t="b">
        <v>1</v>
      </c>
      <c r="S145" t="inlineStr">
        <is>
          <t>G000203</t>
        </is>
      </c>
      <c r="T145" t="inlineStr">
        <is>
          <t>Horizontal</t>
        </is>
      </c>
      <c r="U145" t="n">
        <v>3</v>
      </c>
      <c r="V145" t="b">
        <v>1</v>
      </c>
      <c r="W145" t="inlineStr">
        <is>
          <t>DuPoint Analysis!K16:M16</t>
        </is>
      </c>
      <c r="X145">
        <f>R[0]C[-9]*R[0]C[-6]*R[0]C[-3]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Sheet</t>
        </is>
      </c>
      <c r="C1" t="inlineStr">
        <is>
          <t>Key</t>
        </is>
      </c>
      <c r="D1" t="inlineStr">
        <is>
          <t>Value</t>
        </is>
      </c>
    </row>
    <row r="2">
      <c r="A2" t="inlineStr">
        <is>
          <t>Workbook</t>
        </is>
      </c>
      <c r="B2" t="inlineStr"/>
      <c r="C2" t="inlineStr">
        <is>
          <t>SourceWorkbook</t>
        </is>
      </c>
      <c r="D2" t="inlineStr">
        <is>
          <t>/home/nitish/Documents/github/Excel-To-Python/Codex/ExcelFiles/ACC-Ltd.xlsx</t>
        </is>
      </c>
    </row>
    <row r="3">
      <c r="A3" t="inlineStr">
        <is>
          <t>Workbook</t>
        </is>
      </c>
      <c r="B3" t="inlineStr"/>
      <c r="C3" t="inlineStr">
        <is>
          <t>NormalizedWorkbook</t>
        </is>
      </c>
      <c r="D3" t="inlineStr">
        <is>
          <t>/home/nitish/Documents/github/Excel-To-Python/Codex/ExcelFiles/ACC-Ltd.xlsx</t>
        </is>
      </c>
    </row>
    <row r="4">
      <c r="A4" t="inlineStr">
        <is>
          <t>Workbook</t>
        </is>
      </c>
      <c r="B4" t="inlineStr"/>
      <c r="C4" t="inlineStr">
        <is>
          <t>SheetOrder</t>
        </is>
      </c>
      <c r="D4" t="inlineStr">
        <is>
          <t>["Intro", "Revenue Model", "FAS", "Financial Statements", "Asset schedule", "Balance Sheet", "DCF", "Relative", "DuPoint Analysis"]</t>
        </is>
      </c>
    </row>
    <row r="5">
      <c r="A5" t="inlineStr">
        <is>
          <t>Workbook</t>
        </is>
      </c>
      <c r="B5" t="inlineStr"/>
      <c r="C5" t="inlineStr">
        <is>
          <t>generated_at_utc</t>
        </is>
      </c>
      <c r="D5" t="inlineStr">
        <is>
          <t>"2026-03-05T04:02:41.014769+00:00"</t>
        </is>
      </c>
    </row>
    <row r="6">
      <c r="A6" t="inlineStr">
        <is>
          <t>Workbook</t>
        </is>
      </c>
      <c r="B6" t="inlineStr"/>
      <c r="C6" t="inlineStr">
        <is>
          <t>source_ext</t>
        </is>
      </c>
      <c r="D6" t="inlineStr">
        <is>
          <t>".xlsx"</t>
        </is>
      </c>
    </row>
    <row r="7">
      <c r="A7" t="inlineStr">
        <is>
          <t>SheetLayout</t>
        </is>
      </c>
      <c r="B7" t="inlineStr">
        <is>
          <t>Intro</t>
        </is>
      </c>
      <c r="C7" t="inlineStr">
        <is>
          <t>Index</t>
        </is>
      </c>
      <c r="D7" t="inlineStr">
        <is>
          <t>0</t>
        </is>
      </c>
    </row>
    <row r="8">
      <c r="A8" t="inlineStr">
        <is>
          <t>SheetLayout</t>
        </is>
      </c>
      <c r="B8" t="inlineStr">
        <is>
          <t>Intro</t>
        </is>
      </c>
      <c r="C8" t="inlineStr">
        <is>
          <t>FreezePanes</t>
        </is>
      </c>
      <c r="D8" t="inlineStr"/>
    </row>
    <row r="9">
      <c r="A9" t="inlineStr">
        <is>
          <t>SheetLayout</t>
        </is>
      </c>
      <c r="B9" t="inlineStr">
        <is>
          <t>Intro</t>
        </is>
      </c>
      <c r="C9" t="inlineStr">
        <is>
          <t>TabColor</t>
        </is>
      </c>
      <c r="D9" t="inlineStr"/>
    </row>
    <row r="10">
      <c r="A10" t="inlineStr">
        <is>
          <t>SheetLayout</t>
        </is>
      </c>
      <c r="B10" t="inlineStr">
        <is>
          <t>Intro</t>
        </is>
      </c>
      <c r="C10" t="inlineStr">
        <is>
          <t>MergedRanges</t>
        </is>
      </c>
      <c r="D10" t="inlineStr">
        <is>
          <t>[]</t>
        </is>
      </c>
    </row>
    <row r="11">
      <c r="A11" t="inlineStr">
        <is>
          <t>SheetLayout</t>
        </is>
      </c>
      <c r="B11" t="inlineStr">
        <is>
          <t>Intro</t>
        </is>
      </c>
      <c r="C11" t="inlineStr">
        <is>
          <t>RowDimensions</t>
        </is>
      </c>
      <c r="D11" t="inlineStr">
        <is>
          <t>[]</t>
        </is>
      </c>
    </row>
    <row r="12">
      <c r="A12" t="inlineStr">
        <is>
          <t>SheetLayout</t>
        </is>
      </c>
      <c r="B12" t="inlineStr">
        <is>
          <t>Intro</t>
        </is>
      </c>
      <c r="C12" t="inlineStr">
        <is>
          <t>ColumnDimensions</t>
        </is>
      </c>
      <c r="D12" t="inlineStr">
        <is>
          <t>[]</t>
        </is>
      </c>
    </row>
    <row r="13">
      <c r="A13" t="inlineStr">
        <is>
          <t>SheetLayout</t>
        </is>
      </c>
      <c r="B13" t="inlineStr">
        <is>
          <t>Revenue Model</t>
        </is>
      </c>
      <c r="C13" t="inlineStr">
        <is>
          <t>Index</t>
        </is>
      </c>
      <c r="D13" t="inlineStr">
        <is>
          <t>1</t>
        </is>
      </c>
    </row>
    <row r="14">
      <c r="A14" t="inlineStr">
        <is>
          <t>SheetLayout</t>
        </is>
      </c>
      <c r="B14" t="inlineStr">
        <is>
          <t>Revenue Model</t>
        </is>
      </c>
      <c r="C14" t="inlineStr">
        <is>
          <t>FreezePanes</t>
        </is>
      </c>
      <c r="D14" t="inlineStr"/>
    </row>
    <row r="15">
      <c r="A15" t="inlineStr">
        <is>
          <t>SheetLayout</t>
        </is>
      </c>
      <c r="B15" t="inlineStr">
        <is>
          <t>Revenue Model</t>
        </is>
      </c>
      <c r="C15" t="inlineStr">
        <is>
          <t>TabColor</t>
        </is>
      </c>
      <c r="D15" t="inlineStr"/>
    </row>
    <row r="16">
      <c r="A16" t="inlineStr">
        <is>
          <t>SheetLayout</t>
        </is>
      </c>
      <c r="B16" t="inlineStr">
        <is>
          <t>Revenue Model</t>
        </is>
      </c>
      <c r="C16" t="inlineStr">
        <is>
          <t>MergedRanges</t>
        </is>
      </c>
      <c r="D16" t="inlineStr">
        <is>
          <t>[]</t>
        </is>
      </c>
    </row>
    <row r="17">
      <c r="A17" t="inlineStr">
        <is>
          <t>SheetLayout</t>
        </is>
      </c>
      <c r="B17" t="inlineStr">
        <is>
          <t>Revenue Model</t>
        </is>
      </c>
      <c r="C17" t="inlineStr">
        <is>
          <t>RowDimensions</t>
        </is>
      </c>
      <c r="D17" t="inlineStr">
        <is>
          <t>[]</t>
        </is>
      </c>
    </row>
    <row r="18">
      <c r="A18" t="inlineStr">
        <is>
          <t>SheetLayout</t>
        </is>
      </c>
      <c r="B18" t="inlineStr">
        <is>
          <t>Revenue Model</t>
        </is>
      </c>
      <c r="C18" t="inlineStr">
        <is>
          <t>ColumnDimensions</t>
        </is>
      </c>
      <c r="D18" t="inlineStr">
        <is>
          <t>[]</t>
        </is>
      </c>
    </row>
    <row r="19">
      <c r="A19" t="inlineStr">
        <is>
          <t>SheetLayout</t>
        </is>
      </c>
      <c r="B19" t="inlineStr">
        <is>
          <t>FAS</t>
        </is>
      </c>
      <c r="C19" t="inlineStr">
        <is>
          <t>Index</t>
        </is>
      </c>
      <c r="D19" t="inlineStr">
        <is>
          <t>2</t>
        </is>
      </c>
    </row>
    <row r="20">
      <c r="A20" t="inlineStr">
        <is>
          <t>SheetLayout</t>
        </is>
      </c>
      <c r="B20" t="inlineStr">
        <is>
          <t>FAS</t>
        </is>
      </c>
      <c r="C20" t="inlineStr">
        <is>
          <t>FreezePanes</t>
        </is>
      </c>
      <c r="D20" t="inlineStr"/>
    </row>
    <row r="21">
      <c r="A21" t="inlineStr">
        <is>
          <t>SheetLayout</t>
        </is>
      </c>
      <c r="B21" t="inlineStr">
        <is>
          <t>FAS</t>
        </is>
      </c>
      <c r="C21" t="inlineStr">
        <is>
          <t>TabColor</t>
        </is>
      </c>
      <c r="D21" t="inlineStr"/>
    </row>
    <row r="22">
      <c r="A22" t="inlineStr">
        <is>
          <t>SheetLayout</t>
        </is>
      </c>
      <c r="B22" t="inlineStr">
        <is>
          <t>FAS</t>
        </is>
      </c>
      <c r="C22" t="inlineStr">
        <is>
          <t>MergedRanges</t>
        </is>
      </c>
      <c r="D22" t="inlineStr">
        <is>
          <t>[]</t>
        </is>
      </c>
    </row>
    <row r="23">
      <c r="A23" t="inlineStr">
        <is>
          <t>SheetLayout</t>
        </is>
      </c>
      <c r="B23" t="inlineStr">
        <is>
          <t>FAS</t>
        </is>
      </c>
      <c r="C23" t="inlineStr">
        <is>
          <t>RowDimensions</t>
        </is>
      </c>
      <c r="D23" t="inlineStr">
        <is>
          <t>[]</t>
        </is>
      </c>
    </row>
    <row r="24">
      <c r="A24" t="inlineStr">
        <is>
          <t>SheetLayout</t>
        </is>
      </c>
      <c r="B24" t="inlineStr">
        <is>
          <t>FAS</t>
        </is>
      </c>
      <c r="C24" t="inlineStr">
        <is>
          <t>ColumnDimensions</t>
        </is>
      </c>
      <c r="D24" t="inlineStr">
        <is>
          <t>[]</t>
        </is>
      </c>
    </row>
    <row r="25">
      <c r="A25" t="inlineStr">
        <is>
          <t>SheetLayout</t>
        </is>
      </c>
      <c r="B25" t="inlineStr">
        <is>
          <t>Financial Statements</t>
        </is>
      </c>
      <c r="C25" t="inlineStr">
        <is>
          <t>Index</t>
        </is>
      </c>
      <c r="D25" t="inlineStr">
        <is>
          <t>3</t>
        </is>
      </c>
    </row>
    <row r="26">
      <c r="A26" t="inlineStr">
        <is>
          <t>SheetLayout</t>
        </is>
      </c>
      <c r="B26" t="inlineStr">
        <is>
          <t>Financial Statements</t>
        </is>
      </c>
      <c r="C26" t="inlineStr">
        <is>
          <t>FreezePanes</t>
        </is>
      </c>
      <c r="D26" t="inlineStr"/>
    </row>
    <row r="27">
      <c r="A27" t="inlineStr">
        <is>
          <t>SheetLayout</t>
        </is>
      </c>
      <c r="B27" t="inlineStr">
        <is>
          <t>Financial Statements</t>
        </is>
      </c>
      <c r="C27" t="inlineStr">
        <is>
          <t>TabColor</t>
        </is>
      </c>
      <c r="D27" t="inlineStr"/>
    </row>
    <row r="28">
      <c r="A28" t="inlineStr">
        <is>
          <t>SheetLayout</t>
        </is>
      </c>
      <c r="B28" t="inlineStr">
        <is>
          <t>Financial Statements</t>
        </is>
      </c>
      <c r="C28" t="inlineStr">
        <is>
          <t>MergedRanges</t>
        </is>
      </c>
      <c r="D28" t="inlineStr">
        <is>
          <t>[]</t>
        </is>
      </c>
    </row>
    <row r="29">
      <c r="A29" t="inlineStr">
        <is>
          <t>SheetLayout</t>
        </is>
      </c>
      <c r="B29" t="inlineStr">
        <is>
          <t>Financial Statements</t>
        </is>
      </c>
      <c r="C29" t="inlineStr">
        <is>
          <t>RowDimensions</t>
        </is>
      </c>
      <c r="D29" t="inlineStr">
        <is>
          <t>[]</t>
        </is>
      </c>
    </row>
    <row r="30">
      <c r="A30" t="inlineStr">
        <is>
          <t>SheetLayout</t>
        </is>
      </c>
      <c r="B30" t="inlineStr">
        <is>
          <t>Financial Statements</t>
        </is>
      </c>
      <c r="C30" t="inlineStr">
        <is>
          <t>ColumnDimensions</t>
        </is>
      </c>
      <c r="D30" t="inlineStr">
        <is>
          <t>[]</t>
        </is>
      </c>
    </row>
    <row r="31">
      <c r="A31" t="inlineStr">
        <is>
          <t>SheetLayout</t>
        </is>
      </c>
      <c r="B31" t="inlineStr">
        <is>
          <t>Asset schedule</t>
        </is>
      </c>
      <c r="C31" t="inlineStr">
        <is>
          <t>Index</t>
        </is>
      </c>
      <c r="D31" t="inlineStr">
        <is>
          <t>4</t>
        </is>
      </c>
    </row>
    <row r="32">
      <c r="A32" t="inlineStr">
        <is>
          <t>SheetLayout</t>
        </is>
      </c>
      <c r="B32" t="inlineStr">
        <is>
          <t>Asset schedule</t>
        </is>
      </c>
      <c r="C32" t="inlineStr">
        <is>
          <t>FreezePanes</t>
        </is>
      </c>
      <c r="D32" t="inlineStr"/>
    </row>
    <row r="33">
      <c r="A33" t="inlineStr">
        <is>
          <t>SheetLayout</t>
        </is>
      </c>
      <c r="B33" t="inlineStr">
        <is>
          <t>Asset schedule</t>
        </is>
      </c>
      <c r="C33" t="inlineStr">
        <is>
          <t>TabColor</t>
        </is>
      </c>
      <c r="D33" t="inlineStr"/>
    </row>
    <row r="34">
      <c r="A34" t="inlineStr">
        <is>
          <t>SheetLayout</t>
        </is>
      </c>
      <c r="B34" t="inlineStr">
        <is>
          <t>Asset schedule</t>
        </is>
      </c>
      <c r="C34" t="inlineStr">
        <is>
          <t>MergedRanges</t>
        </is>
      </c>
      <c r="D34" t="inlineStr">
        <is>
          <t>[]</t>
        </is>
      </c>
    </row>
    <row r="35">
      <c r="A35" t="inlineStr">
        <is>
          <t>SheetLayout</t>
        </is>
      </c>
      <c r="B35" t="inlineStr">
        <is>
          <t>Asset schedule</t>
        </is>
      </c>
      <c r="C35" t="inlineStr">
        <is>
          <t>RowDimensions</t>
        </is>
      </c>
      <c r="D35" t="inlineStr">
        <is>
          <t>[]</t>
        </is>
      </c>
    </row>
    <row r="36">
      <c r="A36" t="inlineStr">
        <is>
          <t>SheetLayout</t>
        </is>
      </c>
      <c r="B36" t="inlineStr">
        <is>
          <t>Asset schedule</t>
        </is>
      </c>
      <c r="C36" t="inlineStr">
        <is>
          <t>ColumnDimensions</t>
        </is>
      </c>
      <c r="D36" t="inlineStr">
        <is>
          <t>[]</t>
        </is>
      </c>
    </row>
    <row r="37">
      <c r="A37" t="inlineStr">
        <is>
          <t>SheetLayout</t>
        </is>
      </c>
      <c r="B37" t="inlineStr">
        <is>
          <t>Balance Sheet</t>
        </is>
      </c>
      <c r="C37" t="inlineStr">
        <is>
          <t>Index</t>
        </is>
      </c>
      <c r="D37" t="inlineStr">
        <is>
          <t>5</t>
        </is>
      </c>
    </row>
    <row r="38">
      <c r="A38" t="inlineStr">
        <is>
          <t>SheetLayout</t>
        </is>
      </c>
      <c r="B38" t="inlineStr">
        <is>
          <t>Balance Sheet</t>
        </is>
      </c>
      <c r="C38" t="inlineStr">
        <is>
          <t>FreezePanes</t>
        </is>
      </c>
      <c r="D38" t="inlineStr"/>
    </row>
    <row r="39">
      <c r="A39" t="inlineStr">
        <is>
          <t>SheetLayout</t>
        </is>
      </c>
      <c r="B39" t="inlineStr">
        <is>
          <t>Balance Sheet</t>
        </is>
      </c>
      <c r="C39" t="inlineStr">
        <is>
          <t>TabColor</t>
        </is>
      </c>
      <c r="D39" t="inlineStr"/>
    </row>
    <row r="40">
      <c r="A40" t="inlineStr">
        <is>
          <t>SheetLayout</t>
        </is>
      </c>
      <c r="B40" t="inlineStr">
        <is>
          <t>Balance Sheet</t>
        </is>
      </c>
      <c r="C40" t="inlineStr">
        <is>
          <t>MergedRanges</t>
        </is>
      </c>
      <c r="D40" t="inlineStr">
        <is>
          <t>[]</t>
        </is>
      </c>
    </row>
    <row r="41">
      <c r="A41" t="inlineStr">
        <is>
          <t>SheetLayout</t>
        </is>
      </c>
      <c r="B41" t="inlineStr">
        <is>
          <t>Balance Sheet</t>
        </is>
      </c>
      <c r="C41" t="inlineStr">
        <is>
          <t>RowDimensions</t>
        </is>
      </c>
      <c r="D41" t="inlineStr">
        <is>
          <t>[]</t>
        </is>
      </c>
    </row>
    <row r="42">
      <c r="A42" t="inlineStr">
        <is>
          <t>SheetLayout</t>
        </is>
      </c>
      <c r="B42" t="inlineStr">
        <is>
          <t>Balance Sheet</t>
        </is>
      </c>
      <c r="C42" t="inlineStr">
        <is>
          <t>ColumnDimensions</t>
        </is>
      </c>
      <c r="D42" t="inlineStr">
        <is>
          <t>[]</t>
        </is>
      </c>
    </row>
    <row r="43">
      <c r="A43" t="inlineStr">
        <is>
          <t>SheetLayout</t>
        </is>
      </c>
      <c r="B43" t="inlineStr">
        <is>
          <t>DCF</t>
        </is>
      </c>
      <c r="C43" t="inlineStr">
        <is>
          <t>Index</t>
        </is>
      </c>
      <c r="D43" t="inlineStr">
        <is>
          <t>6</t>
        </is>
      </c>
    </row>
    <row r="44">
      <c r="A44" t="inlineStr">
        <is>
          <t>SheetLayout</t>
        </is>
      </c>
      <c r="B44" t="inlineStr">
        <is>
          <t>DCF</t>
        </is>
      </c>
      <c r="C44" t="inlineStr">
        <is>
          <t>FreezePanes</t>
        </is>
      </c>
      <c r="D44" t="inlineStr"/>
    </row>
    <row r="45">
      <c r="A45" t="inlineStr">
        <is>
          <t>SheetLayout</t>
        </is>
      </c>
      <c r="B45" t="inlineStr">
        <is>
          <t>DCF</t>
        </is>
      </c>
      <c r="C45" t="inlineStr">
        <is>
          <t>TabColor</t>
        </is>
      </c>
      <c r="D45" t="inlineStr"/>
    </row>
    <row r="46">
      <c r="A46" t="inlineStr">
        <is>
          <t>SheetLayout</t>
        </is>
      </c>
      <c r="B46" t="inlineStr">
        <is>
          <t>DCF</t>
        </is>
      </c>
      <c r="C46" t="inlineStr">
        <is>
          <t>MergedRanges</t>
        </is>
      </c>
      <c r="D46" t="inlineStr">
        <is>
          <t>[]</t>
        </is>
      </c>
    </row>
    <row r="47">
      <c r="A47" t="inlineStr">
        <is>
          <t>SheetLayout</t>
        </is>
      </c>
      <c r="B47" t="inlineStr">
        <is>
          <t>DCF</t>
        </is>
      </c>
      <c r="C47" t="inlineStr">
        <is>
          <t>RowDimensions</t>
        </is>
      </c>
      <c r="D47" t="inlineStr">
        <is>
          <t>[]</t>
        </is>
      </c>
    </row>
    <row r="48">
      <c r="A48" t="inlineStr">
        <is>
          <t>SheetLayout</t>
        </is>
      </c>
      <c r="B48" t="inlineStr">
        <is>
          <t>DCF</t>
        </is>
      </c>
      <c r="C48" t="inlineStr">
        <is>
          <t>ColumnDimensions</t>
        </is>
      </c>
      <c r="D48" t="inlineStr">
        <is>
          <t>[]</t>
        </is>
      </c>
    </row>
    <row r="49">
      <c r="A49" t="inlineStr">
        <is>
          <t>SheetLayout</t>
        </is>
      </c>
      <c r="B49" t="inlineStr">
        <is>
          <t>Relative</t>
        </is>
      </c>
      <c r="C49" t="inlineStr">
        <is>
          <t>Index</t>
        </is>
      </c>
      <c r="D49" t="inlineStr">
        <is>
          <t>7</t>
        </is>
      </c>
    </row>
    <row r="50">
      <c r="A50" t="inlineStr">
        <is>
          <t>SheetLayout</t>
        </is>
      </c>
      <c r="B50" t="inlineStr">
        <is>
          <t>Relative</t>
        </is>
      </c>
      <c r="C50" t="inlineStr">
        <is>
          <t>FreezePanes</t>
        </is>
      </c>
      <c r="D50" t="inlineStr"/>
    </row>
    <row r="51">
      <c r="A51" t="inlineStr">
        <is>
          <t>SheetLayout</t>
        </is>
      </c>
      <c r="B51" t="inlineStr">
        <is>
          <t>Relative</t>
        </is>
      </c>
      <c r="C51" t="inlineStr">
        <is>
          <t>TabColor</t>
        </is>
      </c>
      <c r="D51" t="inlineStr"/>
    </row>
    <row r="52">
      <c r="A52" t="inlineStr">
        <is>
          <t>SheetLayout</t>
        </is>
      </c>
      <c r="B52" t="inlineStr">
        <is>
          <t>Relative</t>
        </is>
      </c>
      <c r="C52" t="inlineStr">
        <is>
          <t>MergedRanges</t>
        </is>
      </c>
      <c r="D52" t="inlineStr">
        <is>
          <t>["I30:J30", "B1:E1", "F1:I1", "N1:Q1", "J1:M1"]</t>
        </is>
      </c>
    </row>
    <row r="53">
      <c r="A53" t="inlineStr">
        <is>
          <t>SheetLayout</t>
        </is>
      </c>
      <c r="B53" t="inlineStr">
        <is>
          <t>Relative</t>
        </is>
      </c>
      <c r="C53" t="inlineStr">
        <is>
          <t>RowDimensions</t>
        </is>
      </c>
      <c r="D53" t="inlineStr">
        <is>
          <t>[]</t>
        </is>
      </c>
    </row>
    <row r="54">
      <c r="A54" t="inlineStr">
        <is>
          <t>SheetLayout</t>
        </is>
      </c>
      <c r="B54" t="inlineStr">
        <is>
          <t>Relative</t>
        </is>
      </c>
      <c r="C54" t="inlineStr">
        <is>
          <t>ColumnDimensions</t>
        </is>
      </c>
      <c r="D54" t="inlineStr">
        <is>
          <t>[]</t>
        </is>
      </c>
    </row>
    <row r="55">
      <c r="A55" t="inlineStr">
        <is>
          <t>SheetLayout</t>
        </is>
      </c>
      <c r="B55" t="inlineStr">
        <is>
          <t>DuPoint Analysis</t>
        </is>
      </c>
      <c r="C55" t="inlineStr">
        <is>
          <t>Index</t>
        </is>
      </c>
      <c r="D55" t="inlineStr">
        <is>
          <t>8</t>
        </is>
      </c>
    </row>
    <row r="56">
      <c r="A56" t="inlineStr">
        <is>
          <t>SheetLayout</t>
        </is>
      </c>
      <c r="B56" t="inlineStr">
        <is>
          <t>DuPoint Analysis</t>
        </is>
      </c>
      <c r="C56" t="inlineStr">
        <is>
          <t>FreezePanes</t>
        </is>
      </c>
      <c r="D56" t="inlineStr"/>
    </row>
    <row r="57">
      <c r="A57" t="inlineStr">
        <is>
          <t>SheetLayout</t>
        </is>
      </c>
      <c r="B57" t="inlineStr">
        <is>
          <t>DuPoint Analysis</t>
        </is>
      </c>
      <c r="C57" t="inlineStr">
        <is>
          <t>TabColor</t>
        </is>
      </c>
      <c r="D57" t="inlineStr"/>
    </row>
    <row r="58">
      <c r="A58" t="inlineStr">
        <is>
          <t>SheetLayout</t>
        </is>
      </c>
      <c r="B58" t="inlineStr">
        <is>
          <t>DuPoint Analysis</t>
        </is>
      </c>
      <c r="C58" t="inlineStr">
        <is>
          <t>MergedRanges</t>
        </is>
      </c>
      <c r="D58" t="inlineStr">
        <is>
          <t>["B5:D5", "E5:G5", "H5:J5", "K12:M12", "E12:G12", "H12:J12", "B12:D12"]</t>
        </is>
      </c>
    </row>
    <row r="59">
      <c r="A59" t="inlineStr">
        <is>
          <t>SheetLayout</t>
        </is>
      </c>
      <c r="B59" t="inlineStr">
        <is>
          <t>DuPoint Analysis</t>
        </is>
      </c>
      <c r="C59" t="inlineStr">
        <is>
          <t>RowDimensions</t>
        </is>
      </c>
      <c r="D59" t="inlineStr">
        <is>
          <t>[]</t>
        </is>
      </c>
    </row>
    <row r="60">
      <c r="A60" t="inlineStr">
        <is>
          <t>SheetLayout</t>
        </is>
      </c>
      <c r="B60" t="inlineStr">
        <is>
          <t>DuPoint Analysis</t>
        </is>
      </c>
      <c r="C60" t="inlineStr">
        <is>
          <t>ColumnDimensions</t>
        </is>
      </c>
      <c r="D60" t="inlineStr">
        <is>
          <t>[]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GroupID</t>
        </is>
      </c>
      <c r="B1" t="inlineStr">
        <is>
          <t>Sheet</t>
        </is>
      </c>
      <c r="C1" t="inlineStr">
        <is>
          <t>Direction</t>
        </is>
      </c>
      <c r="D1" t="inlineStr">
        <is>
          <t>GroupSize</t>
        </is>
      </c>
      <c r="E1" t="inlineStr">
        <is>
          <t>CellRange</t>
        </is>
      </c>
      <c r="F1" t="inlineStr">
        <is>
          <t>PatternFormula</t>
        </is>
      </c>
      <c r="G1" t="inlineStr">
        <is>
          <t>VectorizationHint</t>
        </is>
      </c>
    </row>
    <row r="2">
      <c r="A2" t="inlineStr">
        <is>
          <t>G000001</t>
        </is>
      </c>
      <c r="B2" t="inlineStr">
        <is>
          <t>Revenue Model</t>
        </is>
      </c>
      <c r="C2" t="inlineStr">
        <is>
          <t>Horizontal</t>
        </is>
      </c>
      <c r="D2" t="n">
        <v>5</v>
      </c>
      <c r="E2" t="inlineStr">
        <is>
          <t>Revenue Model!E2:I2</t>
        </is>
      </c>
      <c r="F2" t="inlineStr">
        <is>
          <t>'=R[2]C[0]*R[9]C[0]</t>
        </is>
      </c>
      <c r="G2" t="inlineStr">
        <is>
          <t>Vectorizable</t>
        </is>
      </c>
    </row>
    <row r="3">
      <c r="A3" t="inlineStr">
        <is>
          <t>G000002</t>
        </is>
      </c>
      <c r="B3" t="inlineStr">
        <is>
          <t>Revenue Model</t>
        </is>
      </c>
      <c r="C3" t="inlineStr">
        <is>
          <t>Horizontal</t>
        </is>
      </c>
      <c r="D3" t="n">
        <v>5</v>
      </c>
      <c r="E3" t="inlineStr">
        <is>
          <t>Revenue Model!E4:I4</t>
        </is>
      </c>
      <c r="F3" t="inlineStr">
        <is>
          <t>'=R[1]C[0]*R[2]C[0]</t>
        </is>
      </c>
      <c r="G3" t="inlineStr">
        <is>
          <t>Vectorizable</t>
        </is>
      </c>
    </row>
    <row r="4">
      <c r="A4" t="inlineStr">
        <is>
          <t>G000003</t>
        </is>
      </c>
      <c r="B4" t="inlineStr">
        <is>
          <t>Revenue Model</t>
        </is>
      </c>
      <c r="C4" t="inlineStr">
        <is>
          <t>Horizontal</t>
        </is>
      </c>
      <c r="D4" t="n">
        <v>5</v>
      </c>
      <c r="E4" t="inlineStr">
        <is>
          <t>Revenue Model!E5:I5</t>
        </is>
      </c>
      <c r="F4" t="inlineStr">
        <is>
          <t>'=R[4]C[0]*R[3]C[0]</t>
        </is>
      </c>
      <c r="G4" t="inlineStr">
        <is>
          <t>Vectorizable</t>
        </is>
      </c>
    </row>
    <row r="5">
      <c r="A5" t="inlineStr">
        <is>
          <t>G000004</t>
        </is>
      </c>
      <c r="B5" t="inlineStr">
        <is>
          <t>Revenue Model</t>
        </is>
      </c>
      <c r="C5" t="inlineStr">
        <is>
          <t>Horizontal</t>
        </is>
      </c>
      <c r="D5" t="n">
        <v>3</v>
      </c>
      <c r="E5" t="inlineStr">
        <is>
          <t>Revenue Model!B6:D6</t>
        </is>
      </c>
      <c r="F5" t="inlineStr">
        <is>
          <t>'=R[-2]C[0]/R[-1]C[0]</t>
        </is>
      </c>
      <c r="G5" t="inlineStr">
        <is>
          <t>Vectorizable</t>
        </is>
      </c>
    </row>
    <row r="6">
      <c r="A6" t="inlineStr">
        <is>
          <t>G000005</t>
        </is>
      </c>
      <c r="B6" t="inlineStr">
        <is>
          <t>Revenue Model</t>
        </is>
      </c>
      <c r="C6" t="inlineStr">
        <is>
          <t>Horizontal</t>
        </is>
      </c>
      <c r="D6" t="n">
        <v>5</v>
      </c>
      <c r="E6" t="inlineStr">
        <is>
          <t>Revenue Model!E6:I6</t>
        </is>
      </c>
      <c r="F6" t="inlineStr">
        <is>
          <t>'=R6C4</t>
        </is>
      </c>
      <c r="G6" t="inlineStr">
        <is>
          <t>Vectorizable</t>
        </is>
      </c>
    </row>
    <row r="7">
      <c r="A7" t="inlineStr">
        <is>
          <t>G000006</t>
        </is>
      </c>
      <c r="B7" t="inlineStr">
        <is>
          <t>Revenue Model</t>
        </is>
      </c>
      <c r="C7" t="inlineStr">
        <is>
          <t>Horizontal</t>
        </is>
      </c>
      <c r="D7" t="n">
        <v>5</v>
      </c>
      <c r="E7" t="inlineStr">
        <is>
          <t>Revenue Model!E8:I8</t>
        </is>
      </c>
      <c r="F7" t="inlineStr">
        <is>
          <t>'=R[0]C[-1]+2%</t>
        </is>
      </c>
      <c r="G7" t="inlineStr">
        <is>
          <t>Vectorizable</t>
        </is>
      </c>
    </row>
    <row r="8">
      <c r="A8" t="inlineStr">
        <is>
          <t>G000007</t>
        </is>
      </c>
      <c r="B8" t="inlineStr">
        <is>
          <t>Revenue Model</t>
        </is>
      </c>
      <c r="C8" t="inlineStr">
        <is>
          <t>Horizontal</t>
        </is>
      </c>
      <c r="D8" t="n">
        <v>3</v>
      </c>
      <c r="E8" t="inlineStr">
        <is>
          <t>Revenue Model!B9:D9</t>
        </is>
      </c>
      <c r="F8" t="inlineStr">
        <is>
          <t>'=R[-4]C[0]*100%/R[-1]C[0]</t>
        </is>
      </c>
      <c r="G8" t="inlineStr">
        <is>
          <t>Vectorizable</t>
        </is>
      </c>
    </row>
    <row r="9">
      <c r="A9" t="inlineStr">
        <is>
          <t>G000008</t>
        </is>
      </c>
      <c r="B9" t="inlineStr">
        <is>
          <t>Revenue Model</t>
        </is>
      </c>
      <c r="C9" t="inlineStr">
        <is>
          <t>Horizontal</t>
        </is>
      </c>
      <c r="D9" t="n">
        <v>5</v>
      </c>
      <c r="E9" t="inlineStr">
        <is>
          <t>Revenue Model!E9:I9</t>
        </is>
      </c>
      <c r="F9" t="inlineStr">
        <is>
          <t>'=R9C4</t>
        </is>
      </c>
      <c r="G9" t="inlineStr">
        <is>
          <t>Vectorizable</t>
        </is>
      </c>
    </row>
    <row r="10">
      <c r="A10" t="inlineStr">
        <is>
          <t>G000009</t>
        </is>
      </c>
      <c r="B10" t="inlineStr">
        <is>
          <t>Revenue Model</t>
        </is>
      </c>
      <c r="C10" t="inlineStr">
        <is>
          <t>Horizontal</t>
        </is>
      </c>
      <c r="D10" t="n">
        <v>3</v>
      </c>
      <c r="E10" t="inlineStr">
        <is>
          <t>Revenue Model!B11:D11</t>
        </is>
      </c>
      <c r="F10" t="inlineStr">
        <is>
          <t>'=R[-9]C[0]/R[-7]C[0]</t>
        </is>
      </c>
      <c r="G10" t="inlineStr">
        <is>
          <t>Vectorizable</t>
        </is>
      </c>
    </row>
    <row r="11">
      <c r="A11" t="inlineStr">
        <is>
          <t>G000010</t>
        </is>
      </c>
      <c r="B11" t="inlineStr">
        <is>
          <t>Revenue Model</t>
        </is>
      </c>
      <c r="C11" t="inlineStr">
        <is>
          <t>Horizontal</t>
        </is>
      </c>
      <c r="D11" t="n">
        <v>5</v>
      </c>
      <c r="E11" t="inlineStr">
        <is>
          <t>Revenue Model!E11:I11</t>
        </is>
      </c>
      <c r="F11" t="inlineStr">
        <is>
          <t>'=R[0]C[-1]*(1+R[1]C[0])</t>
        </is>
      </c>
      <c r="G11" t="inlineStr">
        <is>
          <t>Vectorizable</t>
        </is>
      </c>
    </row>
    <row r="12">
      <c r="A12" t="inlineStr">
        <is>
          <t>G000011</t>
        </is>
      </c>
      <c r="B12" t="inlineStr">
        <is>
          <t>Revenue Model</t>
        </is>
      </c>
      <c r="C12" t="inlineStr">
        <is>
          <t>Horizontal</t>
        </is>
      </c>
      <c r="D12" t="n">
        <v>2</v>
      </c>
      <c r="E12" t="inlineStr">
        <is>
          <t>Revenue Model!C12:D12</t>
        </is>
      </c>
      <c r="F12" t="inlineStr">
        <is>
          <t>'=R[-1]C[0]/R[-1]C[-1]-1</t>
        </is>
      </c>
      <c r="G12" t="inlineStr">
        <is>
          <t>Vectorizable</t>
        </is>
      </c>
    </row>
    <row r="13">
      <c r="A13" t="inlineStr">
        <is>
          <t>G000012</t>
        </is>
      </c>
      <c r="B13" t="inlineStr">
        <is>
          <t>Revenue Model</t>
        </is>
      </c>
      <c r="C13" t="inlineStr">
        <is>
          <t>Horizontal</t>
        </is>
      </c>
      <c r="D13" t="n">
        <v>2</v>
      </c>
      <c r="E13" t="inlineStr">
        <is>
          <t>Revenue Model!C36:D36</t>
        </is>
      </c>
      <c r="F13" t="inlineStr">
        <is>
          <t>'=R[-1]C[0]/R[-1]C[-1]-1</t>
        </is>
      </c>
      <c r="G13" t="inlineStr">
        <is>
          <t>Vectorizable</t>
        </is>
      </c>
    </row>
    <row r="14">
      <c r="A14" t="inlineStr">
        <is>
          <t>G000013</t>
        </is>
      </c>
      <c r="B14" t="inlineStr">
        <is>
          <t>Revenue Model</t>
        </is>
      </c>
      <c r="C14" t="inlineStr">
        <is>
          <t>Horizontal</t>
        </is>
      </c>
      <c r="D14" t="n">
        <v>3</v>
      </c>
      <c r="E14" t="inlineStr">
        <is>
          <t>Revenue Model!C38:E38</t>
        </is>
      </c>
      <c r="F14" t="inlineStr">
        <is>
          <t>'=R[-1]C[0]/R[-1]C[-1]-1</t>
        </is>
      </c>
      <c r="G14" t="inlineStr">
        <is>
          <t>Vectorizable</t>
        </is>
      </c>
    </row>
    <row r="15">
      <c r="A15" t="inlineStr">
        <is>
          <t>G000014</t>
        </is>
      </c>
      <c r="B15" t="inlineStr">
        <is>
          <t>Revenue Model</t>
        </is>
      </c>
      <c r="C15" t="inlineStr">
        <is>
          <t>Horizontal</t>
        </is>
      </c>
      <c r="D15" t="n">
        <v>2</v>
      </c>
      <c r="E15" t="inlineStr">
        <is>
          <t>Revenue Model!C40:D40</t>
        </is>
      </c>
      <c r="F15" t="inlineStr">
        <is>
          <t>'=R[-1]C[0]/R[-1]C[-1]-1</t>
        </is>
      </c>
      <c r="G15" t="inlineStr">
        <is>
          <t>Vectorizable</t>
        </is>
      </c>
    </row>
    <row r="16">
      <c r="A16" t="inlineStr">
        <is>
          <t>G000015</t>
        </is>
      </c>
      <c r="B16" t="inlineStr">
        <is>
          <t>Revenue Model</t>
        </is>
      </c>
      <c r="C16" t="inlineStr">
        <is>
          <t>Horizontal</t>
        </is>
      </c>
      <c r="D16" t="n">
        <v>5</v>
      </c>
      <c r="E16" t="inlineStr">
        <is>
          <t>Revenue Model!E12:I12</t>
        </is>
      </c>
      <c r="F16" t="inlineStr">
        <is>
          <t>'='DCF'!R33C2</t>
        </is>
      </c>
      <c r="G16" t="inlineStr">
        <is>
          <t>Vectorizable</t>
        </is>
      </c>
    </row>
    <row r="17">
      <c r="A17" t="inlineStr">
        <is>
          <t>G000016</t>
        </is>
      </c>
      <c r="B17" t="inlineStr">
        <is>
          <t>Revenue Model</t>
        </is>
      </c>
      <c r="C17" t="inlineStr">
        <is>
          <t>Horizontal</t>
        </is>
      </c>
      <c r="D17" t="n">
        <v>8</v>
      </c>
      <c r="E17" t="inlineStr">
        <is>
          <t>Revenue Model!B15:I15</t>
        </is>
      </c>
      <c r="F17" t="inlineStr">
        <is>
          <t>'=R[-4]C[0]*10000000/1000000</t>
        </is>
      </c>
      <c r="G17" t="inlineStr">
        <is>
          <t>Vectorizable</t>
        </is>
      </c>
    </row>
    <row r="18">
      <c r="A18" t="inlineStr">
        <is>
          <t>G000017</t>
        </is>
      </c>
      <c r="B18" t="inlineStr">
        <is>
          <t>Revenue Model</t>
        </is>
      </c>
      <c r="C18" t="inlineStr">
        <is>
          <t>Horizontal</t>
        </is>
      </c>
      <c r="D18" t="n">
        <v>8</v>
      </c>
      <c r="E18" t="inlineStr">
        <is>
          <t>Revenue Model!B16:I16</t>
        </is>
      </c>
      <c r="F18" t="inlineStr">
        <is>
          <t>'=R[-1]C[0]/1000</t>
        </is>
      </c>
      <c r="G18" t="inlineStr">
        <is>
          <t>Vectorizable</t>
        </is>
      </c>
    </row>
    <row r="19">
      <c r="A19" t="inlineStr">
        <is>
          <t>G000018</t>
        </is>
      </c>
      <c r="B19" t="inlineStr">
        <is>
          <t>Revenue Model</t>
        </is>
      </c>
      <c r="C19" t="inlineStr">
        <is>
          <t>Horizontal</t>
        </is>
      </c>
      <c r="D19" t="n">
        <v>5</v>
      </c>
      <c r="E19" t="inlineStr">
        <is>
          <t>Revenue Model!E19:I19</t>
        </is>
      </c>
      <c r="F19" t="inlineStr">
        <is>
          <t>'=R2C[0]*R[10]C[0]</t>
        </is>
      </c>
      <c r="G19" t="inlineStr">
        <is>
          <t>Vectorizable</t>
        </is>
      </c>
    </row>
    <row r="20">
      <c r="A20" t="inlineStr">
        <is>
          <t>G000019</t>
        </is>
      </c>
      <c r="B20" t="inlineStr">
        <is>
          <t>Revenue Model</t>
        </is>
      </c>
      <c r="C20" t="inlineStr">
        <is>
          <t>Horizontal</t>
        </is>
      </c>
      <c r="D20" t="n">
        <v>5</v>
      </c>
      <c r="E20" t="inlineStr">
        <is>
          <t>Revenue Model!E20:I20</t>
        </is>
      </c>
      <c r="F20" t="inlineStr">
        <is>
          <t>'=R2C[0]*R[10]C[0]</t>
        </is>
      </c>
      <c r="G20" t="inlineStr">
        <is>
          <t>Vectorizable</t>
        </is>
      </c>
    </row>
    <row r="21">
      <c r="A21" t="inlineStr">
        <is>
          <t>G000020</t>
        </is>
      </c>
      <c r="B21" t="inlineStr">
        <is>
          <t>Revenue Model</t>
        </is>
      </c>
      <c r="C21" t="inlineStr">
        <is>
          <t>Horizontal</t>
        </is>
      </c>
      <c r="D21" t="n">
        <v>5</v>
      </c>
      <c r="E21" t="inlineStr">
        <is>
          <t>Revenue Model!E21:I21</t>
        </is>
      </c>
      <c r="F21" t="inlineStr">
        <is>
          <t>'=R2C[0]*R[10]C[0]</t>
        </is>
      </c>
      <c r="G21" t="inlineStr">
        <is>
          <t>Vectorizable</t>
        </is>
      </c>
    </row>
    <row r="22">
      <c r="A22" t="inlineStr">
        <is>
          <t>G000021</t>
        </is>
      </c>
      <c r="B22" t="inlineStr">
        <is>
          <t>Revenue Model</t>
        </is>
      </c>
      <c r="C22" t="inlineStr">
        <is>
          <t>Horizontal</t>
        </is>
      </c>
      <c r="D22" t="n">
        <v>5</v>
      </c>
      <c r="E22" t="inlineStr">
        <is>
          <t>Revenue Model!E22:I22</t>
        </is>
      </c>
      <c r="F22" t="inlineStr">
        <is>
          <t>'=R2C[0]*R[10]C[0]</t>
        </is>
      </c>
      <c r="G22" t="inlineStr">
        <is>
          <t>Vectorizable</t>
        </is>
      </c>
    </row>
    <row r="23">
      <c r="A23" t="inlineStr">
        <is>
          <t>G000022</t>
        </is>
      </c>
      <c r="B23" t="inlineStr">
        <is>
          <t>Revenue Model</t>
        </is>
      </c>
      <c r="C23" t="inlineStr">
        <is>
          <t>Horizontal</t>
        </is>
      </c>
      <c r="D23" t="n">
        <v>5</v>
      </c>
      <c r="E23" t="inlineStr">
        <is>
          <t>Revenue Model!E23:I23</t>
        </is>
      </c>
      <c r="F23" t="inlineStr">
        <is>
          <t>'=R2C[0]*R[10]C[0]</t>
        </is>
      </c>
      <c r="G23" t="inlineStr">
        <is>
          <t>Vectorizable</t>
        </is>
      </c>
    </row>
    <row r="24">
      <c r="A24" t="inlineStr">
        <is>
          <t>G000023</t>
        </is>
      </c>
      <c r="B24" t="inlineStr">
        <is>
          <t>Revenue Model</t>
        </is>
      </c>
      <c r="C24" t="inlineStr">
        <is>
          <t>Horizontal</t>
        </is>
      </c>
      <c r="D24" t="n">
        <v>8</v>
      </c>
      <c r="E24" t="inlineStr">
        <is>
          <t>Revenue Model!B24:I24</t>
        </is>
      </c>
      <c r="F24" t="inlineStr">
        <is>
          <t>'=SUM(R[-5]C[0]:R[-1]C[0])</t>
        </is>
      </c>
      <c r="G24" t="inlineStr">
        <is>
          <t>Vectorizable</t>
        </is>
      </c>
    </row>
    <row r="25">
      <c r="A25" t="inlineStr">
        <is>
          <t>G000024</t>
        </is>
      </c>
      <c r="B25" t="inlineStr">
        <is>
          <t>Revenue Model</t>
        </is>
      </c>
      <c r="C25" t="inlineStr">
        <is>
          <t>Horizontal</t>
        </is>
      </c>
      <c r="D25" t="n">
        <v>8</v>
      </c>
      <c r="E25" t="inlineStr">
        <is>
          <t>Revenue Model!B26:I26</t>
        </is>
      </c>
      <c r="F25" t="inlineStr">
        <is>
          <t>'=R[-24]C[0]-R[-2]C[0]</t>
        </is>
      </c>
      <c r="G25" t="inlineStr">
        <is>
          <t>Vectorizable</t>
        </is>
      </c>
    </row>
    <row r="26">
      <c r="A26" t="inlineStr">
        <is>
          <t>G000025</t>
        </is>
      </c>
      <c r="B26" t="inlineStr">
        <is>
          <t>Revenue Model</t>
        </is>
      </c>
      <c r="C26" t="inlineStr">
        <is>
          <t>Horizontal</t>
        </is>
      </c>
      <c r="D26" t="n">
        <v>8</v>
      </c>
      <c r="E26" t="inlineStr">
        <is>
          <t>Revenue Model!B27:I27</t>
        </is>
      </c>
      <c r="F26" t="inlineStr">
        <is>
          <t>'=R[-1]C[0]/R[-25]C[0]</t>
        </is>
      </c>
      <c r="G26" t="inlineStr">
        <is>
          <t>Vectorizable</t>
        </is>
      </c>
    </row>
    <row r="27">
      <c r="A27" t="inlineStr">
        <is>
          <t>G000026</t>
        </is>
      </c>
      <c r="B27" t="inlineStr">
        <is>
          <t>Revenue Model</t>
        </is>
      </c>
      <c r="C27" t="inlineStr">
        <is>
          <t>Horizontal</t>
        </is>
      </c>
      <c r="D27" t="n">
        <v>3</v>
      </c>
      <c r="E27" t="inlineStr">
        <is>
          <t>Revenue Model!B29:D29</t>
        </is>
      </c>
      <c r="F27" t="inlineStr">
        <is>
          <t>'=R[-10]C[0]/R2C[0]</t>
        </is>
      </c>
      <c r="G27" t="inlineStr">
        <is>
          <t>Vectorizable</t>
        </is>
      </c>
    </row>
    <row r="28">
      <c r="A28" t="inlineStr">
        <is>
          <t>G000027</t>
        </is>
      </c>
      <c r="B28" t="inlineStr">
        <is>
          <t>Revenue Model</t>
        </is>
      </c>
      <c r="C28" t="inlineStr">
        <is>
          <t>Horizontal</t>
        </is>
      </c>
      <c r="D28" t="n">
        <v>3</v>
      </c>
      <c r="E28" t="inlineStr">
        <is>
          <t>Revenue Model!B30:D30</t>
        </is>
      </c>
      <c r="F28" t="inlineStr">
        <is>
          <t>'=R[-10]C[0]/R2C[0]</t>
        </is>
      </c>
      <c r="G28" t="inlineStr">
        <is>
          <t>Vectorizable</t>
        </is>
      </c>
    </row>
    <row r="29">
      <c r="A29" t="inlineStr">
        <is>
          <t>G000028</t>
        </is>
      </c>
      <c r="B29" t="inlineStr">
        <is>
          <t>Revenue Model</t>
        </is>
      </c>
      <c r="C29" t="inlineStr">
        <is>
          <t>Horizontal</t>
        </is>
      </c>
      <c r="D29" t="n">
        <v>3</v>
      </c>
      <c r="E29" t="inlineStr">
        <is>
          <t>Revenue Model!B31:D31</t>
        </is>
      </c>
      <c r="F29" t="inlineStr">
        <is>
          <t>'=R[-10]C[0]/R2C[0]</t>
        </is>
      </c>
      <c r="G29" t="inlineStr">
        <is>
          <t>Vectorizable</t>
        </is>
      </c>
    </row>
    <row r="30">
      <c r="A30" t="inlineStr">
        <is>
          <t>G000029</t>
        </is>
      </c>
      <c r="B30" t="inlineStr">
        <is>
          <t>Revenue Model</t>
        </is>
      </c>
      <c r="C30" t="inlineStr">
        <is>
          <t>Horizontal</t>
        </is>
      </c>
      <c r="D30" t="n">
        <v>3</v>
      </c>
      <c r="E30" t="inlineStr">
        <is>
          <t>Revenue Model!B32:D32</t>
        </is>
      </c>
      <c r="F30" t="inlineStr">
        <is>
          <t>'=R[-10]C[0]/R2C[0]</t>
        </is>
      </c>
      <c r="G30" t="inlineStr">
        <is>
          <t>Vectorizable</t>
        </is>
      </c>
    </row>
    <row r="31">
      <c r="A31" t="inlineStr">
        <is>
          <t>G000030</t>
        </is>
      </c>
      <c r="B31" t="inlineStr">
        <is>
          <t>Revenue Model</t>
        </is>
      </c>
      <c r="C31" t="inlineStr">
        <is>
          <t>Horizontal</t>
        </is>
      </c>
      <c r="D31" t="n">
        <v>3</v>
      </c>
      <c r="E31" t="inlineStr">
        <is>
          <t>Revenue Model!B33:D33</t>
        </is>
      </c>
      <c r="F31" t="inlineStr">
        <is>
          <t>'=R[-10]C[0]/R2C[0]</t>
        </is>
      </c>
      <c r="G31" t="inlineStr">
        <is>
          <t>Vectorizable</t>
        </is>
      </c>
    </row>
    <row r="32">
      <c r="A32" t="inlineStr">
        <is>
          <t>G000031</t>
        </is>
      </c>
      <c r="B32" t="inlineStr">
        <is>
          <t>Revenue Model</t>
        </is>
      </c>
      <c r="C32" t="inlineStr">
        <is>
          <t>Horizontal</t>
        </is>
      </c>
      <c r="D32" t="n">
        <v>5</v>
      </c>
      <c r="E32" t="inlineStr">
        <is>
          <t>Revenue Model!E29:I29</t>
        </is>
      </c>
      <c r="F32" t="inlineStr">
        <is>
          <t>'=R[0]C[-1]</t>
        </is>
      </c>
      <c r="G32" t="inlineStr">
        <is>
          <t>Vectorizable</t>
        </is>
      </c>
    </row>
    <row r="33">
      <c r="A33" t="inlineStr">
        <is>
          <t>G000032</t>
        </is>
      </c>
      <c r="B33" t="inlineStr">
        <is>
          <t>Revenue Model</t>
        </is>
      </c>
      <c r="C33" t="inlineStr">
        <is>
          <t>Horizontal</t>
        </is>
      </c>
      <c r="D33" t="n">
        <v>5</v>
      </c>
      <c r="E33" t="inlineStr">
        <is>
          <t>Revenue Model!E30:I30</t>
        </is>
      </c>
      <c r="F33" t="inlineStr">
        <is>
          <t>'=R[0]C[-1]</t>
        </is>
      </c>
      <c r="G33" t="inlineStr">
        <is>
          <t>Vectorizable</t>
        </is>
      </c>
    </row>
    <row r="34">
      <c r="A34" t="inlineStr">
        <is>
          <t>G000033</t>
        </is>
      </c>
      <c r="B34" t="inlineStr">
        <is>
          <t>Revenue Model</t>
        </is>
      </c>
      <c r="C34" t="inlineStr">
        <is>
          <t>Horizontal</t>
        </is>
      </c>
      <c r="D34" t="n">
        <v>5</v>
      </c>
      <c r="E34" t="inlineStr">
        <is>
          <t>Revenue Model!E32:I32</t>
        </is>
      </c>
      <c r="F34" t="inlineStr">
        <is>
          <t>'=R[0]C[-1]</t>
        </is>
      </c>
      <c r="G34" t="inlineStr">
        <is>
          <t>Vectorizable</t>
        </is>
      </c>
    </row>
    <row r="35">
      <c r="A35" t="inlineStr">
        <is>
          <t>G000034</t>
        </is>
      </c>
      <c r="B35" t="inlineStr">
        <is>
          <t>Revenue Model</t>
        </is>
      </c>
      <c r="C35" t="inlineStr">
        <is>
          <t>Horizontal</t>
        </is>
      </c>
      <c r="D35" t="n">
        <v>5</v>
      </c>
      <c r="E35" t="inlineStr">
        <is>
          <t>Revenue Model!E33:I33</t>
        </is>
      </c>
      <c r="F35" t="inlineStr">
        <is>
          <t>'=R[0]C[-1]</t>
        </is>
      </c>
      <c r="G35" t="inlineStr">
        <is>
          <t>Vectorizable</t>
        </is>
      </c>
    </row>
    <row r="36">
      <c r="A36" t="inlineStr">
        <is>
          <t>G000035</t>
        </is>
      </c>
      <c r="B36" t="inlineStr">
        <is>
          <t>Revenue Model</t>
        </is>
      </c>
      <c r="C36" t="inlineStr">
        <is>
          <t>Horizontal</t>
        </is>
      </c>
      <c r="D36" t="n">
        <v>4</v>
      </c>
      <c r="E36" t="inlineStr">
        <is>
          <t>Revenue Model!F31:I31</t>
        </is>
      </c>
      <c r="F36" t="inlineStr">
        <is>
          <t>'=R[0]C[-1]+0.5%</t>
        </is>
      </c>
      <c r="G36" t="inlineStr">
        <is>
          <t>Vectorizable</t>
        </is>
      </c>
    </row>
    <row r="37">
      <c r="A37" t="inlineStr">
        <is>
          <t>G000036</t>
        </is>
      </c>
      <c r="B37" t="inlineStr">
        <is>
          <t>Revenue Model</t>
        </is>
      </c>
      <c r="C37" t="inlineStr">
        <is>
          <t>Horizontal</t>
        </is>
      </c>
      <c r="D37" t="n">
        <v>2</v>
      </c>
      <c r="E37" t="inlineStr">
        <is>
          <t>Revenue Model!C41:D41</t>
        </is>
      </c>
      <c r="F37" t="inlineStr">
        <is>
          <t>'=R[-20]C[0]/R[-20]C[-1]-1</t>
        </is>
      </c>
      <c r="G37" t="inlineStr">
        <is>
          <t>Vectorizable</t>
        </is>
      </c>
    </row>
    <row r="38">
      <c r="A38" t="inlineStr">
        <is>
          <t>G000037</t>
        </is>
      </c>
      <c r="B38" t="inlineStr">
        <is>
          <t>Financial Statements</t>
        </is>
      </c>
      <c r="C38" t="inlineStr">
        <is>
          <t>Horizontal</t>
        </is>
      </c>
      <c r="D38" t="n">
        <v>8</v>
      </c>
      <c r="E38" t="inlineStr">
        <is>
          <t>Financial Statements!B2:I2</t>
        </is>
      </c>
      <c r="F38" t="inlineStr">
        <is>
          <t>'='Revenue Model'!R[0]C[0]</t>
        </is>
      </c>
      <c r="G38" t="inlineStr">
        <is>
          <t>Vectorizable</t>
        </is>
      </c>
    </row>
    <row r="39">
      <c r="A39" t="inlineStr">
        <is>
          <t>G000038</t>
        </is>
      </c>
      <c r="B39" t="inlineStr">
        <is>
          <t>Financial Statements</t>
        </is>
      </c>
      <c r="C39" t="inlineStr">
        <is>
          <t>Horizontal</t>
        </is>
      </c>
      <c r="D39" t="n">
        <v>9</v>
      </c>
      <c r="E39" t="inlineStr">
        <is>
          <t>Financial Statements!A4:I4</t>
        </is>
      </c>
      <c r="F39" t="inlineStr">
        <is>
          <t>'='Revenue Model'!R[15]C[0]</t>
        </is>
      </c>
      <c r="G39" t="inlineStr">
        <is>
          <t>Vectorizable</t>
        </is>
      </c>
    </row>
    <row r="40">
      <c r="A40" t="inlineStr">
        <is>
          <t>G000039</t>
        </is>
      </c>
      <c r="B40" t="inlineStr">
        <is>
          <t>Financial Statements</t>
        </is>
      </c>
      <c r="C40" t="inlineStr">
        <is>
          <t>Horizontal</t>
        </is>
      </c>
      <c r="D40" t="n">
        <v>9</v>
      </c>
      <c r="E40" t="inlineStr">
        <is>
          <t>Financial Statements!A5:I5</t>
        </is>
      </c>
      <c r="F40" t="inlineStr">
        <is>
          <t>'='Revenue Model'!R[15]C[0]</t>
        </is>
      </c>
      <c r="G40" t="inlineStr">
        <is>
          <t>Vectorizable</t>
        </is>
      </c>
    </row>
    <row r="41">
      <c r="A41" t="inlineStr">
        <is>
          <t>G000040</t>
        </is>
      </c>
      <c r="B41" t="inlineStr">
        <is>
          <t>Financial Statements</t>
        </is>
      </c>
      <c r="C41" t="inlineStr">
        <is>
          <t>Horizontal</t>
        </is>
      </c>
      <c r="D41" t="n">
        <v>9</v>
      </c>
      <c r="E41" t="inlineStr">
        <is>
          <t>Financial Statements!A6:I6</t>
        </is>
      </c>
      <c r="F41" t="inlineStr">
        <is>
          <t>'='Revenue Model'!R[15]C[0]</t>
        </is>
      </c>
      <c r="G41" t="inlineStr">
        <is>
          <t>Vectorizable</t>
        </is>
      </c>
    </row>
    <row r="42">
      <c r="A42" t="inlineStr">
        <is>
          <t>G000041</t>
        </is>
      </c>
      <c r="B42" t="inlineStr">
        <is>
          <t>Financial Statements</t>
        </is>
      </c>
      <c r="C42" t="inlineStr">
        <is>
          <t>Horizontal</t>
        </is>
      </c>
      <c r="D42" t="n">
        <v>9</v>
      </c>
      <c r="E42" t="inlineStr">
        <is>
          <t>Financial Statements!A7:I7</t>
        </is>
      </c>
      <c r="F42" t="inlineStr">
        <is>
          <t>'='Revenue Model'!R[15]C[0]</t>
        </is>
      </c>
      <c r="G42" t="inlineStr">
        <is>
          <t>Vectorizable</t>
        </is>
      </c>
    </row>
    <row r="43">
      <c r="A43" t="inlineStr">
        <is>
          <t>G000042</t>
        </is>
      </c>
      <c r="B43" t="inlineStr">
        <is>
          <t>Financial Statements</t>
        </is>
      </c>
      <c r="C43" t="inlineStr">
        <is>
          <t>Horizontal</t>
        </is>
      </c>
      <c r="D43" t="n">
        <v>9</v>
      </c>
      <c r="E43" t="inlineStr">
        <is>
          <t>Financial Statements!A8:I8</t>
        </is>
      </c>
      <c r="F43" t="inlineStr">
        <is>
          <t>'='Revenue Model'!R[15]C[0]</t>
        </is>
      </c>
      <c r="G43" t="inlineStr">
        <is>
          <t>Vectorizable</t>
        </is>
      </c>
    </row>
    <row r="44">
      <c r="A44" t="inlineStr">
        <is>
          <t>G000043</t>
        </is>
      </c>
      <c r="B44" t="inlineStr">
        <is>
          <t>Financial Statements</t>
        </is>
      </c>
      <c r="C44" t="inlineStr">
        <is>
          <t>Horizontal</t>
        </is>
      </c>
      <c r="D44" t="n">
        <v>5</v>
      </c>
      <c r="E44" t="inlineStr">
        <is>
          <t>Financial Statements!O4:S4</t>
        </is>
      </c>
      <c r="F44" t="inlineStr">
        <is>
          <t>'=R[0]C[-1]+R[16]C[-10]</t>
        </is>
      </c>
      <c r="G44" t="inlineStr">
        <is>
          <t>Vectorizable</t>
        </is>
      </c>
    </row>
    <row r="45">
      <c r="A45" t="inlineStr">
        <is>
          <t>G000044</t>
        </is>
      </c>
      <c r="B45" t="inlineStr">
        <is>
          <t>Financial Statements</t>
        </is>
      </c>
      <c r="C45" t="inlineStr">
        <is>
          <t>Horizontal</t>
        </is>
      </c>
      <c r="D45" t="n">
        <v>6</v>
      </c>
      <c r="E45" t="inlineStr">
        <is>
          <t>Financial Statements!N6:S6</t>
        </is>
      </c>
      <c r="F45" t="inlineStr">
        <is>
          <t>'=SUM(R[-3]C[0]:R[-1]C[0])</t>
        </is>
      </c>
      <c r="G45" t="inlineStr">
        <is>
          <t>Vectorizable</t>
        </is>
      </c>
    </row>
    <row r="46">
      <c r="A46" t="inlineStr">
        <is>
          <t>G000045</t>
        </is>
      </c>
      <c r="B46" t="inlineStr">
        <is>
          <t>Financial Statements</t>
        </is>
      </c>
      <c r="C46" t="inlineStr">
        <is>
          <t>Horizontal</t>
        </is>
      </c>
      <c r="D46" t="n">
        <v>6</v>
      </c>
      <c r="E46" t="inlineStr">
        <is>
          <t>Financial Statements!N8:S8</t>
        </is>
      </c>
      <c r="F46" t="inlineStr">
        <is>
          <t>'='Asset schedule'!R[-2]C[-10]+'Asset schedule'!R[6]C[-10]+'Asset schedule'!R[14]C[-10]+'Asset schedule'!R[22]C[-10]+'Asset schedule'!R[30]C[-10]+'Asset schedule'!R[38]C[-10]+'Asset schedule'!R[46]C[-10]+'Asset schedule'!R[54]C[-10]+'Asset schedule'!R[62]C[-10]+'Asset schedule'!R[70]C[-10]+'Asset schedule'!R[78]C[-10]</t>
        </is>
      </c>
      <c r="G46" t="inlineStr">
        <is>
          <t>Vectorizable</t>
        </is>
      </c>
    </row>
    <row r="47">
      <c r="A47" t="inlineStr">
        <is>
          <t>G000046</t>
        </is>
      </c>
      <c r="B47" t="inlineStr">
        <is>
          <t>Financial Statements</t>
        </is>
      </c>
      <c r="C47" t="inlineStr">
        <is>
          <t>Horizontal</t>
        </is>
      </c>
      <c r="D47" t="n">
        <v>8</v>
      </c>
      <c r="E47" t="inlineStr">
        <is>
          <t>Financial Statements!B9:I9</t>
        </is>
      </c>
      <c r="F47" t="inlineStr">
        <is>
          <t>'=SUM(R[-5]C[0]:R[-1]C[0])</t>
        </is>
      </c>
      <c r="G47" t="inlineStr">
        <is>
          <t>Vectorizable</t>
        </is>
      </c>
    </row>
    <row r="48">
      <c r="A48" t="inlineStr">
        <is>
          <t>G000047</t>
        </is>
      </c>
      <c r="B48" t="inlineStr">
        <is>
          <t>Financial Statements</t>
        </is>
      </c>
      <c r="C48" t="inlineStr">
        <is>
          <t>Horizontal</t>
        </is>
      </c>
      <c r="D48" t="n">
        <v>6</v>
      </c>
      <c r="E48" t="inlineStr">
        <is>
          <t>Financial Statements!N9:S9</t>
        </is>
      </c>
      <c r="F48" t="inlineStr">
        <is>
          <t>'=R[25]C[0]</t>
        </is>
      </c>
      <c r="G48" t="inlineStr">
        <is>
          <t>Vectorizable</t>
        </is>
      </c>
    </row>
    <row r="49">
      <c r="A49" t="inlineStr">
        <is>
          <t>G000048</t>
        </is>
      </c>
      <c r="B49" t="inlineStr">
        <is>
          <t>Financial Statements</t>
        </is>
      </c>
      <c r="C49" t="inlineStr">
        <is>
          <t>Horizontal</t>
        </is>
      </c>
      <c r="D49" t="n">
        <v>8</v>
      </c>
      <c r="E49" t="inlineStr">
        <is>
          <t>Financial Statements!B10:I10</t>
        </is>
      </c>
      <c r="F49" t="inlineStr">
        <is>
          <t>'=R[-8]C[0]-R[-1]C[0]</t>
        </is>
      </c>
      <c r="G49" t="inlineStr">
        <is>
          <t>Vectorizable</t>
        </is>
      </c>
    </row>
    <row r="50">
      <c r="A50" t="inlineStr">
        <is>
          <t>G000049</t>
        </is>
      </c>
      <c r="B50" t="inlineStr">
        <is>
          <t>Financial Statements</t>
        </is>
      </c>
      <c r="C50" t="inlineStr">
        <is>
          <t>Horizontal</t>
        </is>
      </c>
      <c r="D50" t="n">
        <v>6</v>
      </c>
      <c r="E50" t="inlineStr">
        <is>
          <t>Financial Statements!N10:S10</t>
        </is>
      </c>
      <c r="F50" t="inlineStr">
        <is>
          <t>'=SUM(R[-2]C[0]:R[-1]C[0])</t>
        </is>
      </c>
      <c r="G50" t="inlineStr">
        <is>
          <t>Vectorizable</t>
        </is>
      </c>
    </row>
    <row r="51">
      <c r="A51" t="inlineStr">
        <is>
          <t>G000050</t>
        </is>
      </c>
      <c r="B51" t="inlineStr">
        <is>
          <t>Financial Statements</t>
        </is>
      </c>
      <c r="C51" t="inlineStr">
        <is>
          <t>Horizontal</t>
        </is>
      </c>
      <c r="D51" t="n">
        <v>6</v>
      </c>
      <c r="E51" t="inlineStr">
        <is>
          <t>Financial Statements!D11:I11</t>
        </is>
      </c>
      <c r="F51" t="inlineStr">
        <is>
          <t>'='Asset schedule'!R[-6]C[0]+'Asset schedule'!R[2]C[0]+'Asset schedule'!R[10]C[0]+'Asset schedule'!R[18]C[0]+'Asset schedule'!R[26]C[0]+'Asset schedule'!R[34]C[0]+'Asset schedule'!R[42]C[0]+'Asset schedule'!R[50]C[0]+'Asset schedule'!R[58]C[0]+'Asset schedule'!R[66]C[0]+'Asset schedule'!R[74]C[0]</t>
        </is>
      </c>
      <c r="G51" t="inlineStr">
        <is>
          <t>Vectorizable</t>
        </is>
      </c>
    </row>
    <row r="52">
      <c r="A52" t="inlineStr">
        <is>
          <t>G000051</t>
        </is>
      </c>
      <c r="B52" t="inlineStr">
        <is>
          <t>Financial Statements</t>
        </is>
      </c>
      <c r="C52" t="inlineStr">
        <is>
          <t>Horizontal</t>
        </is>
      </c>
      <c r="D52" t="n">
        <v>6</v>
      </c>
      <c r="E52" t="inlineStr">
        <is>
          <t>Financial Statements!N11:S11</t>
        </is>
      </c>
      <c r="F52" t="inlineStr">
        <is>
          <t>'=R[-5]C[0]-R[-1]C[0]</t>
        </is>
      </c>
      <c r="G52" t="inlineStr">
        <is>
          <t>Vectorizable</t>
        </is>
      </c>
    </row>
    <row r="53">
      <c r="A53" t="inlineStr">
        <is>
          <t>G000052</t>
        </is>
      </c>
      <c r="B53" t="inlineStr">
        <is>
          <t>Financial Statements</t>
        </is>
      </c>
      <c r="C53" t="inlineStr">
        <is>
          <t>Horizontal</t>
        </is>
      </c>
      <c r="D53" t="n">
        <v>8</v>
      </c>
      <c r="E53" t="inlineStr">
        <is>
          <t>Financial Statements!B12:I12</t>
        </is>
      </c>
      <c r="F53" t="inlineStr">
        <is>
          <t>'=R[-2]C[0]-R[-1]C[0]</t>
        </is>
      </c>
      <c r="G53" t="inlineStr">
        <is>
          <t>Vectorizable</t>
        </is>
      </c>
    </row>
    <row r="54">
      <c r="A54" t="inlineStr">
        <is>
          <t>G000053</t>
        </is>
      </c>
      <c r="B54" t="inlineStr">
        <is>
          <t>Financial Statements</t>
        </is>
      </c>
      <c r="C54" t="inlineStr">
        <is>
          <t>Horizontal</t>
        </is>
      </c>
      <c r="D54" t="n">
        <v>8</v>
      </c>
      <c r="E54" t="inlineStr">
        <is>
          <t>Financial Statements!B14:I14</t>
        </is>
      </c>
      <c r="F54" t="inlineStr">
        <is>
          <t>'=R[-2]C[0]-R[-1]C[0]</t>
        </is>
      </c>
      <c r="G54" t="inlineStr">
        <is>
          <t>Vectorizable</t>
        </is>
      </c>
    </row>
    <row r="55">
      <c r="A55" t="inlineStr">
        <is>
          <t>G000054</t>
        </is>
      </c>
      <c r="B55" t="inlineStr">
        <is>
          <t>Financial Statements</t>
        </is>
      </c>
      <c r="C55" t="inlineStr">
        <is>
          <t>Horizontal</t>
        </is>
      </c>
      <c r="D55" t="n">
        <v>5</v>
      </c>
      <c r="E55" t="inlineStr">
        <is>
          <t>Financial Statements!E13:I13</t>
        </is>
      </c>
      <c r="F55" t="inlineStr">
        <is>
          <t>'=R[0]C[-1]</t>
        </is>
      </c>
      <c r="G55" t="inlineStr">
        <is>
          <t>Vectorizable</t>
        </is>
      </c>
    </row>
    <row r="56">
      <c r="A56" t="inlineStr">
        <is>
          <t>G000055</t>
        </is>
      </c>
      <c r="B56" t="inlineStr">
        <is>
          <t>Financial Statements</t>
        </is>
      </c>
      <c r="C56" t="inlineStr">
        <is>
          <t>Horizontal</t>
        </is>
      </c>
      <c r="D56" t="n">
        <v>5</v>
      </c>
      <c r="E56" t="inlineStr">
        <is>
          <t>Financial Statements!E21:I21</t>
        </is>
      </c>
      <c r="F56" t="inlineStr">
        <is>
          <t>'=R[0]C[-1]</t>
        </is>
      </c>
      <c r="G56" t="inlineStr">
        <is>
          <t>Vectorizable</t>
        </is>
      </c>
    </row>
    <row r="57">
      <c r="A57" t="inlineStr">
        <is>
          <t>G000056</t>
        </is>
      </c>
      <c r="B57" t="inlineStr">
        <is>
          <t>Financial Statements</t>
        </is>
      </c>
      <c r="C57" t="inlineStr">
        <is>
          <t>Horizontal</t>
        </is>
      </c>
      <c r="D57" t="n">
        <v>5</v>
      </c>
      <c r="E57" t="inlineStr">
        <is>
          <t>Financial Statements!E15:I15</t>
        </is>
      </c>
      <c r="F57" t="inlineStr">
        <is>
          <t>'=R[-1]C[0]*R[1]C[0]</t>
        </is>
      </c>
      <c r="G57" t="inlineStr">
        <is>
          <t>Vectorizable</t>
        </is>
      </c>
    </row>
    <row r="58">
      <c r="A58" t="inlineStr">
        <is>
          <t>G000057</t>
        </is>
      </c>
      <c r="B58" t="inlineStr">
        <is>
          <t>Financial Statements</t>
        </is>
      </c>
      <c r="C58" t="inlineStr">
        <is>
          <t>Horizontal</t>
        </is>
      </c>
      <c r="D58" t="n">
        <v>5</v>
      </c>
      <c r="E58" t="inlineStr">
        <is>
          <t>Financial Statements!O15:S15</t>
        </is>
      </c>
      <c r="F58" t="inlineStr">
        <is>
          <t>'=R[2]C[-10]</t>
        </is>
      </c>
      <c r="G58" t="inlineStr">
        <is>
          <t>Vectorizable</t>
        </is>
      </c>
    </row>
    <row r="59">
      <c r="A59" t="inlineStr">
        <is>
          <t>G000058</t>
        </is>
      </c>
      <c r="B59" t="inlineStr">
        <is>
          <t>Financial Statements</t>
        </is>
      </c>
      <c r="C59" t="inlineStr">
        <is>
          <t>Horizontal</t>
        </is>
      </c>
      <c r="D59" t="n">
        <v>3</v>
      </c>
      <c r="E59" t="inlineStr">
        <is>
          <t>Financial Statements!B16:D16</t>
        </is>
      </c>
      <c r="F59" t="inlineStr">
        <is>
          <t>'=R[-1]C[0]/R[-2]C[0]</t>
        </is>
      </c>
      <c r="G59" t="inlineStr">
        <is>
          <t>Vectorizable</t>
        </is>
      </c>
    </row>
    <row r="60">
      <c r="A60" t="inlineStr">
        <is>
          <t>G000059</t>
        </is>
      </c>
      <c r="B60" t="inlineStr">
        <is>
          <t>Financial Statements</t>
        </is>
      </c>
      <c r="C60" t="inlineStr">
        <is>
          <t>Horizontal</t>
        </is>
      </c>
      <c r="D60" t="n">
        <v>5</v>
      </c>
      <c r="E60" t="inlineStr">
        <is>
          <t>Financial Statements!E16:I16</t>
        </is>
      </c>
      <c r="F60" t="inlineStr">
        <is>
          <t>'=AVERAGE(R16C3:R16C4)</t>
        </is>
      </c>
      <c r="G60" t="inlineStr">
        <is>
          <t>Vectorizable</t>
        </is>
      </c>
    </row>
    <row r="61">
      <c r="A61" t="inlineStr">
        <is>
          <t>G000060</t>
        </is>
      </c>
      <c r="B61" t="inlineStr">
        <is>
          <t>Financial Statements</t>
        </is>
      </c>
      <c r="C61" t="inlineStr">
        <is>
          <t>Horizontal</t>
        </is>
      </c>
      <c r="D61" t="n">
        <v>5</v>
      </c>
      <c r="E61" t="inlineStr">
        <is>
          <t>Financial Statements!O16:S16</t>
        </is>
      </c>
      <c r="F61" t="inlineStr">
        <is>
          <t>'=R[-5]C[-10]</t>
        </is>
      </c>
      <c r="G61" t="inlineStr">
        <is>
          <t>Vectorizable</t>
        </is>
      </c>
    </row>
    <row r="62">
      <c r="A62" t="inlineStr">
        <is>
          <t>G000061</t>
        </is>
      </c>
      <c r="B62" t="inlineStr">
        <is>
          <t>Financial Statements</t>
        </is>
      </c>
      <c r="C62" t="inlineStr">
        <is>
          <t>Horizontal</t>
        </is>
      </c>
      <c r="D62" t="n">
        <v>8</v>
      </c>
      <c r="E62" t="inlineStr">
        <is>
          <t>Financial Statements!B17:I17</t>
        </is>
      </c>
      <c r="F62" t="inlineStr">
        <is>
          <t>'=R[-3]C[0]-R[-2]C[0]</t>
        </is>
      </c>
      <c r="G62" t="inlineStr">
        <is>
          <t>Vectorizable</t>
        </is>
      </c>
    </row>
    <row r="63">
      <c r="A63" t="inlineStr">
        <is>
          <t>G000062</t>
        </is>
      </c>
      <c r="B63" t="inlineStr">
        <is>
          <t>Financial Statements</t>
        </is>
      </c>
      <c r="C63" t="inlineStr">
        <is>
          <t>Horizontal</t>
        </is>
      </c>
      <c r="D63" t="n">
        <v>5</v>
      </c>
      <c r="E63" t="inlineStr">
        <is>
          <t>Financial Statements!O17:S17</t>
        </is>
      </c>
      <c r="F63" t="inlineStr">
        <is>
          <t>'=R[-4]C[-10]</t>
        </is>
      </c>
      <c r="G63" t="inlineStr">
        <is>
          <t>Vectorizable</t>
        </is>
      </c>
    </row>
    <row r="64">
      <c r="A64" t="inlineStr">
        <is>
          <t>G000063</t>
        </is>
      </c>
      <c r="B64" t="inlineStr">
        <is>
          <t>Financial Statements</t>
        </is>
      </c>
      <c r="C64" t="inlineStr">
        <is>
          <t>Horizontal</t>
        </is>
      </c>
      <c r="D64" t="n">
        <v>5</v>
      </c>
      <c r="E64" t="inlineStr">
        <is>
          <t>Financial Statements!O18:S18</t>
        </is>
      </c>
      <c r="F64" t="inlineStr">
        <is>
          <t>'='Balance Sheet'!R[0]C[-11]-'Balance Sheet'!R[0]C[-10]</t>
        </is>
      </c>
      <c r="G64" t="inlineStr">
        <is>
          <t>Vectorizable</t>
        </is>
      </c>
    </row>
    <row r="65">
      <c r="A65" t="inlineStr">
        <is>
          <t>G000064</t>
        </is>
      </c>
      <c r="B65" t="inlineStr">
        <is>
          <t>Financial Statements</t>
        </is>
      </c>
      <c r="C65" t="inlineStr">
        <is>
          <t>Horizontal</t>
        </is>
      </c>
      <c r="D65" t="n">
        <v>5</v>
      </c>
      <c r="E65" t="inlineStr">
        <is>
          <t>Financial Statements!E19:I19</t>
        </is>
      </c>
      <c r="F65" t="inlineStr">
        <is>
          <t>'=R[-2]C[0]*R[2]C[0]</t>
        </is>
      </c>
      <c r="G65" t="inlineStr">
        <is>
          <t>Vectorizable</t>
        </is>
      </c>
    </row>
    <row r="66">
      <c r="A66" t="inlineStr">
        <is>
          <t>G000065</t>
        </is>
      </c>
      <c r="B66" t="inlineStr">
        <is>
          <t>Financial Statements</t>
        </is>
      </c>
      <c r="C66" t="inlineStr">
        <is>
          <t>Horizontal</t>
        </is>
      </c>
      <c r="D66" t="n">
        <v>5</v>
      </c>
      <c r="E66" t="inlineStr">
        <is>
          <t>Financial Statements!O19:S19</t>
        </is>
      </c>
      <c r="F66" t="inlineStr">
        <is>
          <t>'='Balance Sheet'!R[2]C[-11]-'Balance Sheet'!R[2]C[-10]</t>
        </is>
      </c>
      <c r="G66" t="inlineStr">
        <is>
          <t>Vectorizable</t>
        </is>
      </c>
    </row>
    <row r="67">
      <c r="A67" t="inlineStr">
        <is>
          <t>G000066</t>
        </is>
      </c>
      <c r="B67" t="inlineStr">
        <is>
          <t>Financial Statements</t>
        </is>
      </c>
      <c r="C67" t="inlineStr">
        <is>
          <t>Horizontal</t>
        </is>
      </c>
      <c r="D67" t="n">
        <v>8</v>
      </c>
      <c r="E67" t="inlineStr">
        <is>
          <t>Financial Statements!B20:I20</t>
        </is>
      </c>
      <c r="F67" t="inlineStr">
        <is>
          <t>'=R[-3]C[0]-R[-1]C[0]</t>
        </is>
      </c>
      <c r="G67" t="inlineStr">
        <is>
          <t>Vectorizable</t>
        </is>
      </c>
    </row>
    <row r="68">
      <c r="A68" t="inlineStr">
        <is>
          <t>G000067</t>
        </is>
      </c>
      <c r="B68" t="inlineStr">
        <is>
          <t>Financial Statements</t>
        </is>
      </c>
      <c r="C68" t="inlineStr">
        <is>
          <t>Horizontal</t>
        </is>
      </c>
      <c r="D68" t="n">
        <v>5</v>
      </c>
      <c r="E68" t="inlineStr">
        <is>
          <t>Financial Statements!O20:S20</t>
        </is>
      </c>
      <c r="F68" t="inlineStr">
        <is>
          <t>'='Balance Sheet'!R[24]C[-10]-'Balance Sheet'!R[24]C[-11]</t>
        </is>
      </c>
      <c r="G68" t="inlineStr">
        <is>
          <t>Vectorizable</t>
        </is>
      </c>
    </row>
    <row r="69">
      <c r="A69" t="inlineStr">
        <is>
          <t>G000068</t>
        </is>
      </c>
      <c r="B69" t="inlineStr">
        <is>
          <t>Financial Statements</t>
        </is>
      </c>
      <c r="C69" t="inlineStr">
        <is>
          <t>Horizontal</t>
        </is>
      </c>
      <c r="D69" t="n">
        <v>3</v>
      </c>
      <c r="E69" t="inlineStr">
        <is>
          <t>Financial Statements!B21:D21</t>
        </is>
      </c>
      <c r="F69" t="inlineStr">
        <is>
          <t>'=R[-2]C[0]/R[-4]C[0]</t>
        </is>
      </c>
      <c r="G69" t="inlineStr">
        <is>
          <t>Vectorizable</t>
        </is>
      </c>
    </row>
    <row r="70">
      <c r="A70" t="inlineStr">
        <is>
          <t>G000069</t>
        </is>
      </c>
      <c r="B70" t="inlineStr">
        <is>
          <t>Financial Statements</t>
        </is>
      </c>
      <c r="C70" t="inlineStr">
        <is>
          <t>Horizontal</t>
        </is>
      </c>
      <c r="D70" t="n">
        <v>5</v>
      </c>
      <c r="E70" t="inlineStr">
        <is>
          <t>Financial Statements!O21:S21</t>
        </is>
      </c>
      <c r="F70" t="inlineStr">
        <is>
          <t>'=SUM(R[-6]C[0]:R[-1]C[0])</t>
        </is>
      </c>
      <c r="G70" t="inlineStr">
        <is>
          <t>Vectorizable</t>
        </is>
      </c>
    </row>
    <row r="71">
      <c r="A71" t="inlineStr">
        <is>
          <t>G000070</t>
        </is>
      </c>
      <c r="B71" t="inlineStr">
        <is>
          <t>Financial Statements</t>
        </is>
      </c>
      <c r="C71" t="inlineStr">
        <is>
          <t>Horizontal</t>
        </is>
      </c>
      <c r="D71" t="n">
        <v>5</v>
      </c>
      <c r="E71" t="inlineStr">
        <is>
          <t>Financial Statements!O23:S23</t>
        </is>
      </c>
      <c r="F71" t="inlineStr">
        <is>
          <t>'=-'Asset schedule'!R[-21]C[1]</t>
        </is>
      </c>
      <c r="G71" t="inlineStr">
        <is>
          <t>Vectorizable</t>
        </is>
      </c>
    </row>
    <row r="72">
      <c r="A72" t="inlineStr">
        <is>
          <t>G000071</t>
        </is>
      </c>
      <c r="B72" t="inlineStr">
        <is>
          <t>Financial Statements</t>
        </is>
      </c>
      <c r="C72" t="inlineStr">
        <is>
          <t>Horizontal</t>
        </is>
      </c>
      <c r="D72" t="n">
        <v>5</v>
      </c>
      <c r="E72" t="inlineStr">
        <is>
          <t>Financial Statements!O24:S24</t>
        </is>
      </c>
      <c r="F72" t="inlineStr">
        <is>
          <t>'=SUM(R[-1]C[0])</t>
        </is>
      </c>
      <c r="G72" t="inlineStr">
        <is>
          <t>Vectorizable</t>
        </is>
      </c>
    </row>
    <row r="73">
      <c r="A73" t="inlineStr">
        <is>
          <t>G000072</t>
        </is>
      </c>
      <c r="B73" t="inlineStr">
        <is>
          <t>Financial Statements</t>
        </is>
      </c>
      <c r="C73" t="inlineStr">
        <is>
          <t>Horizontal</t>
        </is>
      </c>
      <c r="D73" t="n">
        <v>5</v>
      </c>
      <c r="E73" t="inlineStr">
        <is>
          <t>Financial Statements!O28:S28</t>
        </is>
      </c>
      <c r="F73" t="inlineStr">
        <is>
          <t>'=-R[-9]C[-10]</t>
        </is>
      </c>
      <c r="G73" t="inlineStr">
        <is>
          <t>Vectorizable</t>
        </is>
      </c>
    </row>
    <row r="74">
      <c r="A74" t="inlineStr">
        <is>
          <t>G000073</t>
        </is>
      </c>
      <c r="B74" t="inlineStr">
        <is>
          <t>Financial Statements</t>
        </is>
      </c>
      <c r="C74" t="inlineStr">
        <is>
          <t>Horizontal</t>
        </is>
      </c>
      <c r="D74" t="n">
        <v>5</v>
      </c>
      <c r="E74" t="inlineStr">
        <is>
          <t>Financial Statements!O29:S29</t>
        </is>
      </c>
      <c r="F74" t="inlineStr">
        <is>
          <t>'=-R[-16]C[-10]</t>
        </is>
      </c>
      <c r="G74" t="inlineStr">
        <is>
          <t>Vectorizable</t>
        </is>
      </c>
    </row>
    <row r="75">
      <c r="A75" t="inlineStr">
        <is>
          <t>G000074</t>
        </is>
      </c>
      <c r="B75" t="inlineStr">
        <is>
          <t>Financial Statements</t>
        </is>
      </c>
      <c r="C75" t="inlineStr">
        <is>
          <t>Horizontal</t>
        </is>
      </c>
      <c r="D75" t="n">
        <v>5</v>
      </c>
      <c r="E75" t="inlineStr">
        <is>
          <t>Financial Statements!O30:S30</t>
        </is>
      </c>
      <c r="F75" t="inlineStr">
        <is>
          <t>'=SUM(R[-4]C[0]:R[-1]C[0])</t>
        </is>
      </c>
      <c r="G75" t="inlineStr">
        <is>
          <t>Vectorizable</t>
        </is>
      </c>
    </row>
    <row r="76">
      <c r="A76" t="inlineStr">
        <is>
          <t>G000075</t>
        </is>
      </c>
      <c r="B76" t="inlineStr">
        <is>
          <t>Financial Statements</t>
        </is>
      </c>
      <c r="C76" t="inlineStr">
        <is>
          <t>Horizontal</t>
        </is>
      </c>
      <c r="D76" t="n">
        <v>5</v>
      </c>
      <c r="E76" t="inlineStr">
        <is>
          <t>Financial Statements!O32:S32</t>
        </is>
      </c>
      <c r="F76" t="inlineStr">
        <is>
          <t>'=R[2]C[-1]</t>
        </is>
      </c>
      <c r="G76" t="inlineStr">
        <is>
          <t>Vectorizable</t>
        </is>
      </c>
    </row>
    <row r="77">
      <c r="A77" t="inlineStr">
        <is>
          <t>G000076</t>
        </is>
      </c>
      <c r="B77" t="inlineStr">
        <is>
          <t>Financial Statements</t>
        </is>
      </c>
      <c r="C77" t="inlineStr">
        <is>
          <t>Horizontal</t>
        </is>
      </c>
      <c r="D77" t="n">
        <v>5</v>
      </c>
      <c r="E77" t="inlineStr">
        <is>
          <t>Financial Statements!O33:S33</t>
        </is>
      </c>
      <c r="F77" t="inlineStr">
        <is>
          <t>'=R[-12]C[0]+R[-9]C[0]+R[-3]C[0]</t>
        </is>
      </c>
      <c r="G77" t="inlineStr">
        <is>
          <t>Vectorizable</t>
        </is>
      </c>
    </row>
    <row r="78">
      <c r="A78" t="inlineStr">
        <is>
          <t>G000077</t>
        </is>
      </c>
      <c r="B78" t="inlineStr">
        <is>
          <t>Financial Statements</t>
        </is>
      </c>
      <c r="C78" t="inlineStr">
        <is>
          <t>Horizontal</t>
        </is>
      </c>
      <c r="D78" t="n">
        <v>6</v>
      </c>
      <c r="E78" t="inlineStr">
        <is>
          <t>Financial Statements!N34:S34</t>
        </is>
      </c>
      <c r="F78" t="inlineStr">
        <is>
          <t>'=R[-2]C[0]+R[-1]C[0]</t>
        </is>
      </c>
      <c r="G78" t="inlineStr">
        <is>
          <t>Vectorizable</t>
        </is>
      </c>
    </row>
    <row r="79">
      <c r="A79" t="inlineStr">
        <is>
          <t>G000078</t>
        </is>
      </c>
      <c r="B79" t="inlineStr">
        <is>
          <t>Asset schedule</t>
        </is>
      </c>
      <c r="C79" t="inlineStr">
        <is>
          <t>Horizontal</t>
        </is>
      </c>
      <c r="D79" t="n">
        <v>5</v>
      </c>
      <c r="E79" t="inlineStr">
        <is>
          <t>Asset schedule!E2:I2</t>
        </is>
      </c>
      <c r="F79" t="inlineStr">
        <is>
          <t>'=R[4]C[-1]</t>
        </is>
      </c>
      <c r="G79" t="inlineStr">
        <is>
          <t>Vectorizable</t>
        </is>
      </c>
    </row>
    <row r="80">
      <c r="A80" t="inlineStr">
        <is>
          <t>G000079</t>
        </is>
      </c>
      <c r="B80" t="inlineStr">
        <is>
          <t>Asset schedule</t>
        </is>
      </c>
      <c r="C80" t="inlineStr">
        <is>
          <t>Horizontal</t>
        </is>
      </c>
      <c r="D80" t="n">
        <v>5</v>
      </c>
      <c r="E80" t="inlineStr">
        <is>
          <t>Asset schedule!E10:I10</t>
        </is>
      </c>
      <c r="F80" t="inlineStr">
        <is>
          <t>'=R[4]C[-1]</t>
        </is>
      </c>
      <c r="G80" t="inlineStr">
        <is>
          <t>Vectorizable</t>
        </is>
      </c>
    </row>
    <row r="81">
      <c r="A81" t="inlineStr">
        <is>
          <t>G000080</t>
        </is>
      </c>
      <c r="B81" t="inlineStr">
        <is>
          <t>Asset schedule</t>
        </is>
      </c>
      <c r="C81" t="inlineStr">
        <is>
          <t>Horizontal</t>
        </is>
      </c>
      <c r="D81" t="n">
        <v>5</v>
      </c>
      <c r="E81" t="inlineStr">
        <is>
          <t>Asset schedule!E18:I18</t>
        </is>
      </c>
      <c r="F81" t="inlineStr">
        <is>
          <t>'=R[4]C[-1]</t>
        </is>
      </c>
      <c r="G81" t="inlineStr">
        <is>
          <t>Vectorizable</t>
        </is>
      </c>
    </row>
    <row r="82">
      <c r="A82" t="inlineStr">
        <is>
          <t>G000081</t>
        </is>
      </c>
      <c r="B82" t="inlineStr">
        <is>
          <t>Asset schedule</t>
        </is>
      </c>
      <c r="C82" t="inlineStr">
        <is>
          <t>Horizontal</t>
        </is>
      </c>
      <c r="D82" t="n">
        <v>5</v>
      </c>
      <c r="E82" t="inlineStr">
        <is>
          <t>Asset schedule!E26:I26</t>
        </is>
      </c>
      <c r="F82" t="inlineStr">
        <is>
          <t>'=R[4]C[-1]</t>
        </is>
      </c>
      <c r="G82" t="inlineStr">
        <is>
          <t>Vectorizable</t>
        </is>
      </c>
    </row>
    <row r="83">
      <c r="A83" t="inlineStr">
        <is>
          <t>G000082</t>
        </is>
      </c>
      <c r="B83" t="inlineStr">
        <is>
          <t>Asset schedule</t>
        </is>
      </c>
      <c r="C83" t="inlineStr">
        <is>
          <t>Horizontal</t>
        </is>
      </c>
      <c r="D83" t="n">
        <v>5</v>
      </c>
      <c r="E83" t="inlineStr">
        <is>
          <t>Asset schedule!E34:I34</t>
        </is>
      </c>
      <c r="F83" t="inlineStr">
        <is>
          <t>'=R[4]C[-1]</t>
        </is>
      </c>
      <c r="G83" t="inlineStr">
        <is>
          <t>Vectorizable</t>
        </is>
      </c>
    </row>
    <row r="84">
      <c r="A84" t="inlineStr">
        <is>
          <t>G000083</t>
        </is>
      </c>
      <c r="B84" t="inlineStr">
        <is>
          <t>Asset schedule</t>
        </is>
      </c>
      <c r="C84" t="inlineStr">
        <is>
          <t>Horizontal</t>
        </is>
      </c>
      <c r="D84" t="n">
        <v>5</v>
      </c>
      <c r="E84" t="inlineStr">
        <is>
          <t>Asset schedule!E42:I42</t>
        </is>
      </c>
      <c r="F84" t="inlineStr">
        <is>
          <t>'=R[4]C[-1]</t>
        </is>
      </c>
      <c r="G84" t="inlineStr">
        <is>
          <t>Vectorizable</t>
        </is>
      </c>
    </row>
    <row r="85">
      <c r="A85" t="inlineStr">
        <is>
          <t>G000084</t>
        </is>
      </c>
      <c r="B85" t="inlineStr">
        <is>
          <t>Asset schedule</t>
        </is>
      </c>
      <c r="C85" t="inlineStr">
        <is>
          <t>Horizontal</t>
        </is>
      </c>
      <c r="D85" t="n">
        <v>5</v>
      </c>
      <c r="E85" t="inlineStr">
        <is>
          <t>Asset schedule!E50:I50</t>
        </is>
      </c>
      <c r="F85" t="inlineStr">
        <is>
          <t>'=R[4]C[-1]</t>
        </is>
      </c>
      <c r="G85" t="inlineStr">
        <is>
          <t>Vectorizable</t>
        </is>
      </c>
    </row>
    <row r="86">
      <c r="A86" t="inlineStr">
        <is>
          <t>G000085</t>
        </is>
      </c>
      <c r="B86" t="inlineStr">
        <is>
          <t>Asset schedule</t>
        </is>
      </c>
      <c r="C86" t="inlineStr">
        <is>
          <t>Horizontal</t>
        </is>
      </c>
      <c r="D86" t="n">
        <v>5</v>
      </c>
      <c r="E86" t="inlineStr">
        <is>
          <t>Asset schedule!E58:I58</t>
        </is>
      </c>
      <c r="F86" t="inlineStr">
        <is>
          <t>'=R[4]C[-1]</t>
        </is>
      </c>
      <c r="G86" t="inlineStr">
        <is>
          <t>Vectorizable</t>
        </is>
      </c>
    </row>
    <row r="87">
      <c r="A87" t="inlineStr">
        <is>
          <t>G000086</t>
        </is>
      </c>
      <c r="B87" t="inlineStr">
        <is>
          <t>Asset schedule</t>
        </is>
      </c>
      <c r="C87" t="inlineStr">
        <is>
          <t>Horizontal</t>
        </is>
      </c>
      <c r="D87" t="n">
        <v>5</v>
      </c>
      <c r="E87" t="inlineStr">
        <is>
          <t>Asset schedule!E66:I66</t>
        </is>
      </c>
      <c r="F87" t="inlineStr">
        <is>
          <t>'=R[4]C[-1]</t>
        </is>
      </c>
      <c r="G87" t="inlineStr">
        <is>
          <t>Vectorizable</t>
        </is>
      </c>
    </row>
    <row r="88">
      <c r="A88" t="inlineStr">
        <is>
          <t>G000087</t>
        </is>
      </c>
      <c r="B88" t="inlineStr">
        <is>
          <t>Asset schedule</t>
        </is>
      </c>
      <c r="C88" t="inlineStr">
        <is>
          <t>Horizontal</t>
        </is>
      </c>
      <c r="D88" t="n">
        <v>5</v>
      </c>
      <c r="E88" t="inlineStr">
        <is>
          <t>Asset schedule!E74:I74</t>
        </is>
      </c>
      <c r="F88" t="inlineStr">
        <is>
          <t>'=R[4]C[-1]</t>
        </is>
      </c>
      <c r="G88" t="inlineStr">
        <is>
          <t>Vectorizable</t>
        </is>
      </c>
    </row>
    <row r="89">
      <c r="A89" t="inlineStr">
        <is>
          <t>G000088</t>
        </is>
      </c>
      <c r="B89" t="inlineStr">
        <is>
          <t>Asset schedule</t>
        </is>
      </c>
      <c r="C89" t="inlineStr">
        <is>
          <t>Horizontal</t>
        </is>
      </c>
      <c r="D89" t="n">
        <v>5</v>
      </c>
      <c r="E89" t="inlineStr">
        <is>
          <t>Asset schedule!E82:I82</t>
        </is>
      </c>
      <c r="F89" t="inlineStr">
        <is>
          <t>'=R[4]C[-1]</t>
        </is>
      </c>
      <c r="G89" t="inlineStr">
        <is>
          <t>Vectorizable</t>
        </is>
      </c>
    </row>
    <row r="90">
      <c r="A90" t="inlineStr">
        <is>
          <t>G000089</t>
        </is>
      </c>
      <c r="B90" t="inlineStr">
        <is>
          <t>Asset schedule</t>
        </is>
      </c>
      <c r="C90" t="inlineStr">
        <is>
          <t>Horizontal</t>
        </is>
      </c>
      <c r="D90" t="n">
        <v>5</v>
      </c>
      <c r="E90" t="inlineStr">
        <is>
          <t>Asset schedule!P2:T2</t>
        </is>
      </c>
      <c r="F90" t="inlineStr">
        <is>
          <t>'='Financial Statements'!R[0]C[-11]*R[1]C[0]</t>
        </is>
      </c>
      <c r="G90" t="inlineStr">
        <is>
          <t>Vectorizable</t>
        </is>
      </c>
    </row>
    <row r="91">
      <c r="A91" t="inlineStr">
        <is>
          <t>G000090</t>
        </is>
      </c>
      <c r="B91" t="inlineStr">
        <is>
          <t>Asset schedule</t>
        </is>
      </c>
      <c r="C91" t="inlineStr">
        <is>
          <t>Horizontal</t>
        </is>
      </c>
      <c r="D91" t="n">
        <v>5</v>
      </c>
      <c r="E91" t="inlineStr">
        <is>
          <t>Asset schedule!E3:I3</t>
        </is>
      </c>
      <c r="F91" t="inlineStr">
        <is>
          <t>'=INDEX(R4C12:R15C20,MATCH(R[-2]C1,R4C12:R15C12,0),MATCH(R[-2]C[0],R4C12:R4C20,0))</t>
        </is>
      </c>
      <c r="G91" t="inlineStr">
        <is>
          <t>Vectorizable</t>
        </is>
      </c>
    </row>
    <row r="92">
      <c r="A92" t="inlineStr">
        <is>
          <t>G000091</t>
        </is>
      </c>
      <c r="B92" t="inlineStr">
        <is>
          <t>Asset schedule</t>
        </is>
      </c>
      <c r="C92" t="inlineStr">
        <is>
          <t>Horizontal</t>
        </is>
      </c>
      <c r="D92" t="n">
        <v>5</v>
      </c>
      <c r="E92" t="inlineStr">
        <is>
          <t>Asset schedule!E11:I11</t>
        </is>
      </c>
      <c r="F92" t="inlineStr">
        <is>
          <t>'=INDEX(R4C12:R15C20,MATCH(R[-2]C1,R4C12:R15C12,0),MATCH(R[-2]C[0],R4C12:R4C20,0))</t>
        </is>
      </c>
      <c r="G92" t="inlineStr">
        <is>
          <t>Vectorizable</t>
        </is>
      </c>
    </row>
    <row r="93">
      <c r="A93" t="inlineStr">
        <is>
          <t>G000092</t>
        </is>
      </c>
      <c r="B93" t="inlineStr">
        <is>
          <t>Asset schedule</t>
        </is>
      </c>
      <c r="C93" t="inlineStr">
        <is>
          <t>Horizontal</t>
        </is>
      </c>
      <c r="D93" t="n">
        <v>5</v>
      </c>
      <c r="E93" t="inlineStr">
        <is>
          <t>Asset schedule!E19:I19</t>
        </is>
      </c>
      <c r="F93" t="inlineStr">
        <is>
          <t>'=INDEX(R4C12:R15C20,MATCH(R[-2]C1,R4C12:R15C12,0),MATCH(R[-2]C[0],R4C12:R4C20,0))</t>
        </is>
      </c>
      <c r="G93" t="inlineStr">
        <is>
          <t>Vectorizable</t>
        </is>
      </c>
    </row>
    <row r="94">
      <c r="A94" t="inlineStr">
        <is>
          <t>G000093</t>
        </is>
      </c>
      <c r="B94" t="inlineStr">
        <is>
          <t>Asset schedule</t>
        </is>
      </c>
      <c r="C94" t="inlineStr">
        <is>
          <t>Horizontal</t>
        </is>
      </c>
      <c r="D94" t="n">
        <v>5</v>
      </c>
      <c r="E94" t="inlineStr">
        <is>
          <t>Asset schedule!E27:I27</t>
        </is>
      </c>
      <c r="F94" t="inlineStr">
        <is>
          <t>'=INDEX(R4C12:R15C20,MATCH(R[-2]C1,R4C12:R15C12,0),MATCH(R[-2]C[0],R4C12:R4C20,0))</t>
        </is>
      </c>
      <c r="G94" t="inlineStr">
        <is>
          <t>Vectorizable</t>
        </is>
      </c>
    </row>
    <row r="95">
      <c r="A95" t="inlineStr">
        <is>
          <t>G000094</t>
        </is>
      </c>
      <c r="B95" t="inlineStr">
        <is>
          <t>Asset schedule</t>
        </is>
      </c>
      <c r="C95" t="inlineStr">
        <is>
          <t>Horizontal</t>
        </is>
      </c>
      <c r="D95" t="n">
        <v>5</v>
      </c>
      <c r="E95" t="inlineStr">
        <is>
          <t>Asset schedule!E35:I35</t>
        </is>
      </c>
      <c r="F95" t="inlineStr">
        <is>
          <t>'=INDEX(R4C12:R15C20,MATCH(R[-2]C1,R4C12:R15C12,0),MATCH(R[-2]C[0],R4C12:R4C20,0))</t>
        </is>
      </c>
      <c r="G95" t="inlineStr">
        <is>
          <t>Vectorizable</t>
        </is>
      </c>
    </row>
    <row r="96">
      <c r="A96" t="inlineStr">
        <is>
          <t>G000095</t>
        </is>
      </c>
      <c r="B96" t="inlineStr">
        <is>
          <t>Asset schedule</t>
        </is>
      </c>
      <c r="C96" t="inlineStr">
        <is>
          <t>Horizontal</t>
        </is>
      </c>
      <c r="D96" t="n">
        <v>5</v>
      </c>
      <c r="E96" t="inlineStr">
        <is>
          <t>Asset schedule!E43:I43</t>
        </is>
      </c>
      <c r="F96" t="inlineStr">
        <is>
          <t>'=INDEX(R4C12:R15C20,MATCH(R[-2]C1,R4C12:R15C12,0),MATCH(R[-2]C[0],R4C12:R4C20,0))</t>
        </is>
      </c>
      <c r="G96" t="inlineStr">
        <is>
          <t>Vectorizable</t>
        </is>
      </c>
    </row>
    <row r="97">
      <c r="A97" t="inlineStr">
        <is>
          <t>G000096</t>
        </is>
      </c>
      <c r="B97" t="inlineStr">
        <is>
          <t>Asset schedule</t>
        </is>
      </c>
      <c r="C97" t="inlineStr">
        <is>
          <t>Horizontal</t>
        </is>
      </c>
      <c r="D97" t="n">
        <v>5</v>
      </c>
      <c r="E97" t="inlineStr">
        <is>
          <t>Asset schedule!E51:I51</t>
        </is>
      </c>
      <c r="F97" t="inlineStr">
        <is>
          <t>'=INDEX(R4C12:R15C20,MATCH(R[-2]C1,R4C12:R15C12,0),MATCH(R[-2]C[0],R4C12:R4C20,0))</t>
        </is>
      </c>
      <c r="G97" t="inlineStr">
        <is>
          <t>Vectorizable</t>
        </is>
      </c>
    </row>
    <row r="98">
      <c r="A98" t="inlineStr">
        <is>
          <t>G000097</t>
        </is>
      </c>
      <c r="B98" t="inlineStr">
        <is>
          <t>Asset schedule</t>
        </is>
      </c>
      <c r="C98" t="inlineStr">
        <is>
          <t>Horizontal</t>
        </is>
      </c>
      <c r="D98" t="n">
        <v>5</v>
      </c>
      <c r="E98" t="inlineStr">
        <is>
          <t>Asset schedule!E59:I59</t>
        </is>
      </c>
      <c r="F98" t="inlineStr">
        <is>
          <t>'=INDEX(R4C12:R15C20,MATCH(R[-2]C1,R4C12:R15C12,0),MATCH(R[-2]C[0],R4C12:R4C20,0))</t>
        </is>
      </c>
      <c r="G98" t="inlineStr">
        <is>
          <t>Vectorizable</t>
        </is>
      </c>
    </row>
    <row r="99">
      <c r="A99" t="inlineStr">
        <is>
          <t>G000098</t>
        </is>
      </c>
      <c r="B99" t="inlineStr">
        <is>
          <t>Asset schedule</t>
        </is>
      </c>
      <c r="C99" t="inlineStr">
        <is>
          <t>Horizontal</t>
        </is>
      </c>
      <c r="D99" t="n">
        <v>5</v>
      </c>
      <c r="E99" t="inlineStr">
        <is>
          <t>Asset schedule!E67:I67</t>
        </is>
      </c>
      <c r="F99" t="inlineStr">
        <is>
          <t>'=INDEX(R4C12:R15C20,MATCH(R[-2]C1,R4C12:R15C12,0),MATCH(R[-2]C[0],R4C12:R4C20,0))</t>
        </is>
      </c>
      <c r="G99" t="inlineStr">
        <is>
          <t>Vectorizable</t>
        </is>
      </c>
    </row>
    <row r="100">
      <c r="A100" t="inlineStr">
        <is>
          <t>G000099</t>
        </is>
      </c>
      <c r="B100" t="inlineStr">
        <is>
          <t>Asset schedule</t>
        </is>
      </c>
      <c r="C100" t="inlineStr">
        <is>
          <t>Horizontal</t>
        </is>
      </c>
      <c r="D100" t="n">
        <v>5</v>
      </c>
      <c r="E100" t="inlineStr">
        <is>
          <t>Asset schedule!E75:I75</t>
        </is>
      </c>
      <c r="F100" t="inlineStr">
        <is>
          <t>'=INDEX(R4C12:R15C20,MATCH(R[-2]C1,R4C12:R15C12,0),MATCH(R[-2]C[0],R4C12:R4C20,0))</t>
        </is>
      </c>
      <c r="G100" t="inlineStr">
        <is>
          <t>Vectorizable</t>
        </is>
      </c>
    </row>
    <row r="101">
      <c r="A101" t="inlineStr">
        <is>
          <t>G000100</t>
        </is>
      </c>
      <c r="B101" t="inlineStr">
        <is>
          <t>Asset schedule</t>
        </is>
      </c>
      <c r="C101" t="inlineStr">
        <is>
          <t>Horizontal</t>
        </is>
      </c>
      <c r="D101" t="n">
        <v>5</v>
      </c>
      <c r="E101" t="inlineStr">
        <is>
          <t>Asset schedule!E83:I83</t>
        </is>
      </c>
      <c r="F101" t="inlineStr">
        <is>
          <t>'=INDEX(R4C12:R15C20,MATCH(R[-2]C1,R4C12:R15C12,0),MATCH(R[-2]C[0],R4C12:R4C20,0))</t>
        </is>
      </c>
      <c r="G101" t="inlineStr">
        <is>
          <t>Vectorizable</t>
        </is>
      </c>
    </row>
    <row r="102">
      <c r="A102" t="inlineStr">
        <is>
          <t>G000101</t>
        </is>
      </c>
      <c r="B102" t="inlineStr">
        <is>
          <t>Asset schedule</t>
        </is>
      </c>
      <c r="C102" t="inlineStr">
        <is>
          <t>Horizontal</t>
        </is>
      </c>
      <c r="D102" t="n">
        <v>5</v>
      </c>
      <c r="E102" t="inlineStr">
        <is>
          <t>Asset schedule!P3:T3</t>
        </is>
      </c>
      <c r="F102" t="inlineStr">
        <is>
          <t>'=R[0]C[-1]</t>
        </is>
      </c>
      <c r="G102" t="inlineStr">
        <is>
          <t>Vectorizable</t>
        </is>
      </c>
    </row>
    <row r="103">
      <c r="A103" t="inlineStr">
        <is>
          <t>G000102</t>
        </is>
      </c>
      <c r="B103" t="inlineStr">
        <is>
          <t>Asset schedule</t>
        </is>
      </c>
      <c r="C103" t="inlineStr">
        <is>
          <t>Horizontal</t>
        </is>
      </c>
      <c r="D103" t="n">
        <v>5</v>
      </c>
      <c r="E103" t="inlineStr">
        <is>
          <t>Asset schedule!E13:I13</t>
        </is>
      </c>
      <c r="F103" t="inlineStr">
        <is>
          <t>'=R[-3]C[0]*R[2]C2</t>
        </is>
      </c>
      <c r="G103" t="inlineStr">
        <is>
          <t>Vectorizable</t>
        </is>
      </c>
    </row>
    <row r="104">
      <c r="A104" t="inlineStr">
        <is>
          <t>G000103</t>
        </is>
      </c>
      <c r="B104" t="inlineStr">
        <is>
          <t>Asset schedule</t>
        </is>
      </c>
      <c r="C104" t="inlineStr">
        <is>
          <t>Horizontal</t>
        </is>
      </c>
      <c r="D104" t="n">
        <v>5</v>
      </c>
      <c r="E104" t="inlineStr">
        <is>
          <t>Asset schedule!E21:I21</t>
        </is>
      </c>
      <c r="F104" t="inlineStr">
        <is>
          <t>'=R[-3]C[0]*R[2]C2</t>
        </is>
      </c>
      <c r="G104" t="inlineStr">
        <is>
          <t>Vectorizable</t>
        </is>
      </c>
    </row>
    <row r="105">
      <c r="A105" t="inlineStr">
        <is>
          <t>G000104</t>
        </is>
      </c>
      <c r="B105" t="inlineStr">
        <is>
          <t>Asset schedule</t>
        </is>
      </c>
      <c r="C105" t="inlineStr">
        <is>
          <t>Horizontal</t>
        </is>
      </c>
      <c r="D105" t="n">
        <v>5</v>
      </c>
      <c r="E105" t="inlineStr">
        <is>
          <t>Asset schedule!E29:I29</t>
        </is>
      </c>
      <c r="F105" t="inlineStr">
        <is>
          <t>'=R[-3]C[0]*R[2]C2</t>
        </is>
      </c>
      <c r="G105" t="inlineStr">
        <is>
          <t>Vectorizable</t>
        </is>
      </c>
    </row>
    <row r="106">
      <c r="A106" t="inlineStr">
        <is>
          <t>G000105</t>
        </is>
      </c>
      <c r="B106" t="inlineStr">
        <is>
          <t>Asset schedule</t>
        </is>
      </c>
      <c r="C106" t="inlineStr">
        <is>
          <t>Horizontal</t>
        </is>
      </c>
      <c r="D106" t="n">
        <v>5</v>
      </c>
      <c r="E106" t="inlineStr">
        <is>
          <t>Asset schedule!E37:I37</t>
        </is>
      </c>
      <c r="F106" t="inlineStr">
        <is>
          <t>'=R[-3]C[0]*R[2]C2</t>
        </is>
      </c>
      <c r="G106" t="inlineStr">
        <is>
          <t>Vectorizable</t>
        </is>
      </c>
    </row>
    <row r="107">
      <c r="A107" t="inlineStr">
        <is>
          <t>G000106</t>
        </is>
      </c>
      <c r="B107" t="inlineStr">
        <is>
          <t>Asset schedule</t>
        </is>
      </c>
      <c r="C107" t="inlineStr">
        <is>
          <t>Horizontal</t>
        </is>
      </c>
      <c r="D107" t="n">
        <v>5</v>
      </c>
      <c r="E107" t="inlineStr">
        <is>
          <t>Asset schedule!E45:I45</t>
        </is>
      </c>
      <c r="F107" t="inlineStr">
        <is>
          <t>'=R[-3]C[0]*R[2]C2</t>
        </is>
      </c>
      <c r="G107" t="inlineStr">
        <is>
          <t>Vectorizable</t>
        </is>
      </c>
    </row>
    <row r="108">
      <c r="A108" t="inlineStr">
        <is>
          <t>G000107</t>
        </is>
      </c>
      <c r="B108" t="inlineStr">
        <is>
          <t>Asset schedule</t>
        </is>
      </c>
      <c r="C108" t="inlineStr">
        <is>
          <t>Horizontal</t>
        </is>
      </c>
      <c r="D108" t="n">
        <v>5</v>
      </c>
      <c r="E108" t="inlineStr">
        <is>
          <t>Asset schedule!E53:I53</t>
        </is>
      </c>
      <c r="F108" t="inlineStr">
        <is>
          <t>'=R[-3]C[0]*R[2]C2</t>
        </is>
      </c>
      <c r="G108" t="inlineStr">
        <is>
          <t>Vectorizable</t>
        </is>
      </c>
    </row>
    <row r="109">
      <c r="A109" t="inlineStr">
        <is>
          <t>G000108</t>
        </is>
      </c>
      <c r="B109" t="inlineStr">
        <is>
          <t>Asset schedule</t>
        </is>
      </c>
      <c r="C109" t="inlineStr">
        <is>
          <t>Horizontal</t>
        </is>
      </c>
      <c r="D109" t="n">
        <v>5</v>
      </c>
      <c r="E109" t="inlineStr">
        <is>
          <t>Asset schedule!E61:I61</t>
        </is>
      </c>
      <c r="F109" t="inlineStr">
        <is>
          <t>'=R[-3]C[0]*R[2]C2</t>
        </is>
      </c>
      <c r="G109" t="inlineStr">
        <is>
          <t>Vectorizable</t>
        </is>
      </c>
    </row>
    <row r="110">
      <c r="A110" t="inlineStr">
        <is>
          <t>G000109</t>
        </is>
      </c>
      <c r="B110" t="inlineStr">
        <is>
          <t>Asset schedule</t>
        </is>
      </c>
      <c r="C110" t="inlineStr">
        <is>
          <t>Horizontal</t>
        </is>
      </c>
      <c r="D110" t="n">
        <v>5</v>
      </c>
      <c r="E110" t="inlineStr">
        <is>
          <t>Asset schedule!E69:I69</t>
        </is>
      </c>
      <c r="F110" t="inlineStr">
        <is>
          <t>'=R[-3]C[0]*R[2]C2</t>
        </is>
      </c>
      <c r="G110" t="inlineStr">
        <is>
          <t>Vectorizable</t>
        </is>
      </c>
    </row>
    <row r="111">
      <c r="A111" t="inlineStr">
        <is>
          <t>G000110</t>
        </is>
      </c>
      <c r="B111" t="inlineStr">
        <is>
          <t>Asset schedule</t>
        </is>
      </c>
      <c r="C111" t="inlineStr">
        <is>
          <t>Horizontal</t>
        </is>
      </c>
      <c r="D111" t="n">
        <v>5</v>
      </c>
      <c r="E111" t="inlineStr">
        <is>
          <t>Asset schedule!E77:I77</t>
        </is>
      </c>
      <c r="F111" t="inlineStr">
        <is>
          <t>'=R[-3]C[0]*R[2]C2</t>
        </is>
      </c>
      <c r="G111" t="inlineStr">
        <is>
          <t>Vectorizable</t>
        </is>
      </c>
    </row>
    <row r="112">
      <c r="A112" t="inlineStr">
        <is>
          <t>G000111</t>
        </is>
      </c>
      <c r="B112" t="inlineStr">
        <is>
          <t>Asset schedule</t>
        </is>
      </c>
      <c r="C112" t="inlineStr">
        <is>
          <t>Horizontal</t>
        </is>
      </c>
      <c r="D112" t="n">
        <v>5</v>
      </c>
      <c r="E112" t="inlineStr">
        <is>
          <t>Asset schedule!E85:I85</t>
        </is>
      </c>
      <c r="F112" t="inlineStr">
        <is>
          <t>'=R[-3]C[0]*R[2]C2</t>
        </is>
      </c>
      <c r="G112" t="inlineStr">
        <is>
          <t>Vectorizable</t>
        </is>
      </c>
    </row>
    <row r="113">
      <c r="A113" t="inlineStr">
        <is>
          <t>G000112</t>
        </is>
      </c>
      <c r="B113" t="inlineStr">
        <is>
          <t>Asset schedule</t>
        </is>
      </c>
      <c r="C113" t="inlineStr">
        <is>
          <t>Horizontal</t>
        </is>
      </c>
      <c r="D113" t="n">
        <v>4</v>
      </c>
      <c r="E113" t="inlineStr">
        <is>
          <t>Asset schedule!F5:I5</t>
        </is>
      </c>
      <c r="F113" t="inlineStr">
        <is>
          <t>'=R[-3]C[0]*R7C2</t>
        </is>
      </c>
      <c r="G113" t="inlineStr">
        <is>
          <t>Vectorizable</t>
        </is>
      </c>
    </row>
    <row r="114">
      <c r="A114" t="inlineStr">
        <is>
          <t>G000113</t>
        </is>
      </c>
      <c r="B114" t="inlineStr">
        <is>
          <t>Asset schedule</t>
        </is>
      </c>
      <c r="C114" t="inlineStr">
        <is>
          <t>Vertical</t>
        </is>
      </c>
      <c r="D114" t="n">
        <v>11</v>
      </c>
      <c r="E114" t="inlineStr">
        <is>
          <t>Asset schedule!N5:N15</t>
        </is>
      </c>
      <c r="F114" t="inlineStr">
        <is>
          <t>'=R[0]C[1]/R16C15</t>
        </is>
      </c>
      <c r="G114" t="inlineStr">
        <is>
          <t>Vectorizable</t>
        </is>
      </c>
    </row>
    <row r="115">
      <c r="A115" t="inlineStr">
        <is>
          <t>G000114</t>
        </is>
      </c>
      <c r="B115" t="inlineStr">
        <is>
          <t>Asset schedule</t>
        </is>
      </c>
      <c r="C115" t="inlineStr">
        <is>
          <t>Horizontal</t>
        </is>
      </c>
      <c r="D115" t="n">
        <v>5</v>
      </c>
      <c r="E115" t="inlineStr">
        <is>
          <t>Asset schedule!P5:T5</t>
        </is>
      </c>
      <c r="F115" t="inlineStr">
        <is>
          <t>'=R2C[0]*R[0]C14</t>
        </is>
      </c>
      <c r="G115" t="inlineStr">
        <is>
          <t>Vectorizable</t>
        </is>
      </c>
    </row>
    <row r="116">
      <c r="A116" t="inlineStr">
        <is>
          <t>G000115</t>
        </is>
      </c>
      <c r="B116" t="inlineStr">
        <is>
          <t>Asset schedule</t>
        </is>
      </c>
      <c r="C116" t="inlineStr">
        <is>
          <t>Horizontal</t>
        </is>
      </c>
      <c r="D116" t="n">
        <v>5</v>
      </c>
      <c r="E116" t="inlineStr">
        <is>
          <t>Asset schedule!P6:T6</t>
        </is>
      </c>
      <c r="F116" t="inlineStr">
        <is>
          <t>'=R2C[0]*R[0]C14</t>
        </is>
      </c>
      <c r="G116" t="inlineStr">
        <is>
          <t>Vectorizable</t>
        </is>
      </c>
    </row>
    <row r="117">
      <c r="A117" t="inlineStr">
        <is>
          <t>G000116</t>
        </is>
      </c>
      <c r="B117" t="inlineStr">
        <is>
          <t>Asset schedule</t>
        </is>
      </c>
      <c r="C117" t="inlineStr">
        <is>
          <t>Horizontal</t>
        </is>
      </c>
      <c r="D117" t="n">
        <v>5</v>
      </c>
      <c r="E117" t="inlineStr">
        <is>
          <t>Asset schedule!P7:T7</t>
        </is>
      </c>
      <c r="F117" t="inlineStr">
        <is>
          <t>'=R2C[0]*R[0]C14</t>
        </is>
      </c>
      <c r="G117" t="inlineStr">
        <is>
          <t>Vectorizable</t>
        </is>
      </c>
    </row>
    <row r="118">
      <c r="A118" t="inlineStr">
        <is>
          <t>G000117</t>
        </is>
      </c>
      <c r="B118" t="inlineStr">
        <is>
          <t>Asset schedule</t>
        </is>
      </c>
      <c r="C118" t="inlineStr">
        <is>
          <t>Horizontal</t>
        </is>
      </c>
      <c r="D118" t="n">
        <v>5</v>
      </c>
      <c r="E118" t="inlineStr">
        <is>
          <t>Asset schedule!P8:T8</t>
        </is>
      </c>
      <c r="F118" t="inlineStr">
        <is>
          <t>'=R2C[0]*R[0]C14</t>
        </is>
      </c>
      <c r="G118" t="inlineStr">
        <is>
          <t>Vectorizable</t>
        </is>
      </c>
    </row>
    <row r="119">
      <c r="A119" t="inlineStr">
        <is>
          <t>G000118</t>
        </is>
      </c>
      <c r="B119" t="inlineStr">
        <is>
          <t>Asset schedule</t>
        </is>
      </c>
      <c r="C119" t="inlineStr">
        <is>
          <t>Horizontal</t>
        </is>
      </c>
      <c r="D119" t="n">
        <v>5</v>
      </c>
      <c r="E119" t="inlineStr">
        <is>
          <t>Asset schedule!P9:T9</t>
        </is>
      </c>
      <c r="F119" t="inlineStr">
        <is>
          <t>'=R2C[0]*R[0]C14</t>
        </is>
      </c>
      <c r="G119" t="inlineStr">
        <is>
          <t>Vectorizable</t>
        </is>
      </c>
    </row>
    <row r="120">
      <c r="A120" t="inlineStr">
        <is>
          <t>G000119</t>
        </is>
      </c>
      <c r="B120" t="inlineStr">
        <is>
          <t>Asset schedule</t>
        </is>
      </c>
      <c r="C120" t="inlineStr">
        <is>
          <t>Horizontal</t>
        </is>
      </c>
      <c r="D120" t="n">
        <v>5</v>
      </c>
      <c r="E120" t="inlineStr">
        <is>
          <t>Asset schedule!P10:T10</t>
        </is>
      </c>
      <c r="F120" t="inlineStr">
        <is>
          <t>'=R2C[0]*R[0]C14</t>
        </is>
      </c>
      <c r="G120" t="inlineStr">
        <is>
          <t>Vectorizable</t>
        </is>
      </c>
    </row>
    <row r="121">
      <c r="A121" t="inlineStr">
        <is>
          <t>G000120</t>
        </is>
      </c>
      <c r="B121" t="inlineStr">
        <is>
          <t>Asset schedule</t>
        </is>
      </c>
      <c r="C121" t="inlineStr">
        <is>
          <t>Horizontal</t>
        </is>
      </c>
      <c r="D121" t="n">
        <v>5</v>
      </c>
      <c r="E121" t="inlineStr">
        <is>
          <t>Asset schedule!P11:T11</t>
        </is>
      </c>
      <c r="F121" t="inlineStr">
        <is>
          <t>'=R2C[0]*R[0]C14</t>
        </is>
      </c>
      <c r="G121" t="inlineStr">
        <is>
          <t>Vectorizable</t>
        </is>
      </c>
    </row>
    <row r="122">
      <c r="A122" t="inlineStr">
        <is>
          <t>G000121</t>
        </is>
      </c>
      <c r="B122" t="inlineStr">
        <is>
          <t>Asset schedule</t>
        </is>
      </c>
      <c r="C122" t="inlineStr">
        <is>
          <t>Horizontal</t>
        </is>
      </c>
      <c r="D122" t="n">
        <v>5</v>
      </c>
      <c r="E122" t="inlineStr">
        <is>
          <t>Asset schedule!P12:T12</t>
        </is>
      </c>
      <c r="F122" t="inlineStr">
        <is>
          <t>'=R2C[0]*R[0]C14</t>
        </is>
      </c>
      <c r="G122" t="inlineStr">
        <is>
          <t>Vectorizable</t>
        </is>
      </c>
    </row>
    <row r="123">
      <c r="A123" t="inlineStr">
        <is>
          <t>G000122</t>
        </is>
      </c>
      <c r="B123" t="inlineStr">
        <is>
          <t>Asset schedule</t>
        </is>
      </c>
      <c r="C123" t="inlineStr">
        <is>
          <t>Horizontal</t>
        </is>
      </c>
      <c r="D123" t="n">
        <v>5</v>
      </c>
      <c r="E123" t="inlineStr">
        <is>
          <t>Asset schedule!P13:T13</t>
        </is>
      </c>
      <c r="F123" t="inlineStr">
        <is>
          <t>'=R2C[0]*R[0]C14</t>
        </is>
      </c>
      <c r="G123" t="inlineStr">
        <is>
          <t>Vectorizable</t>
        </is>
      </c>
    </row>
    <row r="124">
      <c r="A124" t="inlineStr">
        <is>
          <t>G000123</t>
        </is>
      </c>
      <c r="B124" t="inlineStr">
        <is>
          <t>Asset schedule</t>
        </is>
      </c>
      <c r="C124" t="inlineStr">
        <is>
          <t>Horizontal</t>
        </is>
      </c>
      <c r="D124" t="n">
        <v>5</v>
      </c>
      <c r="E124" t="inlineStr">
        <is>
          <t>Asset schedule!P14:T14</t>
        </is>
      </c>
      <c r="F124" t="inlineStr">
        <is>
          <t>'=R2C[0]*R[0]C14</t>
        </is>
      </c>
      <c r="G124" t="inlineStr">
        <is>
          <t>Vectorizable</t>
        </is>
      </c>
    </row>
    <row r="125">
      <c r="A125" t="inlineStr">
        <is>
          <t>G000124</t>
        </is>
      </c>
      <c r="B125" t="inlineStr">
        <is>
          <t>Asset schedule</t>
        </is>
      </c>
      <c r="C125" t="inlineStr">
        <is>
          <t>Horizontal</t>
        </is>
      </c>
      <c r="D125" t="n">
        <v>5</v>
      </c>
      <c r="E125" t="inlineStr">
        <is>
          <t>Asset schedule!P15:T15</t>
        </is>
      </c>
      <c r="F125" t="inlineStr">
        <is>
          <t>'=R2C[0]*R[0]C14</t>
        </is>
      </c>
      <c r="G125" t="inlineStr">
        <is>
          <t>Vectorizable</t>
        </is>
      </c>
    </row>
    <row r="126">
      <c r="A126" t="inlineStr">
        <is>
          <t>G000125</t>
        </is>
      </c>
      <c r="B126" t="inlineStr">
        <is>
          <t>Asset schedule</t>
        </is>
      </c>
      <c r="C126" t="inlineStr">
        <is>
          <t>Horizontal</t>
        </is>
      </c>
      <c r="D126" t="n">
        <v>5</v>
      </c>
      <c r="E126" t="inlineStr">
        <is>
          <t>Asset schedule!E6:I6</t>
        </is>
      </c>
      <c r="F126" t="inlineStr">
        <is>
          <t>'=R[-4]C[0]+R[-3]C[0]-R[-2]C[0]-R[-1]C[0]</t>
        </is>
      </c>
      <c r="G126" t="inlineStr">
        <is>
          <t>Vectorizable</t>
        </is>
      </c>
    </row>
    <row r="127">
      <c r="A127" t="inlineStr">
        <is>
          <t>G000126</t>
        </is>
      </c>
      <c r="B127" t="inlineStr">
        <is>
          <t>Asset schedule</t>
        </is>
      </c>
      <c r="C127" t="inlineStr">
        <is>
          <t>Horizontal</t>
        </is>
      </c>
      <c r="D127" t="n">
        <v>5</v>
      </c>
      <c r="E127" t="inlineStr">
        <is>
          <t>Asset schedule!E14:I14</t>
        </is>
      </c>
      <c r="F127" t="inlineStr">
        <is>
          <t>'=R[-4]C[0]+R[-3]C[0]-R[-2]C[0]-R[-1]C[0]</t>
        </is>
      </c>
      <c r="G127" t="inlineStr">
        <is>
          <t>Vectorizable</t>
        </is>
      </c>
    </row>
    <row r="128">
      <c r="A128" t="inlineStr">
        <is>
          <t>G000127</t>
        </is>
      </c>
      <c r="B128" t="inlineStr">
        <is>
          <t>Asset schedule</t>
        </is>
      </c>
      <c r="C128" t="inlineStr">
        <is>
          <t>Horizontal</t>
        </is>
      </c>
      <c r="D128" t="n">
        <v>5</v>
      </c>
      <c r="E128" t="inlineStr">
        <is>
          <t>Asset schedule!E22:I22</t>
        </is>
      </c>
      <c r="F128" t="inlineStr">
        <is>
          <t>'=R[-4]C[0]+R[-3]C[0]-R[-2]C[0]-R[-1]C[0]</t>
        </is>
      </c>
      <c r="G128" t="inlineStr">
        <is>
          <t>Vectorizable</t>
        </is>
      </c>
    </row>
    <row r="129">
      <c r="A129" t="inlineStr">
        <is>
          <t>G000128</t>
        </is>
      </c>
      <c r="B129" t="inlineStr">
        <is>
          <t>Asset schedule</t>
        </is>
      </c>
      <c r="C129" t="inlineStr">
        <is>
          <t>Horizontal</t>
        </is>
      </c>
      <c r="D129" t="n">
        <v>5</v>
      </c>
      <c r="E129" t="inlineStr">
        <is>
          <t>Asset schedule!E30:I30</t>
        </is>
      </c>
      <c r="F129" t="inlineStr">
        <is>
          <t>'=R[-4]C[0]+R[-3]C[0]-R[-2]C[0]-R[-1]C[0]</t>
        </is>
      </c>
      <c r="G129" t="inlineStr">
        <is>
          <t>Vectorizable</t>
        </is>
      </c>
    </row>
    <row r="130">
      <c r="A130" t="inlineStr">
        <is>
          <t>G000129</t>
        </is>
      </c>
      <c r="B130" t="inlineStr">
        <is>
          <t>Asset schedule</t>
        </is>
      </c>
      <c r="C130" t="inlineStr">
        <is>
          <t>Horizontal</t>
        </is>
      </c>
      <c r="D130" t="n">
        <v>5</v>
      </c>
      <c r="E130" t="inlineStr">
        <is>
          <t>Asset schedule!E38:I38</t>
        </is>
      </c>
      <c r="F130" t="inlineStr">
        <is>
          <t>'=R[-4]C[0]+R[-3]C[0]-R[-2]C[0]-R[-1]C[0]</t>
        </is>
      </c>
      <c r="G130" t="inlineStr">
        <is>
          <t>Vectorizable</t>
        </is>
      </c>
    </row>
    <row r="131">
      <c r="A131" t="inlineStr">
        <is>
          <t>G000130</t>
        </is>
      </c>
      <c r="B131" t="inlineStr">
        <is>
          <t>Asset schedule</t>
        </is>
      </c>
      <c r="C131" t="inlineStr">
        <is>
          <t>Horizontal</t>
        </is>
      </c>
      <c r="D131" t="n">
        <v>5</v>
      </c>
      <c r="E131" t="inlineStr">
        <is>
          <t>Asset schedule!E46:I46</t>
        </is>
      </c>
      <c r="F131" t="inlineStr">
        <is>
          <t>'=R[-4]C[0]+R[-3]C[0]-R[-2]C[0]-R[-1]C[0]</t>
        </is>
      </c>
      <c r="G131" t="inlineStr">
        <is>
          <t>Vectorizable</t>
        </is>
      </c>
    </row>
    <row r="132">
      <c r="A132" t="inlineStr">
        <is>
          <t>G000131</t>
        </is>
      </c>
      <c r="B132" t="inlineStr">
        <is>
          <t>Asset schedule</t>
        </is>
      </c>
      <c r="C132" t="inlineStr">
        <is>
          <t>Horizontal</t>
        </is>
      </c>
      <c r="D132" t="n">
        <v>5</v>
      </c>
      <c r="E132" t="inlineStr">
        <is>
          <t>Asset schedule!E54:I54</t>
        </is>
      </c>
      <c r="F132" t="inlineStr">
        <is>
          <t>'=R[-4]C[0]+R[-3]C[0]-R[-2]C[0]-R[-1]C[0]</t>
        </is>
      </c>
      <c r="G132" t="inlineStr">
        <is>
          <t>Vectorizable</t>
        </is>
      </c>
    </row>
    <row r="133">
      <c r="A133" t="inlineStr">
        <is>
          <t>G000132</t>
        </is>
      </c>
      <c r="B133" t="inlineStr">
        <is>
          <t>Asset schedule</t>
        </is>
      </c>
      <c r="C133" t="inlineStr">
        <is>
          <t>Horizontal</t>
        </is>
      </c>
      <c r="D133" t="n">
        <v>5</v>
      </c>
      <c r="E133" t="inlineStr">
        <is>
          <t>Asset schedule!E62:I62</t>
        </is>
      </c>
      <c r="F133" t="inlineStr">
        <is>
          <t>'=R[-4]C[0]+R[-3]C[0]-R[-2]C[0]-R[-1]C[0]</t>
        </is>
      </c>
      <c r="G133" t="inlineStr">
        <is>
          <t>Vectorizable</t>
        </is>
      </c>
    </row>
    <row r="134">
      <c r="A134" t="inlineStr">
        <is>
          <t>G000133</t>
        </is>
      </c>
      <c r="B134" t="inlineStr">
        <is>
          <t>Asset schedule</t>
        </is>
      </c>
      <c r="C134" t="inlineStr">
        <is>
          <t>Horizontal</t>
        </is>
      </c>
      <c r="D134" t="n">
        <v>5</v>
      </c>
      <c r="E134" t="inlineStr">
        <is>
          <t>Asset schedule!E70:I70</t>
        </is>
      </c>
      <c r="F134" t="inlineStr">
        <is>
          <t>'=R[-4]C[0]+R[-3]C[0]-R[-2]C[0]-R[-1]C[0]</t>
        </is>
      </c>
      <c r="G134" t="inlineStr">
        <is>
          <t>Vectorizable</t>
        </is>
      </c>
    </row>
    <row r="135">
      <c r="A135" t="inlineStr">
        <is>
          <t>G000134</t>
        </is>
      </c>
      <c r="B135" t="inlineStr">
        <is>
          <t>Asset schedule</t>
        </is>
      </c>
      <c r="C135" t="inlineStr">
        <is>
          <t>Horizontal</t>
        </is>
      </c>
      <c r="D135" t="n">
        <v>5</v>
      </c>
      <c r="E135" t="inlineStr">
        <is>
          <t>Asset schedule!E78:I78</t>
        </is>
      </c>
      <c r="F135" t="inlineStr">
        <is>
          <t>'=R[-4]C[0]+R[-3]C[0]-R[-2]C[0]-R[-1]C[0]</t>
        </is>
      </c>
      <c r="G135" t="inlineStr">
        <is>
          <t>Vectorizable</t>
        </is>
      </c>
    </row>
    <row r="136">
      <c r="A136" t="inlineStr">
        <is>
          <t>G000135</t>
        </is>
      </c>
      <c r="B136" t="inlineStr">
        <is>
          <t>Asset schedule</t>
        </is>
      </c>
      <c r="C136" t="inlineStr">
        <is>
          <t>Horizontal</t>
        </is>
      </c>
      <c r="D136" t="n">
        <v>5</v>
      </c>
      <c r="E136" t="inlineStr">
        <is>
          <t>Asset schedule!E86:I86</t>
        </is>
      </c>
      <c r="F136" t="inlineStr">
        <is>
          <t>'=R[-4]C[0]+R[-3]C[0]-R[-2]C[0]-R[-1]C[0]</t>
        </is>
      </c>
      <c r="G136" t="inlineStr">
        <is>
          <t>Vectorizable</t>
        </is>
      </c>
    </row>
    <row r="137">
      <c r="A137" t="inlineStr">
        <is>
          <t>G000136</t>
        </is>
      </c>
      <c r="B137" t="inlineStr">
        <is>
          <t>Asset schedule</t>
        </is>
      </c>
      <c r="C137" t="inlineStr">
        <is>
          <t>Block</t>
        </is>
      </c>
      <c r="D137" t="n">
        <v>11</v>
      </c>
      <c r="E137" t="inlineStr">
        <is>
          <t>Asset schedule!B7:B87</t>
        </is>
      </c>
      <c r="F137" t="inlineStr">
        <is>
          <t>'=R[-2]C[2]/(R[-5]C[2]+R[-4]C[2]-R[-3]C[2])</t>
        </is>
      </c>
      <c r="G137" t="inlineStr">
        <is>
          <t>Vectorizable</t>
        </is>
      </c>
    </row>
    <row r="138">
      <c r="A138" t="inlineStr">
        <is>
          <t>G000137</t>
        </is>
      </c>
      <c r="B138" t="inlineStr">
        <is>
          <t>Asset schedule</t>
        </is>
      </c>
      <c r="C138" t="inlineStr">
        <is>
          <t>Horizontal</t>
        </is>
      </c>
      <c r="D138" t="n">
        <v>6</v>
      </c>
      <c r="E138" t="inlineStr">
        <is>
          <t>Asset schedule!O16:T16</t>
        </is>
      </c>
      <c r="F138" t="inlineStr">
        <is>
          <t>'=SUM(R[-11]C[0]:R[-1]C[0])</t>
        </is>
      </c>
      <c r="G138" t="inlineStr">
        <is>
          <t>Vectorizable</t>
        </is>
      </c>
    </row>
    <row r="139">
      <c r="A139" t="inlineStr">
        <is>
          <t>G000138</t>
        </is>
      </c>
      <c r="B139" t="inlineStr">
        <is>
          <t>Balance Sheet</t>
        </is>
      </c>
      <c r="C139" t="inlineStr">
        <is>
          <t>Horizontal</t>
        </is>
      </c>
      <c r="D139" t="n">
        <v>5</v>
      </c>
      <c r="E139" t="inlineStr">
        <is>
          <t>Balance Sheet!E4:I4</t>
        </is>
      </c>
      <c r="F139" t="inlineStr">
        <is>
          <t>'='Asset schedule'!R[2]C[0]+'Asset schedule'!R[10]C[0]+'Asset schedule'!R[18]C[0]+'Asset schedule'!R[26]C[0]+'Asset schedule'!R[34]C[0]+'Asset schedule'!R[42]C[0]+'Asset schedule'!R[50]C[0]+'Asset schedule'!R[58]C[0]+'Asset schedule'!R[66]C[0]+'Asset schedule'!R[74]C[0]+'Asset schedule'!R[82]C[0]</t>
        </is>
      </c>
      <c r="G139" t="inlineStr">
        <is>
          <t>Vectorizable</t>
        </is>
      </c>
    </row>
    <row r="140">
      <c r="A140" t="inlineStr">
        <is>
          <t>G000139</t>
        </is>
      </c>
      <c r="B140" t="inlineStr">
        <is>
          <t>Balance Sheet</t>
        </is>
      </c>
      <c r="C140" t="inlineStr">
        <is>
          <t>Horizontal</t>
        </is>
      </c>
      <c r="D140" t="n">
        <v>5</v>
      </c>
      <c r="E140" t="inlineStr">
        <is>
          <t>Balance Sheet!E5:I5</t>
        </is>
      </c>
      <c r="F140" t="inlineStr">
        <is>
          <t>'=R[0]C[-1]</t>
        </is>
      </c>
      <c r="G140" t="inlineStr">
        <is>
          <t>Vectorizable</t>
        </is>
      </c>
    </row>
    <row r="141">
      <c r="A141" t="inlineStr">
        <is>
          <t>G000140</t>
        </is>
      </c>
      <c r="B141" t="inlineStr">
        <is>
          <t>Balance Sheet</t>
        </is>
      </c>
      <c r="C141" t="inlineStr">
        <is>
          <t>Horizontal</t>
        </is>
      </c>
      <c r="D141" t="n">
        <v>5</v>
      </c>
      <c r="E141" t="inlineStr">
        <is>
          <t>Balance Sheet!E6:I6</t>
        </is>
      </c>
      <c r="F141" t="inlineStr">
        <is>
          <t>'=R[0]C[-1]</t>
        </is>
      </c>
      <c r="G141" t="inlineStr">
        <is>
          <t>Vectorizable</t>
        </is>
      </c>
    </row>
    <row r="142">
      <c r="A142" t="inlineStr">
        <is>
          <t>G000141</t>
        </is>
      </c>
      <c r="B142" t="inlineStr">
        <is>
          <t>Balance Sheet</t>
        </is>
      </c>
      <c r="C142" t="inlineStr">
        <is>
          <t>Horizontal</t>
        </is>
      </c>
      <c r="D142" t="n">
        <v>5</v>
      </c>
      <c r="E142" t="inlineStr">
        <is>
          <t>Balance Sheet!E33:I33</t>
        </is>
      </c>
      <c r="F142" t="inlineStr">
        <is>
          <t>'=R[0]C[-1]</t>
        </is>
      </c>
      <c r="G142" t="inlineStr">
        <is>
          <t>Vectorizable</t>
        </is>
      </c>
    </row>
    <row r="143">
      <c r="A143" t="inlineStr">
        <is>
          <t>G000142</t>
        </is>
      </c>
      <c r="B143" t="inlineStr">
        <is>
          <t>Balance Sheet</t>
        </is>
      </c>
      <c r="C143" t="inlineStr">
        <is>
          <t>Horizontal</t>
        </is>
      </c>
      <c r="D143" t="n">
        <v>4</v>
      </c>
      <c r="E143" t="inlineStr">
        <is>
          <t>Balance Sheet!F57:I57</t>
        </is>
      </c>
      <c r="F143" t="inlineStr">
        <is>
          <t>'=R[0]C[-1]</t>
        </is>
      </c>
      <c r="G143" t="inlineStr">
        <is>
          <t>Vectorizable</t>
        </is>
      </c>
    </row>
    <row r="144">
      <c r="A144" t="inlineStr">
        <is>
          <t>G000143</t>
        </is>
      </c>
      <c r="B144" t="inlineStr">
        <is>
          <t>Balance Sheet</t>
        </is>
      </c>
      <c r="C144" t="inlineStr">
        <is>
          <t>Horizontal</t>
        </is>
      </c>
      <c r="D144" t="n">
        <v>4</v>
      </c>
      <c r="E144" t="inlineStr">
        <is>
          <t>Balance Sheet!F58:I58</t>
        </is>
      </c>
      <c r="F144" t="inlineStr">
        <is>
          <t>'=R[0]C[-1]</t>
        </is>
      </c>
      <c r="G144" t="inlineStr">
        <is>
          <t>Vectorizable</t>
        </is>
      </c>
    </row>
    <row r="145">
      <c r="A145" t="inlineStr">
        <is>
          <t>G000144</t>
        </is>
      </c>
      <c r="B145" t="inlineStr">
        <is>
          <t>Balance Sheet</t>
        </is>
      </c>
      <c r="C145" t="inlineStr">
        <is>
          <t>Horizontal</t>
        </is>
      </c>
      <c r="D145" t="n">
        <v>4</v>
      </c>
      <c r="E145" t="inlineStr">
        <is>
          <t>Balance Sheet!F59:I59</t>
        </is>
      </c>
      <c r="F145" t="inlineStr">
        <is>
          <t>'=R[0]C[-1]</t>
        </is>
      </c>
      <c r="G145" t="inlineStr">
        <is>
          <t>Vectorizable</t>
        </is>
      </c>
    </row>
    <row r="146">
      <c r="A146" t="inlineStr">
        <is>
          <t>G000145</t>
        </is>
      </c>
      <c r="B146" t="inlineStr">
        <is>
          <t>Balance Sheet</t>
        </is>
      </c>
      <c r="C146" t="inlineStr">
        <is>
          <t>Horizontal</t>
        </is>
      </c>
      <c r="D146" t="n">
        <v>7</v>
      </c>
      <c r="E146" t="inlineStr">
        <is>
          <t>Balance Sheet!C16:I16</t>
        </is>
      </c>
      <c r="F146" t="inlineStr">
        <is>
          <t>'=SUM(R[-12]C[0]:R[-1]C[0])</t>
        </is>
      </c>
      <c r="G146" t="inlineStr">
        <is>
          <t>Vectorizable</t>
        </is>
      </c>
    </row>
    <row r="147">
      <c r="A147" t="inlineStr">
        <is>
          <t>G000146</t>
        </is>
      </c>
      <c r="B147" t="inlineStr">
        <is>
          <t>Balance Sheet</t>
        </is>
      </c>
      <c r="C147" t="inlineStr">
        <is>
          <t>Horizontal</t>
        </is>
      </c>
      <c r="D147" t="n">
        <v>5</v>
      </c>
      <c r="E147" t="inlineStr">
        <is>
          <t>Balance Sheet!E18:I18</t>
        </is>
      </c>
      <c r="F147" t="inlineStr">
        <is>
          <t>'=SUM('Financial Statements'!R[-14]C[0]:R[-11]C[0])*R[39]C[0]</t>
        </is>
      </c>
      <c r="G147" t="inlineStr">
        <is>
          <t>Vectorizable</t>
        </is>
      </c>
    </row>
    <row r="148">
      <c r="A148" t="inlineStr">
        <is>
          <t>G000147</t>
        </is>
      </c>
      <c r="B148" t="inlineStr">
        <is>
          <t>Balance Sheet</t>
        </is>
      </c>
      <c r="C148" t="inlineStr">
        <is>
          <t>Horizontal</t>
        </is>
      </c>
      <c r="D148" t="n">
        <v>5</v>
      </c>
      <c r="E148" t="inlineStr">
        <is>
          <t>Balance Sheet!E21:I21</t>
        </is>
      </c>
      <c r="F148" t="inlineStr">
        <is>
          <t>'='Financial Statements'!R[-19]C[0]*R[37]C[0]</t>
        </is>
      </c>
      <c r="G148" t="inlineStr">
        <is>
          <t>Vectorizable</t>
        </is>
      </c>
    </row>
    <row r="149">
      <c r="A149" t="inlineStr">
        <is>
          <t>G000148</t>
        </is>
      </c>
      <c r="B149" t="inlineStr">
        <is>
          <t>Balance Sheet</t>
        </is>
      </c>
      <c r="C149" t="inlineStr">
        <is>
          <t>Horizontal</t>
        </is>
      </c>
      <c r="D149" t="n">
        <v>5</v>
      </c>
      <c r="E149" t="inlineStr">
        <is>
          <t>Balance Sheet!E22:I22</t>
        </is>
      </c>
      <c r="F149" t="inlineStr">
        <is>
          <t>'='Financial Statements'!R[12]C[10]</t>
        </is>
      </c>
      <c r="G149" t="inlineStr">
        <is>
          <t>Vectorizable</t>
        </is>
      </c>
    </row>
    <row r="150">
      <c r="A150" t="inlineStr">
        <is>
          <t>G000149</t>
        </is>
      </c>
      <c r="B150" t="inlineStr">
        <is>
          <t>Balance Sheet</t>
        </is>
      </c>
      <c r="C150" t="inlineStr">
        <is>
          <t>Horizontal</t>
        </is>
      </c>
      <c r="D150" t="n">
        <v>7</v>
      </c>
      <c r="E150" t="inlineStr">
        <is>
          <t>Balance Sheet!C27:I27</t>
        </is>
      </c>
      <c r="F150" t="inlineStr">
        <is>
          <t>'=SUM(R[-9]C[0]:R[-1]C[0])</t>
        </is>
      </c>
      <c r="G150" t="inlineStr">
        <is>
          <t>Vectorizable</t>
        </is>
      </c>
    </row>
    <row r="151">
      <c r="A151" t="inlineStr">
        <is>
          <t>G000150</t>
        </is>
      </c>
      <c r="B151" t="inlineStr">
        <is>
          <t>Balance Sheet</t>
        </is>
      </c>
      <c r="C151" t="inlineStr">
        <is>
          <t>Horizontal</t>
        </is>
      </c>
      <c r="D151" t="n">
        <v>7</v>
      </c>
      <c r="E151" t="inlineStr">
        <is>
          <t>Balance Sheet!C29:I29</t>
        </is>
      </c>
      <c r="F151" t="inlineStr">
        <is>
          <t>'=R[-2]C[0]+R[-1]C[0]</t>
        </is>
      </c>
      <c r="G151" t="inlineStr">
        <is>
          <t>Vectorizable</t>
        </is>
      </c>
    </row>
    <row r="152">
      <c r="A152" t="inlineStr">
        <is>
          <t>G000151</t>
        </is>
      </c>
      <c r="B152" t="inlineStr">
        <is>
          <t>Balance Sheet</t>
        </is>
      </c>
      <c r="C152" t="inlineStr">
        <is>
          <t>Horizontal</t>
        </is>
      </c>
      <c r="D152" t="n">
        <v>7</v>
      </c>
      <c r="E152" t="inlineStr">
        <is>
          <t>Balance Sheet!C30:I30</t>
        </is>
      </c>
      <c r="F152" t="inlineStr">
        <is>
          <t>'=R[-1]C[0]+R[-14]C[0]</t>
        </is>
      </c>
      <c r="G152" t="inlineStr">
        <is>
          <t>Vectorizable</t>
        </is>
      </c>
    </row>
    <row r="153">
      <c r="A153" t="inlineStr">
        <is>
          <t>G000152</t>
        </is>
      </c>
      <c r="B153" t="inlineStr">
        <is>
          <t>Balance Sheet</t>
        </is>
      </c>
      <c r="C153" t="inlineStr">
        <is>
          <t>Horizontal</t>
        </is>
      </c>
      <c r="D153" t="n">
        <v>5</v>
      </c>
      <c r="E153" t="inlineStr">
        <is>
          <t>Balance Sheet!E34:I34</t>
        </is>
      </c>
      <c r="F153" t="inlineStr">
        <is>
          <t>'=R[0]C[-1]+'Financial Statements'!R[-14]C[0]</t>
        </is>
      </c>
      <c r="G153" t="inlineStr">
        <is>
          <t>Vectorizable</t>
        </is>
      </c>
    </row>
    <row r="154">
      <c r="A154" t="inlineStr">
        <is>
          <t>G000153</t>
        </is>
      </c>
      <c r="B154" t="inlineStr">
        <is>
          <t>Balance Sheet</t>
        </is>
      </c>
      <c r="C154" t="inlineStr">
        <is>
          <t>Horizontal</t>
        </is>
      </c>
      <c r="D154" t="n">
        <v>7</v>
      </c>
      <c r="E154" t="inlineStr">
        <is>
          <t>Balance Sheet!C36:I36</t>
        </is>
      </c>
      <c r="F154" t="inlineStr">
        <is>
          <t>'=R[-3]C[0]+R[-2]C[0]+R[-1]C[0]</t>
        </is>
      </c>
      <c r="G154" t="inlineStr">
        <is>
          <t>Vectorizable</t>
        </is>
      </c>
    </row>
    <row r="155">
      <c r="A155" t="inlineStr">
        <is>
          <t>G000154</t>
        </is>
      </c>
      <c r="B155" t="inlineStr">
        <is>
          <t>Balance Sheet</t>
        </is>
      </c>
      <c r="C155" t="inlineStr">
        <is>
          <t>Horizontal</t>
        </is>
      </c>
      <c r="D155" t="n">
        <v>7</v>
      </c>
      <c r="E155" t="inlineStr">
        <is>
          <t>Balance Sheet!C41:I41</t>
        </is>
      </c>
      <c r="F155" t="inlineStr">
        <is>
          <t>'=SUM(R[-2]C[0]:R[-1]C[0])</t>
        </is>
      </c>
      <c r="G155" t="inlineStr">
        <is>
          <t>Vectorizable</t>
        </is>
      </c>
    </row>
    <row r="156">
      <c r="A156" t="inlineStr">
        <is>
          <t>G000155</t>
        </is>
      </c>
      <c r="B156" t="inlineStr">
        <is>
          <t>Balance Sheet</t>
        </is>
      </c>
      <c r="C156" t="inlineStr">
        <is>
          <t>Horizontal</t>
        </is>
      </c>
      <c r="D156" t="n">
        <v>5</v>
      </c>
      <c r="E156" t="inlineStr">
        <is>
          <t>Balance Sheet!E44:I44</t>
        </is>
      </c>
      <c r="F156" t="inlineStr">
        <is>
          <t>'=SUM('Financial Statements'!R[-40]C[0]:R[-37]C[0])*R[15]C[0]</t>
        </is>
      </c>
      <c r="G156" t="inlineStr">
        <is>
          <t>Vectorizable</t>
        </is>
      </c>
    </row>
    <row r="157">
      <c r="A157" t="inlineStr">
        <is>
          <t>G000156</t>
        </is>
      </c>
      <c r="B157" t="inlineStr">
        <is>
          <t>Balance Sheet</t>
        </is>
      </c>
      <c r="C157" t="inlineStr">
        <is>
          <t>Horizontal</t>
        </is>
      </c>
      <c r="D157" t="n">
        <v>7</v>
      </c>
      <c r="E157" t="inlineStr">
        <is>
          <t>Balance Sheet!C49:I49</t>
        </is>
      </c>
      <c r="F157" t="inlineStr">
        <is>
          <t>'=SUM(R[-5]C[0]:R[-1]C[0])</t>
        </is>
      </c>
      <c r="G157" t="inlineStr">
        <is>
          <t>Vectorizable</t>
        </is>
      </c>
    </row>
    <row r="158">
      <c r="A158" t="inlineStr">
        <is>
          <t>G000157</t>
        </is>
      </c>
      <c r="B158" t="inlineStr">
        <is>
          <t>Balance Sheet</t>
        </is>
      </c>
      <c r="C158" t="inlineStr">
        <is>
          <t>Horizontal</t>
        </is>
      </c>
      <c r="D158" t="n">
        <v>7</v>
      </c>
      <c r="E158" t="inlineStr">
        <is>
          <t>Balance Sheet!C50:I50</t>
        </is>
      </c>
      <c r="F158" t="inlineStr">
        <is>
          <t>'=R[-1]C[0]+R[-9]C[0]</t>
        </is>
      </c>
      <c r="G158" t="inlineStr">
        <is>
          <t>Vectorizable</t>
        </is>
      </c>
    </row>
    <row r="159">
      <c r="A159" t="inlineStr">
        <is>
          <t>G000158</t>
        </is>
      </c>
      <c r="B159" t="inlineStr">
        <is>
          <t>Balance Sheet</t>
        </is>
      </c>
      <c r="C159" t="inlineStr">
        <is>
          <t>Horizontal</t>
        </is>
      </c>
      <c r="D159" t="n">
        <v>7</v>
      </c>
      <c r="E159" t="inlineStr">
        <is>
          <t>Balance Sheet!C51:I51</t>
        </is>
      </c>
      <c r="F159" t="inlineStr">
        <is>
          <t>'=R[-1]C[0]+R[-15]C[0]</t>
        </is>
      </c>
      <c r="G159" t="inlineStr">
        <is>
          <t>Vectorizable</t>
        </is>
      </c>
    </row>
    <row r="160">
      <c r="A160" t="inlineStr">
        <is>
          <t>G000159</t>
        </is>
      </c>
      <c r="B160" t="inlineStr">
        <is>
          <t>Balance Sheet</t>
        </is>
      </c>
      <c r="C160" t="inlineStr">
        <is>
          <t>Horizontal</t>
        </is>
      </c>
      <c r="D160" t="n">
        <v>5</v>
      </c>
      <c r="E160" t="inlineStr">
        <is>
          <t>Balance Sheet!E53:I53</t>
        </is>
      </c>
      <c r="F160" t="inlineStr">
        <is>
          <t>'=R[-2]C[0]-R[-23]C[0]</t>
        </is>
      </c>
      <c r="G160" t="inlineStr">
        <is>
          <t>Vectorizable</t>
        </is>
      </c>
    </row>
    <row r="161">
      <c r="A161" t="inlineStr">
        <is>
          <t>G000160</t>
        </is>
      </c>
      <c r="B161" t="inlineStr">
        <is>
          <t>Balance Sheet</t>
        </is>
      </c>
      <c r="C161" t="inlineStr">
        <is>
          <t>Horizontal</t>
        </is>
      </c>
      <c r="D161" t="n">
        <v>2</v>
      </c>
      <c r="E161" t="inlineStr">
        <is>
          <t>Balance Sheet!C57:D57</t>
        </is>
      </c>
      <c r="F161" t="inlineStr">
        <is>
          <t>'=R[-39]C[0]/SUM('Financial Statements'!R[-53]C[0]:R[-50]C[0])</t>
        </is>
      </c>
      <c r="G161" t="inlineStr">
        <is>
          <t>Vectorizable</t>
        </is>
      </c>
    </row>
    <row r="162">
      <c r="A162" t="inlineStr">
        <is>
          <t>G000161</t>
        </is>
      </c>
      <c r="B162" t="inlineStr">
        <is>
          <t>Balance Sheet</t>
        </is>
      </c>
      <c r="C162" t="inlineStr">
        <is>
          <t>Vertical</t>
        </is>
      </c>
      <c r="D162" t="n">
        <v>3</v>
      </c>
      <c r="E162" t="inlineStr">
        <is>
          <t>Balance Sheet!E57:E59</t>
        </is>
      </c>
      <c r="F162" t="inlineStr">
        <is>
          <t>'=AVERAGE(R[0]C[-2]:R[0]C[-1])</t>
        </is>
      </c>
      <c r="G162" t="inlineStr">
        <is>
          <t>Vectorizable</t>
        </is>
      </c>
    </row>
    <row r="163">
      <c r="A163" t="inlineStr">
        <is>
          <t>G000162</t>
        </is>
      </c>
      <c r="B163" t="inlineStr">
        <is>
          <t>Balance Sheet</t>
        </is>
      </c>
      <c r="C163" t="inlineStr">
        <is>
          <t>Horizontal</t>
        </is>
      </c>
      <c r="D163" t="n">
        <v>2</v>
      </c>
      <c r="E163" t="inlineStr">
        <is>
          <t>Balance Sheet!C58:D58</t>
        </is>
      </c>
      <c r="F163" t="inlineStr">
        <is>
          <t>'=R[-37]C[0]/'Financial Statements'!R[-56]C[0]</t>
        </is>
      </c>
      <c r="G163" t="inlineStr">
        <is>
          <t>Vectorizable</t>
        </is>
      </c>
    </row>
    <row r="164">
      <c r="A164" t="inlineStr">
        <is>
          <t>G000163</t>
        </is>
      </c>
      <c r="B164" t="inlineStr">
        <is>
          <t>Balance Sheet</t>
        </is>
      </c>
      <c r="C164" t="inlineStr">
        <is>
          <t>Horizontal</t>
        </is>
      </c>
      <c r="D164" t="n">
        <v>2</v>
      </c>
      <c r="E164" t="inlineStr">
        <is>
          <t>Balance Sheet!C59:D59</t>
        </is>
      </c>
      <c r="F164" t="inlineStr">
        <is>
          <t>'=R[-15]C[0]/SUM('Financial Statements'!R[-55]C[0]:R[-52]C[0])</t>
        </is>
      </c>
      <c r="G164" t="inlineStr">
        <is>
          <t>Vectorizable</t>
        </is>
      </c>
    </row>
    <row r="165">
      <c r="A165" t="inlineStr">
        <is>
          <t>G000164</t>
        </is>
      </c>
      <c r="B165" t="inlineStr">
        <is>
          <t>DCF</t>
        </is>
      </c>
      <c r="C165" t="inlineStr">
        <is>
          <t>Horizontal</t>
        </is>
      </c>
      <c r="D165" t="n">
        <v>5</v>
      </c>
      <c r="E165" t="inlineStr">
        <is>
          <t>DCF!B2:F2</t>
        </is>
      </c>
      <c r="F165" t="inlineStr">
        <is>
          <t>'='Financial Statements'!R[10]C[3]</t>
        </is>
      </c>
      <c r="G165" t="inlineStr">
        <is>
          <t>Vectorizable</t>
        </is>
      </c>
    </row>
    <row r="166">
      <c r="A166" t="inlineStr">
        <is>
          <t>G000165</t>
        </is>
      </c>
      <c r="B166" t="inlineStr">
        <is>
          <t>DCF</t>
        </is>
      </c>
      <c r="C166" t="inlineStr">
        <is>
          <t>Horizontal</t>
        </is>
      </c>
      <c r="D166" t="n">
        <v>5</v>
      </c>
      <c r="E166" t="inlineStr">
        <is>
          <t>DCF!B3:F3</t>
        </is>
      </c>
      <c r="F166" t="inlineStr">
        <is>
          <t>'=R[-1]C[0]*'Financial Statements'!R[13]C[3]</t>
        </is>
      </c>
      <c r="G166" t="inlineStr">
        <is>
          <t>Vectorizable</t>
        </is>
      </c>
    </row>
    <row r="167">
      <c r="A167" t="inlineStr">
        <is>
          <t>G000166</t>
        </is>
      </c>
      <c r="B167" t="inlineStr">
        <is>
          <t>DCF</t>
        </is>
      </c>
      <c r="C167" t="inlineStr">
        <is>
          <t>Horizontal</t>
        </is>
      </c>
      <c r="D167" t="n">
        <v>5</v>
      </c>
      <c r="E167" t="inlineStr">
        <is>
          <t>DCF!B4:F4</t>
        </is>
      </c>
      <c r="F167" t="inlineStr">
        <is>
          <t>'=R[-2]C[0]-R[-1]C[0]</t>
        </is>
      </c>
      <c r="G167" t="inlineStr">
        <is>
          <t>Vectorizable</t>
        </is>
      </c>
    </row>
    <row r="168">
      <c r="A168" t="inlineStr">
        <is>
          <t>G000167</t>
        </is>
      </c>
      <c r="B168" t="inlineStr">
        <is>
          <t>DCF</t>
        </is>
      </c>
      <c r="C168" t="inlineStr">
        <is>
          <t>Horizontal</t>
        </is>
      </c>
      <c r="D168" t="n">
        <v>5</v>
      </c>
      <c r="E168" t="inlineStr">
        <is>
          <t>DCF!B6:F6</t>
        </is>
      </c>
      <c r="F168" t="inlineStr">
        <is>
          <t>'='Financial Statements'!R[5]C[3]</t>
        </is>
      </c>
      <c r="G168" t="inlineStr">
        <is>
          <t>Vectorizable</t>
        </is>
      </c>
    </row>
    <row r="169">
      <c r="A169" t="inlineStr">
        <is>
          <t>G000168</t>
        </is>
      </c>
      <c r="B169" t="inlineStr">
        <is>
          <t>DCF</t>
        </is>
      </c>
      <c r="C169" t="inlineStr">
        <is>
          <t>Horizontal</t>
        </is>
      </c>
      <c r="D169" t="n">
        <v>5</v>
      </c>
      <c r="E169" t="inlineStr">
        <is>
          <t>DCF!B7:F7</t>
        </is>
      </c>
      <c r="F169" t="inlineStr">
        <is>
          <t>'=-'Asset schedule'!R[-5]C[14]</t>
        </is>
      </c>
      <c r="G169" t="inlineStr">
        <is>
          <t>Vectorizable</t>
        </is>
      </c>
    </row>
    <row r="170">
      <c r="A170" t="inlineStr">
        <is>
          <t>G000169</t>
        </is>
      </c>
      <c r="B170" t="inlineStr">
        <is>
          <t>DCF</t>
        </is>
      </c>
      <c r="C170" t="inlineStr">
        <is>
          <t>Horizontal</t>
        </is>
      </c>
      <c r="D170" t="n">
        <v>5</v>
      </c>
      <c r="E170" t="inlineStr">
        <is>
          <t>DCF!B8:F8</t>
        </is>
      </c>
      <c r="F170" t="inlineStr">
        <is>
          <t>'='Financial Statements'!R[10]C[13]+'Financial Statements'!R[11]C[13]+'Financial Statements'!R[12]C[13]</t>
        </is>
      </c>
      <c r="G170" t="inlineStr">
        <is>
          <t>Vectorizable</t>
        </is>
      </c>
    </row>
    <row r="171">
      <c r="A171" t="inlineStr">
        <is>
          <t>G000170</t>
        </is>
      </c>
      <c r="B171" t="inlineStr">
        <is>
          <t>DCF</t>
        </is>
      </c>
      <c r="C171" t="inlineStr">
        <is>
          <t>Horizontal</t>
        </is>
      </c>
      <c r="D171" t="n">
        <v>5</v>
      </c>
      <c r="E171" t="inlineStr">
        <is>
          <t>DCF!B9:F9</t>
        </is>
      </c>
      <c r="F171" t="inlineStr">
        <is>
          <t>'=SUM(R[-5]C[0]:R[-1]C[0])</t>
        </is>
      </c>
      <c r="G171" t="inlineStr">
        <is>
          <t>Vectorizable</t>
        </is>
      </c>
    </row>
    <row r="172">
      <c r="A172" t="inlineStr">
        <is>
          <t>G000171</t>
        </is>
      </c>
      <c r="B172" t="inlineStr">
        <is>
          <t>DCF</t>
        </is>
      </c>
      <c r="C172" t="inlineStr">
        <is>
          <t>Horizontal</t>
        </is>
      </c>
      <c r="D172" t="n">
        <v>5</v>
      </c>
      <c r="E172" t="inlineStr">
        <is>
          <t>DCF!B11:F11</t>
        </is>
      </c>
      <c r="F172" t="inlineStr">
        <is>
          <t>'=SUM(R[-2]C[0]:R[-1]C[0])</t>
        </is>
      </c>
      <c r="G172" t="inlineStr">
        <is>
          <t>Vectorizable</t>
        </is>
      </c>
    </row>
    <row r="173">
      <c r="A173" t="inlineStr">
        <is>
          <t>G000172</t>
        </is>
      </c>
      <c r="B173" t="inlineStr">
        <is>
          <t>DCF</t>
        </is>
      </c>
      <c r="C173" t="inlineStr">
        <is>
          <t>Vertical</t>
        </is>
      </c>
      <c r="D173" t="n">
        <v>5</v>
      </c>
      <c r="E173" t="inlineStr">
        <is>
          <t>DCF!I34:I38</t>
        </is>
      </c>
      <c r="F173" t="inlineStr">
        <is>
          <t>'=R[-1]C[0]+1%</t>
        </is>
      </c>
      <c r="G173" t="inlineStr">
        <is>
          <t>Vectorizable</t>
        </is>
      </c>
    </row>
    <row r="174">
      <c r="A174" t="inlineStr">
        <is>
          <t>G000173</t>
        </is>
      </c>
      <c r="B174" t="inlineStr">
        <is>
          <t>Relative</t>
        </is>
      </c>
      <c r="C174" t="inlineStr">
        <is>
          <t>Horizontal</t>
        </is>
      </c>
      <c r="D174" t="n">
        <v>4</v>
      </c>
      <c r="E174" t="inlineStr">
        <is>
          <t>Relative!B3:E3</t>
        </is>
      </c>
      <c r="F174" t="inlineStr">
        <is>
          <t>'='Financial Statements'!R[14]C[2]/R8C2</t>
        </is>
      </c>
      <c r="G174" t="inlineStr">
        <is>
          <t>Vectorizable</t>
        </is>
      </c>
    </row>
    <row r="175">
      <c r="A175" t="inlineStr">
        <is>
          <t>G000174</t>
        </is>
      </c>
      <c r="B175" t="inlineStr">
        <is>
          <t>Relative</t>
        </is>
      </c>
      <c r="C175" t="inlineStr">
        <is>
          <t>Horizontal</t>
        </is>
      </c>
      <c r="D175" t="n">
        <v>4</v>
      </c>
      <c r="E175" t="inlineStr">
        <is>
          <t>Relative!B4:E4</t>
        </is>
      </c>
      <c r="F175" t="inlineStr">
        <is>
          <t>'='Financial Statements'!R[-2]C[2]</t>
        </is>
      </c>
      <c r="G175" t="inlineStr">
        <is>
          <t>Vectorizable</t>
        </is>
      </c>
    </row>
    <row r="176">
      <c r="A176" t="inlineStr">
        <is>
          <t>G000175</t>
        </is>
      </c>
      <c r="B176" t="inlineStr">
        <is>
          <t>Relative</t>
        </is>
      </c>
      <c r="C176" t="inlineStr">
        <is>
          <t>Horizontal</t>
        </is>
      </c>
      <c r="D176" t="n">
        <v>4</v>
      </c>
      <c r="E176" t="inlineStr">
        <is>
          <t>Relative!B5:E5</t>
        </is>
      </c>
      <c r="F176" t="inlineStr">
        <is>
          <t>'='Financial Statements'!R[5]C[2]</t>
        </is>
      </c>
      <c r="G176" t="inlineStr">
        <is>
          <t>Vectorizable</t>
        </is>
      </c>
    </row>
    <row r="177">
      <c r="A177" t="inlineStr">
        <is>
          <t>G000176</t>
        </is>
      </c>
      <c r="B177" t="inlineStr">
        <is>
          <t>Relative</t>
        </is>
      </c>
      <c r="C177" t="inlineStr">
        <is>
          <t>Block</t>
        </is>
      </c>
      <c r="D177" t="n">
        <v>4</v>
      </c>
      <c r="E177" t="inlineStr">
        <is>
          <t>Relative!B12:N12</t>
        </is>
      </c>
      <c r="F177" t="inlineStr">
        <is>
          <t>'=(R[-3]C[0]*R[-4]C[0])+R[-6]C[0]-R[-5]C[0]</t>
        </is>
      </c>
      <c r="G177" t="inlineStr">
        <is>
          <t>Vectorizable</t>
        </is>
      </c>
    </row>
    <row r="178">
      <c r="A178" t="inlineStr">
        <is>
          <t>G000177</t>
        </is>
      </c>
      <c r="B178" t="inlineStr">
        <is>
          <t>Relative</t>
        </is>
      </c>
      <c r="C178" t="inlineStr">
        <is>
          <t>Vertical</t>
        </is>
      </c>
      <c r="D178" t="n">
        <v>5</v>
      </c>
      <c r="E178" t="inlineStr">
        <is>
          <t>Relative!P12:P16</t>
        </is>
      </c>
      <c r="F178" t="inlineStr">
        <is>
          <t>'=AVERAGE(R[0]C[-14],R[0]C[-10],R[0]C[-6],R[0]C[-2])</t>
        </is>
      </c>
      <c r="G178" t="inlineStr">
        <is>
          <t>Vectorizable</t>
        </is>
      </c>
    </row>
    <row r="179">
      <c r="A179" t="inlineStr">
        <is>
          <t>G000178</t>
        </is>
      </c>
      <c r="B179" t="inlineStr">
        <is>
          <t>Relative</t>
        </is>
      </c>
      <c r="C179" t="inlineStr">
        <is>
          <t>Vertical</t>
        </is>
      </c>
      <c r="D179" t="n">
        <v>3</v>
      </c>
      <c r="E179" t="inlineStr">
        <is>
          <t>Relative!P18:P20</t>
        </is>
      </c>
      <c r="F179" t="inlineStr">
        <is>
          <t>'=AVERAGE(R[0]C[-14],R[0]C[-10],R[0]C[-6],R[0]C[-2])</t>
        </is>
      </c>
      <c r="G179" t="inlineStr">
        <is>
          <t>Vectorizable</t>
        </is>
      </c>
    </row>
    <row r="180">
      <c r="A180" t="inlineStr">
        <is>
          <t>G000179</t>
        </is>
      </c>
      <c r="B180" t="inlineStr">
        <is>
          <t>Relative</t>
        </is>
      </c>
      <c r="C180" t="inlineStr">
        <is>
          <t>Vertical</t>
        </is>
      </c>
      <c r="D180" t="n">
        <v>4</v>
      </c>
      <c r="E180" t="inlineStr">
        <is>
          <t>Relative!P22:P25</t>
        </is>
      </c>
      <c r="F180" t="inlineStr">
        <is>
          <t>'=AVERAGE(R[0]C[-14],R[0]C[-10],R[0]C[-6],R[0]C[-2])</t>
        </is>
      </c>
      <c r="G180" t="inlineStr">
        <is>
          <t>Vectorizable</t>
        </is>
      </c>
    </row>
    <row r="181">
      <c r="A181" t="inlineStr">
        <is>
          <t>G000180</t>
        </is>
      </c>
      <c r="B181" t="inlineStr">
        <is>
          <t>Relative</t>
        </is>
      </c>
      <c r="C181" t="inlineStr">
        <is>
          <t>Vertical</t>
        </is>
      </c>
      <c r="D181" t="n">
        <v>5</v>
      </c>
      <c r="E181" t="inlineStr">
        <is>
          <t>Relative!Q12:Q16</t>
        </is>
      </c>
      <c r="F181" t="inlineStr">
        <is>
          <t>'=MEDIAN(R[0]C[-15],R[0]C[-11],R[0]C[-7],R[0]C[-3])</t>
        </is>
      </c>
      <c r="G181" t="inlineStr">
        <is>
          <t>Vectorizable</t>
        </is>
      </c>
    </row>
    <row r="182">
      <c r="A182" t="inlineStr">
        <is>
          <t>G000181</t>
        </is>
      </c>
      <c r="B182" t="inlineStr">
        <is>
          <t>Relative</t>
        </is>
      </c>
      <c r="C182" t="inlineStr">
        <is>
          <t>Vertical</t>
        </is>
      </c>
      <c r="D182" t="n">
        <v>3</v>
      </c>
      <c r="E182" t="inlineStr">
        <is>
          <t>Relative!Q18:Q20</t>
        </is>
      </c>
      <c r="F182" t="inlineStr">
        <is>
          <t>'=MEDIAN(R[0]C[-15],R[0]C[-11],R[0]C[-7],R[0]C[-3])</t>
        </is>
      </c>
      <c r="G182" t="inlineStr">
        <is>
          <t>Vectorizable</t>
        </is>
      </c>
    </row>
    <row r="183">
      <c r="A183" t="inlineStr">
        <is>
          <t>G000182</t>
        </is>
      </c>
      <c r="B183" t="inlineStr">
        <is>
          <t>Relative</t>
        </is>
      </c>
      <c r="C183" t="inlineStr">
        <is>
          <t>Vertical</t>
        </is>
      </c>
      <c r="D183" t="n">
        <v>4</v>
      </c>
      <c r="E183" t="inlineStr">
        <is>
          <t>Relative!Q22:Q25</t>
        </is>
      </c>
      <c r="F183" t="inlineStr">
        <is>
          <t>'=MEDIAN(R[0]C[-15],R[0]C[-11],R[0]C[-7],R[0]C[-3])</t>
        </is>
      </c>
      <c r="G183" t="inlineStr">
        <is>
          <t>Vectorizable</t>
        </is>
      </c>
    </row>
    <row r="184">
      <c r="A184" t="inlineStr">
        <is>
          <t>G000183</t>
        </is>
      </c>
      <c r="B184" t="inlineStr">
        <is>
          <t>Relative</t>
        </is>
      </c>
      <c r="C184" t="inlineStr">
        <is>
          <t>Block</t>
        </is>
      </c>
      <c r="D184" t="n">
        <v>4</v>
      </c>
      <c r="E184" t="inlineStr">
        <is>
          <t>Relative!B13:N13</t>
        </is>
      </c>
      <c r="F184" t="inlineStr">
        <is>
          <t>'=(R[-9]C[3]/R[-9]C[0])^(1/3)-1</t>
        </is>
      </c>
      <c r="G184" t="inlineStr">
        <is>
          <t>Vectorizable</t>
        </is>
      </c>
    </row>
    <row r="185">
      <c r="A185" t="inlineStr">
        <is>
          <t>G000184</t>
        </is>
      </c>
      <c r="B185" t="inlineStr">
        <is>
          <t>Relative</t>
        </is>
      </c>
      <c r="C185" t="inlineStr">
        <is>
          <t>Block</t>
        </is>
      </c>
      <c r="D185" t="n">
        <v>4</v>
      </c>
      <c r="E185" t="inlineStr">
        <is>
          <t>Relative!B14:N14</t>
        </is>
      </c>
      <c r="F185" t="inlineStr">
        <is>
          <t>'=R[-5]C[0]/R[-11]C[0]</t>
        </is>
      </c>
      <c r="G185" t="inlineStr">
        <is>
          <t>Vectorizable</t>
        </is>
      </c>
    </row>
    <row r="186">
      <c r="A186" t="inlineStr">
        <is>
          <t>G000185</t>
        </is>
      </c>
      <c r="B186" t="inlineStr">
        <is>
          <t>Relative</t>
        </is>
      </c>
      <c r="C186" t="inlineStr">
        <is>
          <t>Block</t>
        </is>
      </c>
      <c r="D186" t="n">
        <v>4</v>
      </c>
      <c r="E186" t="inlineStr">
        <is>
          <t>Relative!B15:N15</t>
        </is>
      </c>
      <c r="F186" t="inlineStr">
        <is>
          <t>'=R[-6]C[0]/(R[-11]C[0]/R[-7]C[0])</t>
        </is>
      </c>
      <c r="G186" t="inlineStr">
        <is>
          <t>Vectorizable</t>
        </is>
      </c>
    </row>
    <row r="187">
      <c r="A187" t="inlineStr">
        <is>
          <t>G000186</t>
        </is>
      </c>
      <c r="B187" t="inlineStr">
        <is>
          <t>Relative</t>
        </is>
      </c>
      <c r="C187" t="inlineStr">
        <is>
          <t>Block</t>
        </is>
      </c>
      <c r="D187" t="n">
        <v>4</v>
      </c>
      <c r="E187" t="inlineStr">
        <is>
          <t>Relative!B16:N16</t>
        </is>
      </c>
      <c r="F187" t="inlineStr">
        <is>
          <t>'=R[-2]C[0]/R[-3]C[0]</t>
        </is>
      </c>
      <c r="G187" t="inlineStr">
        <is>
          <t>Vectorizable</t>
        </is>
      </c>
    </row>
    <row r="188">
      <c r="A188" t="inlineStr">
        <is>
          <t>G000187</t>
        </is>
      </c>
      <c r="B188" t="inlineStr">
        <is>
          <t>Relative</t>
        </is>
      </c>
      <c r="C188" t="inlineStr">
        <is>
          <t>Block</t>
        </is>
      </c>
      <c r="D188" t="n">
        <v>4</v>
      </c>
      <c r="E188" t="inlineStr">
        <is>
          <t>Relative!B18:N18</t>
        </is>
      </c>
      <c r="F188" t="inlineStr">
        <is>
          <t>'=R[-9]C[0]/R[-15]C[1]</t>
        </is>
      </c>
      <c r="G188" t="inlineStr">
        <is>
          <t>Vectorizable</t>
        </is>
      </c>
    </row>
    <row r="189">
      <c r="A189" t="inlineStr">
        <is>
          <t>G000188</t>
        </is>
      </c>
      <c r="B189" t="inlineStr">
        <is>
          <t>Relative</t>
        </is>
      </c>
      <c r="C189" t="inlineStr">
        <is>
          <t>Block</t>
        </is>
      </c>
      <c r="D189" t="n">
        <v>4</v>
      </c>
      <c r="E189" t="inlineStr">
        <is>
          <t>Relative!B19:N19</t>
        </is>
      </c>
      <c r="F189" t="inlineStr">
        <is>
          <t>'=R[-10]C[0]/(R[-15]C[1]/R[-11]C[0])</t>
        </is>
      </c>
      <c r="G189" t="inlineStr">
        <is>
          <t>Vectorizable</t>
        </is>
      </c>
    </row>
    <row r="190">
      <c r="A190" t="inlineStr">
        <is>
          <t>G000189</t>
        </is>
      </c>
      <c r="B190" t="inlineStr">
        <is>
          <t>Relative</t>
        </is>
      </c>
      <c r="C190" t="inlineStr">
        <is>
          <t>Block</t>
        </is>
      </c>
      <c r="D190" t="n">
        <v>4</v>
      </c>
      <c r="E190" t="inlineStr">
        <is>
          <t>Relative!B20:N20</t>
        </is>
      </c>
      <c r="F190" t="inlineStr">
        <is>
          <t>'=R[-2]C[0]/R[-7]C[0]</t>
        </is>
      </c>
      <c r="G190" t="inlineStr">
        <is>
          <t>Vectorizable</t>
        </is>
      </c>
    </row>
    <row r="191">
      <c r="A191" t="inlineStr">
        <is>
          <t>G000190</t>
        </is>
      </c>
      <c r="B191" t="inlineStr">
        <is>
          <t>Relative</t>
        </is>
      </c>
      <c r="C191" t="inlineStr">
        <is>
          <t>Block</t>
        </is>
      </c>
      <c r="D191" t="n">
        <v>4</v>
      </c>
      <c r="E191" t="inlineStr">
        <is>
          <t>Relative!B22:N22</t>
        </is>
      </c>
      <c r="F191" t="inlineStr">
        <is>
          <t>'=R[-10]C[0]/R[-17]C[0]</t>
        </is>
      </c>
      <c r="G191" t="inlineStr">
        <is>
          <t>Vectorizable</t>
        </is>
      </c>
    </row>
    <row r="192">
      <c r="A192" t="inlineStr">
        <is>
          <t>G000191</t>
        </is>
      </c>
      <c r="B192" t="inlineStr">
        <is>
          <t>Relative</t>
        </is>
      </c>
      <c r="C192" t="inlineStr">
        <is>
          <t>Block</t>
        </is>
      </c>
      <c r="D192" t="n">
        <v>4</v>
      </c>
      <c r="E192" t="inlineStr">
        <is>
          <t>Relative!B23:N23</t>
        </is>
      </c>
      <c r="F192" t="inlineStr">
        <is>
          <t>'=R[-11]C[0]/R[-19]C[0]</t>
        </is>
      </c>
      <c r="G192" t="inlineStr">
        <is>
          <t>Vectorizable</t>
        </is>
      </c>
    </row>
    <row r="193">
      <c r="A193" t="inlineStr">
        <is>
          <t>G000192</t>
        </is>
      </c>
      <c r="B193" t="inlineStr">
        <is>
          <t>Relative</t>
        </is>
      </c>
      <c r="C193" t="inlineStr">
        <is>
          <t>Block</t>
        </is>
      </c>
      <c r="D193" t="n">
        <v>4</v>
      </c>
      <c r="E193" t="inlineStr">
        <is>
          <t>Relative!B24:N24</t>
        </is>
      </c>
      <c r="F193" t="inlineStr">
        <is>
          <t>'=R[-12]C[0]/R[-19]C[1]</t>
        </is>
      </c>
      <c r="G193" t="inlineStr">
        <is>
          <t>Vectorizable</t>
        </is>
      </c>
    </row>
    <row r="194">
      <c r="A194" t="inlineStr">
        <is>
          <t>G000193</t>
        </is>
      </c>
      <c r="B194" t="inlineStr">
        <is>
          <t>Relative</t>
        </is>
      </c>
      <c r="C194" t="inlineStr">
        <is>
          <t>Block</t>
        </is>
      </c>
      <c r="D194" t="n">
        <v>4</v>
      </c>
      <c r="E194" t="inlineStr">
        <is>
          <t>Relative!B25:N25</t>
        </is>
      </c>
      <c r="F194" t="inlineStr">
        <is>
          <t>'=R[-13]C[0]/R[-21]C[1]</t>
        </is>
      </c>
      <c r="G194" t="inlineStr">
        <is>
          <t>Vectorizable</t>
        </is>
      </c>
    </row>
    <row r="195">
      <c r="A195" t="inlineStr">
        <is>
          <t>G000194</t>
        </is>
      </c>
      <c r="B195" t="inlineStr">
        <is>
          <t>Relative</t>
        </is>
      </c>
      <c r="C195" t="inlineStr">
        <is>
          <t>Vertical</t>
        </is>
      </c>
      <c r="D195" t="n">
        <v>4</v>
      </c>
      <c r="E195" t="inlineStr">
        <is>
          <t>Relative!B35:B38</t>
        </is>
      </c>
      <c r="F195" t="inlineStr">
        <is>
          <t>'=R[10]C[2]*0.8</t>
        </is>
      </c>
      <c r="G195" t="inlineStr">
        <is>
          <t>Vectorizable</t>
        </is>
      </c>
    </row>
    <row r="196">
      <c r="A196" t="inlineStr">
        <is>
          <t>G000195</t>
        </is>
      </c>
      <c r="B196" t="inlineStr">
        <is>
          <t>Relative</t>
        </is>
      </c>
      <c r="C196" t="inlineStr">
        <is>
          <t>Vertical</t>
        </is>
      </c>
      <c r="D196" t="n">
        <v>4</v>
      </c>
      <c r="E196" t="inlineStr">
        <is>
          <t>Relative!C35:C38</t>
        </is>
      </c>
      <c r="F196" t="inlineStr">
        <is>
          <t>'=R[10]C[1]*1.2</t>
        </is>
      </c>
      <c r="G196" t="inlineStr">
        <is>
          <t>Vectorizable</t>
        </is>
      </c>
    </row>
    <row r="197">
      <c r="A197" t="inlineStr">
        <is>
          <t>G000196</t>
        </is>
      </c>
      <c r="B197" t="inlineStr">
        <is>
          <t>Relative</t>
        </is>
      </c>
      <c r="C197" t="inlineStr">
        <is>
          <t>Vertical</t>
        </is>
      </c>
      <c r="D197" t="n">
        <v>4</v>
      </c>
      <c r="E197" t="inlineStr">
        <is>
          <t>Relative!C45:C48</t>
        </is>
      </c>
      <c r="F197" t="inlineStr">
        <is>
          <t>'=R[0]C[-1]-R6C2+R7C2</t>
        </is>
      </c>
      <c r="G197" t="inlineStr">
        <is>
          <t>Vectorizable</t>
        </is>
      </c>
    </row>
    <row r="198">
      <c r="A198" t="inlineStr">
        <is>
          <t>G000197</t>
        </is>
      </c>
      <c r="B198" t="inlineStr">
        <is>
          <t>Relative</t>
        </is>
      </c>
      <c r="C198" t="inlineStr">
        <is>
          <t>Vertical</t>
        </is>
      </c>
      <c r="D198" t="n">
        <v>4</v>
      </c>
      <c r="E198" t="inlineStr">
        <is>
          <t>Relative!D45:D48</t>
        </is>
      </c>
      <c r="F198" t="inlineStr">
        <is>
          <t>'=R[0]C[-1]/R8C2</t>
        </is>
      </c>
      <c r="G198" t="inlineStr">
        <is>
          <t>Vectorizable</t>
        </is>
      </c>
    </row>
    <row r="199">
      <c r="A199" t="inlineStr">
        <is>
          <t>G000198</t>
        </is>
      </c>
      <c r="B199" t="inlineStr">
        <is>
          <t>DuPoint Analysis</t>
        </is>
      </c>
      <c r="C199" t="inlineStr">
        <is>
          <t>Horizontal</t>
        </is>
      </c>
      <c r="D199" t="n">
        <v>9</v>
      </c>
      <c r="E199" t="inlineStr">
        <is>
          <t>DuPoint Analysis!B14:J14</t>
        </is>
      </c>
      <c r="F199" t="inlineStr">
        <is>
          <t>'=R[-7]C[0]/R[-7]C[3]</t>
        </is>
      </c>
      <c r="G199" t="inlineStr">
        <is>
          <t>Vectorizable</t>
        </is>
      </c>
    </row>
    <row r="200">
      <c r="A200" t="inlineStr">
        <is>
          <t>G000199</t>
        </is>
      </c>
      <c r="B200" t="inlineStr">
        <is>
          <t>DuPoint Analysis</t>
        </is>
      </c>
      <c r="C200" t="inlineStr">
        <is>
          <t>Horizontal</t>
        </is>
      </c>
      <c r="D200" t="n">
        <v>9</v>
      </c>
      <c r="E200" t="inlineStr">
        <is>
          <t>DuPoint Analysis!B15:J15</t>
        </is>
      </c>
      <c r="F200" t="inlineStr">
        <is>
          <t>'=R[-7]C[0]/R[-7]C[3]</t>
        </is>
      </c>
      <c r="G200" t="inlineStr">
        <is>
          <t>Vectorizable</t>
        </is>
      </c>
    </row>
    <row r="201">
      <c r="A201" t="inlineStr">
        <is>
          <t>G000200</t>
        </is>
      </c>
      <c r="B201" t="inlineStr">
        <is>
          <t>DuPoint Analysis</t>
        </is>
      </c>
      <c r="C201" t="inlineStr">
        <is>
          <t>Horizontal</t>
        </is>
      </c>
      <c r="D201" t="n">
        <v>9</v>
      </c>
      <c r="E201" t="inlineStr">
        <is>
          <t>DuPoint Analysis!B16:J16</t>
        </is>
      </c>
      <c r="F201" t="inlineStr">
        <is>
          <t>'=R[-7]C[0]/R[-7]C[3]</t>
        </is>
      </c>
      <c r="G201" t="inlineStr">
        <is>
          <t>Vectorizable</t>
        </is>
      </c>
    </row>
    <row r="202">
      <c r="A202" t="inlineStr">
        <is>
          <t>G000201</t>
        </is>
      </c>
      <c r="B202" t="inlineStr">
        <is>
          <t>DuPoint Analysis</t>
        </is>
      </c>
      <c r="C202" t="inlineStr">
        <is>
          <t>Horizontal</t>
        </is>
      </c>
      <c r="D202" t="n">
        <v>3</v>
      </c>
      <c r="E202" t="inlineStr">
        <is>
          <t>DuPoint Analysis!K14:M14</t>
        </is>
      </c>
      <c r="F202" t="inlineStr">
        <is>
          <t>'=R[0]C[-9]*R[0]C[-6]*R[0]C[-3]</t>
        </is>
      </c>
      <c r="G202" t="inlineStr">
        <is>
          <t>Vectorizable</t>
        </is>
      </c>
    </row>
    <row r="203">
      <c r="A203" t="inlineStr">
        <is>
          <t>G000202</t>
        </is>
      </c>
      <c r="B203" t="inlineStr">
        <is>
          <t>DuPoint Analysis</t>
        </is>
      </c>
      <c r="C203" t="inlineStr">
        <is>
          <t>Horizontal</t>
        </is>
      </c>
      <c r="D203" t="n">
        <v>3</v>
      </c>
      <c r="E203" t="inlineStr">
        <is>
          <t>DuPoint Analysis!K15:M15</t>
        </is>
      </c>
      <c r="F203" t="inlineStr">
        <is>
          <t>'=R[0]C[-9]*R[0]C[-6]*R[0]C[-3]</t>
        </is>
      </c>
      <c r="G203" t="inlineStr">
        <is>
          <t>Vectorizable</t>
        </is>
      </c>
    </row>
    <row r="204">
      <c r="A204" t="inlineStr">
        <is>
          <t>G000203</t>
        </is>
      </c>
      <c r="B204" t="inlineStr">
        <is>
          <t>DuPoint Analysis</t>
        </is>
      </c>
      <c r="C204" t="inlineStr">
        <is>
          <t>Horizontal</t>
        </is>
      </c>
      <c r="D204" t="n">
        <v>3</v>
      </c>
      <c r="E204" t="inlineStr">
        <is>
          <t>DuPoint Analysis!K16:M16</t>
        </is>
      </c>
      <c r="F204" t="inlineStr">
        <is>
          <t>'=R[0]C[-9]*R[0]C[-6]*R[0]C[-3]</t>
        </is>
      </c>
      <c r="G204" t="inlineStr">
        <is>
          <t>Vectorizable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2026-03-05T04:02:41Z</dcterms:created>
  <dcterms:modified xsi:type="dcterms:W3CDTF">2026-03-05T04:02:41Z</dcterms:modified>
</cp:coreProperties>
</file>