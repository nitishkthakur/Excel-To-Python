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f>DailyCashFlow</f>
        <v/>
      </c>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f>SUMIF(Daily[Type],$B5,Daily[Daily])</f>
        <v/>
      </c>
      <c r="D5" s="109">
        <f>SUMIF(Daily[Type],$B5,Daily[Monthly])</f>
        <v/>
      </c>
      <c r="E5" s="109">
        <f>SUMIF(Daily[Type],$B5,Daily[Annual])</f>
        <v/>
      </c>
      <c r="G5" s="72" t="inlineStr">
        <is>
          <t>Income</t>
        </is>
      </c>
      <c r="H5" s="72" t="inlineStr">
        <is>
          <t>Salary</t>
        </is>
      </c>
      <c r="I5" s="110" t="n">
        <v>246.58</v>
      </c>
      <c r="J5" s="110">
        <f>Daily[[#This Row],[Annual]]/12</f>
        <v/>
      </c>
      <c r="K5" s="110">
        <f>Daily[[#This Row],[Daily]]*365</f>
        <v/>
      </c>
    </row>
    <row r="6" ht="40.15" customFormat="1" customHeight="1" s="15">
      <c r="B6" s="72" t="inlineStr">
        <is>
          <t>Expenses</t>
        </is>
      </c>
      <c r="C6" s="109">
        <f>SUMIF(Daily[Type],$B6,Daily[Daily])</f>
        <v/>
      </c>
      <c r="D6" s="109">
        <f>SUMIF(Daily[Type],$B6,Daily[Monthly])</f>
        <v/>
      </c>
      <c r="E6" s="109">
        <f>SUMIF(Daily[Type],$B6,Daily[Annual])</f>
        <v/>
      </c>
      <c r="G6" s="72" t="inlineStr">
        <is>
          <t>Income</t>
        </is>
      </c>
      <c r="H6" s="72" t="inlineStr">
        <is>
          <t>Commissions/bonus</t>
        </is>
      </c>
      <c r="I6" s="110" t="n">
        <v>13.7</v>
      </c>
      <c r="J6" s="110">
        <f>Daily[[#This Row],[Annual]]/12</f>
        <v/>
      </c>
      <c r="K6" s="110">
        <f>Daily[[#This Row],[Daily]]*365</f>
        <v/>
      </c>
    </row>
    <row r="7" ht="40.15" customFormat="1" customHeight="1" s="15">
      <c r="B7" s="72" t="inlineStr">
        <is>
          <t>Discretionary</t>
        </is>
      </c>
      <c r="C7" s="109">
        <f>SUMIF(Daily[Type],$B7,Daily[Daily])</f>
        <v/>
      </c>
      <c r="D7" s="109">
        <f>SUMIF(Daily[Type],$B7,Daily[Monthly])</f>
        <v/>
      </c>
      <c r="E7" s="109">
        <f>SUMIF(Daily[Type],$B7,Daily[Annual])</f>
        <v/>
      </c>
      <c r="G7" s="72" t="inlineStr">
        <is>
          <t>Income</t>
        </is>
      </c>
      <c r="H7" s="72" t="inlineStr">
        <is>
          <t>Other 1</t>
        </is>
      </c>
      <c r="I7" s="110" t="n">
        <v>82.19</v>
      </c>
      <c r="J7" s="110">
        <f>Daily[[#This Row],[Annual]]/12</f>
        <v/>
      </c>
      <c r="K7" s="110">
        <f>Daily[[#This Row],[Daily]]*365</f>
        <v/>
      </c>
    </row>
    <row r="8" ht="40.15" customFormat="1" customHeight="1" s="15">
      <c r="B8" s="72" t="inlineStr">
        <is>
          <t>Savings</t>
        </is>
      </c>
      <c r="C8" s="109">
        <f>SUMIF(Daily[Type],$B8,Daily[Daily])</f>
        <v/>
      </c>
      <c r="D8" s="109">
        <f>SUMIF(Daily[Type],$B8,Daily[Monthly])</f>
        <v/>
      </c>
      <c r="E8" s="109">
        <f>SUMIF(Daily[Type],$B8,Daily[Annual])</f>
        <v/>
      </c>
      <c r="G8" s="72" t="inlineStr">
        <is>
          <t>Income</t>
        </is>
      </c>
      <c r="H8" s="72" t="inlineStr">
        <is>
          <t>Other 2</t>
        </is>
      </c>
      <c r="I8" s="110" t="n">
        <v>0</v>
      </c>
      <c r="J8" s="110">
        <f>Daily[[#This Row],[Annual]]/12</f>
        <v/>
      </c>
      <c r="K8" s="110">
        <f>Daily[[#This Row],[Daily]]*365</f>
        <v/>
      </c>
    </row>
    <row r="9" ht="40.15" customFormat="1" customHeight="1" s="15">
      <c r="B9" s="25" t="n"/>
      <c r="C9" s="111" t="n"/>
      <c r="D9" s="111" t="n"/>
      <c r="E9" s="23" t="n"/>
      <c r="F9" s="24" t="n"/>
      <c r="G9" s="72" t="inlineStr">
        <is>
          <t>Income</t>
        </is>
      </c>
      <c r="H9" s="72" t="inlineStr">
        <is>
          <t>Other 3</t>
        </is>
      </c>
      <c r="I9" s="110" t="n">
        <v>0</v>
      </c>
      <c r="J9" s="110">
        <f>Daily[[#This Row],[Annual]]/12</f>
        <v/>
      </c>
      <c r="K9" s="110">
        <f>Daily[[#This Row],[Daily]]*365</f>
        <v/>
      </c>
    </row>
    <row r="10" ht="40.15" customFormat="1" customHeight="1" s="15">
      <c r="G10" s="72" t="inlineStr">
        <is>
          <t>Income</t>
        </is>
      </c>
      <c r="H10" s="72" t="inlineStr">
        <is>
          <t>Other 4</t>
        </is>
      </c>
      <c r="I10" s="110" t="n">
        <v>0</v>
      </c>
      <c r="J10" s="110">
        <f>Daily[[#This Row],[Annual]]/12</f>
        <v/>
      </c>
      <c r="K10" s="110">
        <f>Daily[[#This Row],[Daily]]*365</f>
        <v/>
      </c>
    </row>
    <row r="11" ht="40.15" customHeight="1" s="112">
      <c r="G11" s="72" t="inlineStr">
        <is>
          <t>Expenses</t>
        </is>
      </c>
      <c r="H11" s="72" t="inlineStr">
        <is>
          <t>Federal/SS/Medicare</t>
        </is>
      </c>
      <c r="I11" s="110" t="n">
        <v>41.1</v>
      </c>
      <c r="J11" s="110">
        <f>Daily[[#This Row],[Annual]]/12</f>
        <v/>
      </c>
      <c r="K11" s="110">
        <f>Daily[[#This Row],[Daily]]*365</f>
        <v/>
      </c>
    </row>
    <row r="12" ht="40.15" customHeight="1" s="112">
      <c r="G12" s="72" t="inlineStr">
        <is>
          <t>Expenses</t>
        </is>
      </c>
      <c r="H12" s="72" t="inlineStr">
        <is>
          <t>State income tax</t>
        </is>
      </c>
      <c r="I12" s="110" t="n">
        <v>6.85</v>
      </c>
      <c r="J12" s="110">
        <f>Daily[[#This Row],[Annual]]/12</f>
        <v/>
      </c>
      <c r="K12" s="110">
        <f>Daily[[#This Row],[Daily]]*365</f>
        <v/>
      </c>
    </row>
    <row r="13" ht="40.15" customHeight="1" s="112">
      <c r="G13" s="72" t="inlineStr">
        <is>
          <t>Expenses</t>
        </is>
      </c>
      <c r="H13" s="72" t="inlineStr">
        <is>
          <t>Vehicle tax/fees</t>
        </is>
      </c>
      <c r="I13" s="110" t="n">
        <v>0.55</v>
      </c>
      <c r="J13" s="110">
        <f>Daily[[#This Row],[Annual]]/12</f>
        <v/>
      </c>
      <c r="K13" s="110">
        <f>Daily[[#This Row],[Daily]]*365</f>
        <v/>
      </c>
    </row>
    <row r="14" ht="40.15" customHeight="1" s="112">
      <c r="G14" s="72" t="inlineStr">
        <is>
          <t>Expenses</t>
        </is>
      </c>
      <c r="H14" s="72" t="inlineStr">
        <is>
          <t>Vehicle payments</t>
        </is>
      </c>
      <c r="I14" s="110" t="n">
        <v>10.96</v>
      </c>
      <c r="J14" s="110">
        <f>Daily[[#This Row],[Annual]]/12</f>
        <v/>
      </c>
      <c r="K14" s="110">
        <f>Daily[[#This Row],[Daily]]*365</f>
        <v/>
      </c>
    </row>
    <row r="15" ht="40.15" customHeight="1" s="112">
      <c r="G15" s="72" t="inlineStr">
        <is>
          <t>Expenses</t>
        </is>
      </c>
      <c r="H15" s="72" t="inlineStr">
        <is>
          <t>Mortgage/rent</t>
        </is>
      </c>
      <c r="I15" s="110" t="n">
        <v>41.1</v>
      </c>
      <c r="J15" s="110">
        <f>Daily[[#This Row],[Annual]]/12</f>
        <v/>
      </c>
      <c r="K15" s="110">
        <f>Daily[[#This Row],[Daily]]*365</f>
        <v/>
      </c>
    </row>
    <row r="16" ht="40.15" customHeight="1" s="112">
      <c r="G16" s="72" t="inlineStr">
        <is>
          <t>Expenses</t>
        </is>
      </c>
      <c r="H16" s="72" t="inlineStr">
        <is>
          <t>Insurance</t>
        </is>
      </c>
      <c r="I16" s="110" t="n">
        <v>0.68</v>
      </c>
      <c r="J16" s="110">
        <f>Daily[[#This Row],[Annual]]/12</f>
        <v/>
      </c>
      <c r="K16" s="110">
        <f>Daily[[#This Row],[Daily]]*365</f>
        <v/>
      </c>
    </row>
    <row r="17" ht="40.15" customHeight="1" s="112">
      <c r="G17" s="72" t="inlineStr">
        <is>
          <t>Expenses</t>
        </is>
      </c>
      <c r="H17" s="72" t="inlineStr">
        <is>
          <t>Electricity</t>
        </is>
      </c>
      <c r="I17" s="110" t="n">
        <v>3.29</v>
      </c>
      <c r="J17" s="110">
        <f>Daily[[#This Row],[Annual]]/12</f>
        <v/>
      </c>
      <c r="K17" s="110">
        <f>Daily[[#This Row],[Daily]]*365</f>
        <v/>
      </c>
    </row>
    <row r="18" ht="40.15" customHeight="1" s="112">
      <c r="G18" s="72" t="inlineStr">
        <is>
          <t>Expenses</t>
        </is>
      </c>
      <c r="H18" s="72" t="inlineStr">
        <is>
          <t>Gas</t>
        </is>
      </c>
      <c r="I18" s="110" t="n">
        <v>1.64</v>
      </c>
      <c r="J18" s="110">
        <f>Daily[[#This Row],[Annual]]/12</f>
        <v/>
      </c>
      <c r="K18" s="110">
        <f>Daily[[#This Row],[Daily]]*365</f>
        <v/>
      </c>
    </row>
    <row r="19" ht="40.15" customHeight="1" s="112">
      <c r="G19" s="72" t="inlineStr">
        <is>
          <t>Expenses</t>
        </is>
      </c>
      <c r="H19" s="72" t="inlineStr">
        <is>
          <t>Water</t>
        </is>
      </c>
      <c r="I19" s="110" t="n">
        <v>1.64</v>
      </c>
      <c r="J19" s="110">
        <f>Daily[[#This Row],[Annual]]/12</f>
        <v/>
      </c>
      <c r="K19" s="110">
        <f>Daily[[#This Row],[Daily]]*365</f>
        <v/>
      </c>
    </row>
    <row r="20" ht="40.15" customHeight="1" s="112">
      <c r="G20" s="72" t="inlineStr">
        <is>
          <t>Expenses</t>
        </is>
      </c>
      <c r="H20" s="72" t="inlineStr">
        <is>
          <t>Sewer</t>
        </is>
      </c>
      <c r="I20" s="110" t="n">
        <v>0.82</v>
      </c>
      <c r="J20" s="110">
        <f>Daily[[#This Row],[Annual]]/12</f>
        <v/>
      </c>
      <c r="K20" s="110">
        <f>Daily[[#This Row],[Daily]]*365</f>
        <v/>
      </c>
    </row>
    <row r="21" ht="40.15" customHeight="1" s="112">
      <c r="G21" s="72" t="inlineStr">
        <is>
          <t>Expenses</t>
        </is>
      </c>
      <c r="H21" s="72" t="inlineStr">
        <is>
          <t>Garbage</t>
        </is>
      </c>
      <c r="I21" s="110" t="n">
        <v>0.41</v>
      </c>
      <c r="J21" s="110">
        <f>Daily[[#This Row],[Annual]]/12</f>
        <v/>
      </c>
      <c r="K21" s="110">
        <f>Daily[[#This Row],[Daily]]*365</f>
        <v/>
      </c>
    </row>
    <row r="22" ht="40.15" customHeight="1" s="112">
      <c r="G22" s="72" t="inlineStr">
        <is>
          <t>Expenses</t>
        </is>
      </c>
      <c r="H22" s="72" t="inlineStr">
        <is>
          <t>Phone</t>
        </is>
      </c>
      <c r="I22" s="110" t="n">
        <v>1.64</v>
      </c>
      <c r="J22" s="110">
        <f>Daily[[#This Row],[Annual]]/12</f>
        <v/>
      </c>
      <c r="K22" s="110">
        <f>Daily[[#This Row],[Daily]]*365</f>
        <v/>
      </c>
    </row>
    <row r="23" ht="40.15" customHeight="1" s="112">
      <c r="G23" s="72" t="inlineStr">
        <is>
          <t>Expenses</t>
        </is>
      </c>
      <c r="H23" s="72" t="inlineStr">
        <is>
          <t>Internet</t>
        </is>
      </c>
      <c r="I23" s="110" t="n">
        <v>1.64</v>
      </c>
      <c r="J23" s="110">
        <f>Daily[[#This Row],[Annual]]/12</f>
        <v/>
      </c>
      <c r="K23" s="110">
        <f>Daily[[#This Row],[Daily]]*365</f>
        <v/>
      </c>
    </row>
    <row r="24" ht="40.15" customHeight="1" s="112">
      <c r="G24" s="72" t="inlineStr">
        <is>
          <t>Expenses</t>
        </is>
      </c>
      <c r="H24" s="72" t="inlineStr">
        <is>
          <t>Disability premiums</t>
        </is>
      </c>
      <c r="I24" s="110" t="n">
        <v>4.11</v>
      </c>
      <c r="J24" s="110">
        <f>Daily[[#This Row],[Annual]]/12</f>
        <v/>
      </c>
      <c r="K24" s="110">
        <f>Daily[[#This Row],[Daily]]*365</f>
        <v/>
      </c>
    </row>
    <row r="25" ht="40.15" customHeight="1" s="112">
      <c r="G25" s="72" t="inlineStr">
        <is>
          <t>Expenses</t>
        </is>
      </c>
      <c r="H25" s="72" t="inlineStr">
        <is>
          <t>Food</t>
        </is>
      </c>
      <c r="I25" s="110" t="n">
        <v>13.7</v>
      </c>
      <c r="J25" s="110">
        <f>Daily[[#This Row],[Annual]]/12</f>
        <v/>
      </c>
      <c r="K25" s="110">
        <f>Daily[[#This Row],[Daily]]*365</f>
        <v/>
      </c>
    </row>
    <row r="26" ht="40.15" customHeight="1" s="112">
      <c r="G26" s="72" t="inlineStr">
        <is>
          <t>Expenses</t>
        </is>
      </c>
      <c r="H26" s="72" t="inlineStr">
        <is>
          <t>Clothing</t>
        </is>
      </c>
      <c r="I26" s="110" t="n">
        <v>3.29</v>
      </c>
      <c r="J26" s="110">
        <f>Daily[[#This Row],[Annual]]/12</f>
        <v/>
      </c>
      <c r="K26" s="110">
        <f>Daily[[#This Row],[Daily]]*365</f>
        <v/>
      </c>
    </row>
    <row r="27" ht="40.15" customHeight="1" s="112">
      <c r="G27" s="72" t="inlineStr">
        <is>
          <t>Expenses</t>
        </is>
      </c>
      <c r="H27" s="72" t="inlineStr">
        <is>
          <t>Medical/dental/Rx</t>
        </is>
      </c>
      <c r="I27" s="110" t="n">
        <v>1.64</v>
      </c>
      <c r="J27" s="110">
        <f>Daily[[#This Row],[Annual]]/12</f>
        <v/>
      </c>
      <c r="K27" s="110">
        <f>Daily[[#This Row],[Daily]]*365</f>
        <v/>
      </c>
    </row>
    <row r="28" ht="40.15" customHeight="1" s="112">
      <c r="G28" s="72" t="inlineStr">
        <is>
          <t>Expenses</t>
        </is>
      </c>
      <c r="H28" s="72" t="inlineStr">
        <is>
          <t>Bus</t>
        </is>
      </c>
      <c r="I28" s="110" t="n">
        <v>1</v>
      </c>
      <c r="J28" s="110">
        <f>Daily[[#This Row],[Annual]]/12</f>
        <v/>
      </c>
      <c r="K28" s="110">
        <f>Daily[[#This Row],[Daily]]*365</f>
        <v/>
      </c>
    </row>
    <row r="29" ht="40.15" customHeight="1" s="112">
      <c r="G29" s="72" t="inlineStr">
        <is>
          <t>Expenses</t>
        </is>
      </c>
      <c r="H29" s="72" t="inlineStr">
        <is>
          <t>Other 2</t>
        </is>
      </c>
      <c r="I29" s="110" t="n">
        <v>0</v>
      </c>
      <c r="J29" s="110">
        <f>Daily[[#This Row],[Annual]]/12</f>
        <v/>
      </c>
      <c r="K29" s="110">
        <f>Daily[[#This Row],[Daily]]*365</f>
        <v/>
      </c>
    </row>
    <row r="30" ht="40.15" customHeight="1" s="112">
      <c r="G30" s="72" t="inlineStr">
        <is>
          <t>Expenses</t>
        </is>
      </c>
      <c r="H30" s="72" t="inlineStr">
        <is>
          <t>Other 3</t>
        </is>
      </c>
      <c r="I30" s="110" t="n">
        <v>0</v>
      </c>
      <c r="J30" s="110">
        <f>Daily[[#This Row],[Annual]]/12</f>
        <v/>
      </c>
      <c r="K30" s="110">
        <f>Daily[[#This Row],[Daily]]*365</f>
        <v/>
      </c>
    </row>
    <row r="31" ht="40.15" customHeight="1" s="112">
      <c r="G31" s="72" t="inlineStr">
        <is>
          <t>Expenses</t>
        </is>
      </c>
      <c r="H31" s="72" t="inlineStr">
        <is>
          <t>Other 4</t>
        </is>
      </c>
      <c r="I31" s="110" t="n">
        <v>0</v>
      </c>
      <c r="J31" s="110">
        <f>Daily[[#This Row],[Annual]]/12</f>
        <v/>
      </c>
      <c r="K31" s="110">
        <f>Daily[[#This Row],[Daily]]*365</f>
        <v/>
      </c>
    </row>
    <row r="32" ht="40.15" customHeight="1" s="112">
      <c r="G32" s="72" t="inlineStr">
        <is>
          <t>Discretionary</t>
        </is>
      </c>
      <c r="H32" s="72" t="inlineStr">
        <is>
          <t>Dining</t>
        </is>
      </c>
      <c r="I32" s="110" t="n">
        <v>3.29</v>
      </c>
      <c r="J32" s="110">
        <f>Daily[[#This Row],[Annual]]/12</f>
        <v/>
      </c>
      <c r="K32" s="110">
        <f>Daily[[#This Row],[Daily]]*365</f>
        <v/>
      </c>
    </row>
    <row r="33" ht="40.15" customHeight="1" s="112">
      <c r="G33" s="72" t="inlineStr">
        <is>
          <t>Discretionary</t>
        </is>
      </c>
      <c r="H33" s="72" t="inlineStr">
        <is>
          <t>Gifts</t>
        </is>
      </c>
      <c r="I33" s="110" t="n">
        <v>1.64</v>
      </c>
      <c r="J33" s="110">
        <f>Daily[[#This Row],[Annual]]/12</f>
        <v/>
      </c>
      <c r="K33" s="110">
        <f>Daily[[#This Row],[Daily]]*365</f>
        <v/>
      </c>
    </row>
    <row r="34" ht="40.15" customHeight="1" s="112">
      <c r="G34" s="72" t="inlineStr">
        <is>
          <t>Discretionary</t>
        </is>
      </c>
      <c r="H34" s="72" t="inlineStr">
        <is>
          <t>Travel</t>
        </is>
      </c>
      <c r="I34" s="110" t="n">
        <v>6.16</v>
      </c>
      <c r="J34" s="110">
        <f>Daily[[#This Row],[Annual]]/12</f>
        <v/>
      </c>
      <c r="K34" s="110">
        <f>Daily[[#This Row],[Daily]]*365</f>
        <v/>
      </c>
    </row>
    <row r="35" ht="40.15" customHeight="1" s="112">
      <c r="G35" s="72" t="inlineStr">
        <is>
          <t>Discretionary</t>
        </is>
      </c>
      <c r="H35" s="72" t="inlineStr">
        <is>
          <t>Entertainment</t>
        </is>
      </c>
      <c r="I35" s="110" t="n">
        <v>3.29</v>
      </c>
      <c r="J35" s="110">
        <f>Daily[[#This Row],[Annual]]/12</f>
        <v/>
      </c>
      <c r="K35" s="110">
        <f>Daily[[#This Row],[Daily]]*365</f>
        <v/>
      </c>
    </row>
    <row r="36" ht="40.15" customHeight="1" s="112">
      <c r="G36" s="72" t="inlineStr">
        <is>
          <t>Discretionary</t>
        </is>
      </c>
      <c r="H36" s="72" t="inlineStr">
        <is>
          <t>Personal care</t>
        </is>
      </c>
      <c r="I36" s="110" t="n">
        <v>0.82</v>
      </c>
      <c r="J36" s="110">
        <f>Daily[[#This Row],[Annual]]/12</f>
        <v/>
      </c>
      <c r="K36" s="110">
        <f>Daily[[#This Row],[Daily]]*365</f>
        <v/>
      </c>
    </row>
    <row r="37" ht="40.15" customHeight="1" s="112">
      <c r="G37" s="72" t="inlineStr">
        <is>
          <t>Discretionary</t>
        </is>
      </c>
      <c r="H37" s="72" t="inlineStr">
        <is>
          <t>Shopping</t>
        </is>
      </c>
      <c r="I37" s="110" t="n">
        <v>5.48</v>
      </c>
      <c r="J37" s="110">
        <f>Daily[[#This Row],[Annual]]/12</f>
        <v/>
      </c>
      <c r="K37" s="110">
        <f>Daily[[#This Row],[Daily]]*365</f>
        <v/>
      </c>
    </row>
    <row r="38" ht="40.15" customHeight="1" s="112">
      <c r="G38" s="72" t="inlineStr">
        <is>
          <t>Discretionary</t>
        </is>
      </c>
      <c r="H38" s="72" t="inlineStr">
        <is>
          <t>Charity</t>
        </is>
      </c>
      <c r="I38" s="110" t="n">
        <v>1.64</v>
      </c>
      <c r="J38" s="110">
        <f>Daily[[#This Row],[Annual]]/12</f>
        <v/>
      </c>
      <c r="K38" s="110">
        <f>Daily[[#This Row],[Daily]]*365</f>
        <v/>
      </c>
    </row>
    <row r="39" ht="40.15" customHeight="1" s="112">
      <c r="G39" s="72" t="inlineStr">
        <is>
          <t>Discretionary</t>
        </is>
      </c>
      <c r="H39" s="72" t="inlineStr">
        <is>
          <t>Club memberships</t>
        </is>
      </c>
      <c r="I39" s="110" t="n">
        <v>0.82</v>
      </c>
      <c r="J39" s="110">
        <f>Daily[[#This Row],[Annual]]/12</f>
        <v/>
      </c>
      <c r="K39" s="110">
        <f>Daily[[#This Row],[Daily]]*365</f>
        <v/>
      </c>
    </row>
    <row r="40" ht="40.15" customHeight="1" s="112">
      <c r="G40" s="72" t="inlineStr">
        <is>
          <t>Discretionary</t>
        </is>
      </c>
      <c r="H40" s="72" t="inlineStr">
        <is>
          <t>Home improvements</t>
        </is>
      </c>
      <c r="I40" s="110" t="n">
        <v>13.15</v>
      </c>
      <c r="J40" s="110">
        <f>Daily[[#This Row],[Annual]]/12</f>
        <v/>
      </c>
      <c r="K40" s="110">
        <f>Daily[[#This Row],[Daily]]*365</f>
        <v/>
      </c>
    </row>
    <row r="41" ht="40.15" customHeight="1" s="112">
      <c r="G41" s="72" t="inlineStr">
        <is>
          <t>Discretionary</t>
        </is>
      </c>
      <c r="H41" s="72" t="inlineStr">
        <is>
          <t>Other 1</t>
        </is>
      </c>
      <c r="I41" s="110" t="n">
        <v>0</v>
      </c>
      <c r="J41" s="110">
        <f>Daily[[#This Row],[Annual]]/12</f>
        <v/>
      </c>
      <c r="K41" s="110">
        <f>Daily[[#This Row],[Daily]]*365</f>
        <v/>
      </c>
    </row>
    <row r="42" ht="40.15" customHeight="1" s="112">
      <c r="G42" s="72" t="inlineStr">
        <is>
          <t>Discretionary</t>
        </is>
      </c>
      <c r="H42" s="72" t="inlineStr">
        <is>
          <t>Other 2</t>
        </is>
      </c>
      <c r="I42" s="110" t="n">
        <v>0</v>
      </c>
      <c r="J42" s="110">
        <f>Daily[[#This Row],[Annual]]/12</f>
        <v/>
      </c>
      <c r="K42" s="110">
        <f>Daily[[#This Row],[Daily]]*365</f>
        <v/>
      </c>
    </row>
    <row r="43" ht="40.15" customHeight="1" s="112">
      <c r="G43" s="72" t="inlineStr">
        <is>
          <t>Savings</t>
        </is>
      </c>
      <c r="H43" s="72" t="inlineStr">
        <is>
          <t>Cash reserves</t>
        </is>
      </c>
      <c r="I43" s="110" t="n">
        <v>13.7</v>
      </c>
      <c r="J43" s="110">
        <f>Daily[[#This Row],[Annual]]/12</f>
        <v/>
      </c>
      <c r="K43" s="110">
        <f>Daily[[#This Row],[Daily]]*365</f>
        <v/>
      </c>
    </row>
    <row r="44" ht="40.15" customHeight="1" s="112">
      <c r="G44" s="72" t="inlineStr">
        <is>
          <t>Savings</t>
        </is>
      </c>
      <c r="H44" s="72" t="inlineStr">
        <is>
          <t>401k etc.</t>
        </is>
      </c>
      <c r="I44" s="110" t="n">
        <v>32.88</v>
      </c>
      <c r="J44" s="110">
        <f>Daily[[#This Row],[Annual]]/12</f>
        <v/>
      </c>
      <c r="K44" s="110">
        <f>Daily[[#This Row],[Daily]]*365</f>
        <v/>
      </c>
    </row>
    <row r="45" ht="40.15" customHeight="1" s="112">
      <c r="G45" s="72" t="inlineStr">
        <is>
          <t>Savings</t>
        </is>
      </c>
      <c r="H45" s="72" t="inlineStr">
        <is>
          <t>Savings account</t>
        </is>
      </c>
      <c r="I45" s="110" t="n">
        <v>16.44</v>
      </c>
      <c r="J45" s="110">
        <f>Daily[[#This Row],[Annual]]/12</f>
        <v/>
      </c>
      <c r="K45" s="110">
        <f>Daily[[#This Row],[Daily]]*365</f>
        <v/>
      </c>
    </row>
    <row r="46" ht="40.15" customHeight="1" s="112">
      <c r="G46" s="72" t="inlineStr">
        <is>
          <t>Savings</t>
        </is>
      </c>
      <c r="H46" s="72" t="inlineStr">
        <is>
          <t>Other 1</t>
        </is>
      </c>
      <c r="I46" s="110" t="n">
        <v>0</v>
      </c>
      <c r="J46" s="110">
        <f>Daily[[#This Row],[Annual]]/12</f>
        <v/>
      </c>
      <c r="K46" s="110">
        <f>Daily[[#This Row],[Daily]]*365</f>
        <v/>
      </c>
    </row>
    <row r="47" ht="40.15" customHeight="1" s="112">
      <c r="G47" s="72" t="inlineStr">
        <is>
          <t>Savings</t>
        </is>
      </c>
      <c r="H47" s="72" t="inlineStr">
        <is>
          <t>Other 2</t>
        </is>
      </c>
      <c r="I47" s="110" t="n">
        <v>0</v>
      </c>
      <c r="J47" s="110">
        <f>Daily[[#This Row],[Annual]]/12</f>
        <v/>
      </c>
      <c r="K47" s="110">
        <f>Daily[[#This Row],[Daily]]*365</f>
        <v/>
      </c>
    </row>
    <row r="48" ht="40.15" customHeight="1" s="112">
      <c r="G48" s="67" t="inlineStr">
        <is>
          <t>Total</t>
        </is>
      </c>
      <c r="H48" s="113" t="n"/>
      <c r="I48" s="110">
        <f>SUMIF(Daily[Type],"Income",Daily[Daily])-SUMIF(Daily[Type],"&lt;&gt;Income",Daily[Daily])</f>
        <v/>
      </c>
      <c r="J48" s="110">
        <f>SUMIF(Daily[Type],"Income",Daily[Monthly])-SUMIF(Daily[Type],"&lt;&gt;Income",Daily[Monthly])</f>
        <v/>
      </c>
      <c r="K48" s="110">
        <f>SUMIF(Daily[Type],"Income",Daily[Annual])-SUMIF(Daily[Type],"&lt;&gt;Income",Daily[Annual])</f>
        <v/>
      </c>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f>MonthlyCashFlowToDate</f>
        <v/>
      </c>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f>SUM(Monthly[[#This Row],[Jan]:[Dec]])</f>
        <v/>
      </c>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f>SUM(Monthly[[#This Row],[Jan]:[Dec]])</f>
        <v/>
      </c>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f>SUM(Monthly[[#This Row],[Jan]:[Dec]])</f>
        <v/>
      </c>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f>SUM(Monthly[[#This Row],[Jan]:[Dec]])</f>
        <v/>
      </c>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f>SUM(Monthly[[#This Row],[Jan]:[Dec]])</f>
        <v/>
      </c>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f>SUM(Monthly[[#This Row],[Jan]:[Dec]])</f>
        <v/>
      </c>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f>SUM(Monthly[[#This Row],[Jan]:[Dec]])</f>
        <v/>
      </c>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f>SUM(Monthly[[#This Row],[Jan]:[Dec]])</f>
        <v/>
      </c>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f>SUM(Monthly[[#This Row],[Jan]:[Dec]])</f>
        <v/>
      </c>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f>SUM(Monthly[[#This Row],[Jan]:[Dec]])</f>
        <v/>
      </c>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f>SUM(Monthly[[#This Row],[Jan]:[Dec]])</f>
        <v/>
      </c>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f>SUM(Monthly[[#This Row],[Jan]:[Dec]])</f>
        <v/>
      </c>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f>SUM(Monthly[[#This Row],[Jan]:[Dec]])</f>
        <v/>
      </c>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f>SUM(Monthly[[#This Row],[Jan]:[Dec]])</f>
        <v/>
      </c>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f>SUM(Monthly[[#This Row],[Jan]:[Dec]])</f>
        <v/>
      </c>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f>SUM(Monthly[[#This Row],[Jan]:[Dec]])</f>
        <v/>
      </c>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f>SUM(Monthly[[#This Row],[Jan]:[Dec]])</f>
        <v/>
      </c>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f>SUM(Monthly[[#This Row],[Jan]:[Dec]])</f>
        <v/>
      </c>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f>SUM(Monthly[[#This Row],[Jan]:[Dec]])</f>
        <v/>
      </c>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f>SUM(Monthly[[#This Row],[Jan]:[Dec]])</f>
        <v/>
      </c>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f>SUM(Monthly[[#This Row],[Jan]:[Dec]])</f>
        <v/>
      </c>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f>SUM(Monthly[[#This Row],[Jan]:[Dec]])</f>
        <v/>
      </c>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f>SUM(Monthly[[#This Row],[Jan]:[Dec]])</f>
        <v/>
      </c>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f>SUM(Monthly[[#This Row],[Jan]:[Dec]])</f>
        <v/>
      </c>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f>SUM(Monthly[[#This Row],[Jan]:[Dec]])</f>
        <v/>
      </c>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f>SUM(Monthly[[#This Row],[Jan]:[Dec]])</f>
        <v/>
      </c>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f>SUM(Monthly[[#This Row],[Jan]:[Dec]])</f>
        <v/>
      </c>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f>SUM(Monthly[[#This Row],[Jan]:[Dec]])</f>
        <v/>
      </c>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f>SUM(Monthly[[#This Row],[Jan]:[Dec]])</f>
        <v/>
      </c>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f>SUM(Monthly[[#This Row],[Jan]:[Dec]])</f>
        <v/>
      </c>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f>SUM(Monthly[[#This Row],[Jan]:[Dec]])</f>
        <v/>
      </c>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f>SUM(Monthly[[#This Row],[Jan]:[Dec]])</f>
        <v/>
      </c>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f>SUM(Monthly[[#This Row],[Jan]:[Dec]])</f>
        <v/>
      </c>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f>SUM(Monthly[[#This Row],[Jan]:[Dec]])</f>
        <v/>
      </c>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f>SUM(Monthly[[#This Row],[Jan]:[Dec]])</f>
        <v/>
      </c>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f>SUM(Monthly[[#This Row],[Jan]:[Dec]])</f>
        <v/>
      </c>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f>SUM(Monthly[[#This Row],[Jan]:[Dec]])</f>
        <v/>
      </c>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f>SUM(Monthly[[#This Row],[Jan]:[Dec]])</f>
        <v/>
      </c>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f>SUM(Monthly[[#This Row],[Jan]:[Dec]])</f>
        <v/>
      </c>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f>SUM(Monthly[[#This Row],[Jan]:[Dec]])</f>
        <v/>
      </c>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f>SUM(Monthly[[#This Row],[Jan]:[Dec]])</f>
        <v/>
      </c>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f>SUM(Monthly[[#This Row],[Jan]:[Dec]])</f>
        <v/>
      </c>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f>SUM(Monthly[[#This Row],[Jan]:[Dec]])</f>
        <v/>
      </c>
      <c r="Q46" s="38" t="n"/>
    </row>
    <row r="47" ht="40.15" customHeight="1" s="112">
      <c r="B47" s="67" t="inlineStr">
        <is>
          <t>Total</t>
        </is>
      </c>
      <c r="C47" s="113" t="n"/>
      <c r="D47" s="110">
        <f>SUMIF(Monthly[Type],"Income",Monthly[Jan])-SUMIF(Monthly[Type],"&lt;&gt;Income",Monthly[Jan])</f>
        <v/>
      </c>
      <c r="E47" s="110">
        <f>SUMIF(Monthly[Type],"Income",Monthly[Feb])-SUMIF(Monthly[Type],"&lt;&gt;Income",Monthly[Feb])</f>
        <v/>
      </c>
      <c r="F47" s="110">
        <f>SUMIF(Monthly[Type],"Income",Monthly[Mar])-SUMIF(Monthly[Type],"&lt;&gt;Income",Monthly[Mar])</f>
        <v/>
      </c>
      <c r="G47" s="110">
        <f>SUMIF(Monthly[Type],"Income",Monthly[Apr])-SUMIF(Monthly[Type],"&lt;&gt;Income",Monthly[Apr])</f>
        <v/>
      </c>
      <c r="H47" s="110">
        <f>SUMIF(Monthly[Type],"Income",Monthly[May])-SUMIF(Monthly[Type],"&lt;&gt;Income",Monthly[May])</f>
        <v/>
      </c>
      <c r="I47" s="110">
        <f>SUMIF(Monthly[Type],"Income",Monthly[Jun])-SUMIF(Monthly[Type],"&lt;&gt;Income",Monthly[Jun])</f>
        <v/>
      </c>
      <c r="J47" s="110">
        <f>SUMIF(Monthly[Type],"Income",Monthly[Jul])-SUMIF(Monthly[Type],"&lt;&gt;Income",Monthly[Jul])</f>
        <v/>
      </c>
      <c r="K47" s="110">
        <f>SUMIF(Monthly[Type],"Income",Monthly[Aug])-SUMIF(Monthly[Type],"&lt;&gt;Income",Monthly[Aug])</f>
        <v/>
      </c>
      <c r="L47" s="110">
        <f>SUMIF(Monthly[Type],"Income",Monthly[Sep])-SUMIF(Monthly[Type],"&lt;&gt;Income",Monthly[Sep])</f>
        <v/>
      </c>
      <c r="M47" s="110">
        <f>SUMIF(Monthly[Type],"Income",Monthly[Oct])-SUMIF(Monthly[Type],"&lt;&gt;Income",Monthly[Oct])</f>
        <v/>
      </c>
      <c r="N47" s="110">
        <f>SUMIF(Monthly[Type],"Income",Monthly[Nov])-SUMIF(Monthly[Type],"&lt;&gt;Income",Monthly[Nov])</f>
        <v/>
      </c>
      <c r="O47" s="110">
        <f>SUMIF(Monthly[Type],"Income",Monthly[Dec])-SUMIF(Monthly[Type],"&lt;&gt;Income",Monthly[Dec])</f>
        <v/>
      </c>
      <c r="P47" s="110">
        <f>SUMIF(Monthly[Type],"Income",Monthly[Total])-SUMIF(Monthly[Type],"&lt;&gt;Income",Monthly[Total])</f>
        <v/>
      </c>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f>AnnualCashFlowToDate</f>
        <v/>
      </c>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f>Income!C10</f>
        <v/>
      </c>
      <c r="F4" s="27" t="inlineStr">
        <is>
          <t>Total annual:</t>
        </is>
      </c>
      <c r="G4" s="115">
        <f>Expenses[[#Totals],[Annual]]</f>
        <v/>
      </c>
      <c r="J4" s="27" t="inlineStr">
        <is>
          <t>Total annual:</t>
        </is>
      </c>
      <c r="K4" s="115">
        <f>Discretionary[[#Totals],[Annual]]</f>
        <v/>
      </c>
      <c r="N4" s="27" t="inlineStr">
        <is>
          <t>Total annual:</t>
        </is>
      </c>
      <c r="O4" s="116">
        <f>Savings[[#Totals],[Annual]]</f>
        <v/>
      </c>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f>Income!D10</f>
        <v/>
      </c>
      <c r="D7" s="114" t="n"/>
      <c r="F7" s="29" t="inlineStr">
        <is>
          <t>Total Monthly:</t>
        </is>
      </c>
      <c r="G7" s="117">
        <f>Expenses[[#Totals],[Monthly]]</f>
        <v/>
      </c>
      <c r="H7" s="114" t="n"/>
      <c r="J7" s="29" t="inlineStr">
        <is>
          <t>Total Monthly:</t>
        </is>
      </c>
      <c r="K7" s="117">
        <f>Discretionary[[#Totals],[Monthly]]</f>
        <v/>
      </c>
      <c r="L7" s="114" t="n"/>
      <c r="N7" s="30" t="inlineStr">
        <is>
          <t>Total Monthly:</t>
        </is>
      </c>
      <c r="O7" s="118">
        <f>Savings!D9</f>
        <v/>
      </c>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f>AnnualCashFlowToDate</f>
        <v/>
      </c>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f>Income[[#This Row],[Annual]]/12</f>
        <v/>
      </c>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f>Income[[#This Row],[Annual]]/12</f>
        <v/>
      </c>
      <c r="E5" s="104" t="n"/>
      <c r="F5" s="101" t="n"/>
      <c r="J5" s="104" t="n"/>
      <c r="K5" s="104" t="n"/>
      <c r="L5" s="104" t="n"/>
      <c r="M5" s="104" t="n"/>
      <c r="N5" s="104" t="n"/>
      <c r="O5" s="104" t="n"/>
    </row>
    <row r="6" ht="40.15" customHeight="1" s="112">
      <c r="A6" s="104" t="n"/>
      <c r="B6" s="72" t="inlineStr">
        <is>
          <t>Other 1</t>
        </is>
      </c>
      <c r="C6" s="122" t="n">
        <v>30000</v>
      </c>
      <c r="D6" s="122">
        <f>Income[[#This Row],[Annual]]/12</f>
        <v/>
      </c>
      <c r="E6" s="104" t="n"/>
      <c r="F6" s="104" t="n"/>
      <c r="G6" s="104" t="n"/>
      <c r="H6" s="104" t="n"/>
      <c r="I6" s="104" t="n"/>
      <c r="J6" s="104" t="n"/>
      <c r="K6" s="104" t="n"/>
      <c r="L6" s="104" t="n"/>
      <c r="M6" s="104" t="n"/>
      <c r="N6" s="104" t="n"/>
      <c r="O6" s="104" t="n"/>
    </row>
    <row r="7" ht="40.15" customHeight="1" s="112">
      <c r="A7" s="104" t="n"/>
      <c r="B7" s="72" t="inlineStr">
        <is>
          <t>Other 2</t>
        </is>
      </c>
      <c r="C7" s="122" t="n">
        <v>0</v>
      </c>
      <c r="D7" s="122">
        <f>Income[[#This Row],[Annual]]/12</f>
        <v/>
      </c>
      <c r="E7" s="104" t="n"/>
      <c r="F7" s="104" t="n"/>
      <c r="G7" s="104" t="n"/>
      <c r="H7" s="104" t="n"/>
      <c r="I7" s="104" t="n"/>
      <c r="J7" s="104" t="n"/>
      <c r="K7" s="104" t="n"/>
      <c r="L7" s="104" t="n"/>
      <c r="M7" s="104" t="n"/>
      <c r="N7" s="104" t="n"/>
      <c r="O7" s="104" t="n"/>
    </row>
    <row r="8" ht="40.15" customHeight="1" s="112">
      <c r="A8" s="104" t="n"/>
      <c r="B8" s="72" t="inlineStr">
        <is>
          <t>Other 3</t>
        </is>
      </c>
      <c r="C8" s="122" t="n">
        <v>0</v>
      </c>
      <c r="D8" s="122">
        <f>Income[[#This Row],[Annual]]/12</f>
        <v/>
      </c>
      <c r="E8" s="104" t="n"/>
      <c r="F8" s="104" t="n"/>
      <c r="G8" s="104" t="n"/>
      <c r="H8" s="104" t="n"/>
      <c r="I8" s="104" t="n"/>
      <c r="J8" s="104" t="n"/>
      <c r="K8" s="104" t="n"/>
      <c r="L8" s="104" t="n"/>
      <c r="M8" s="104" t="n"/>
      <c r="N8" s="104" t="n"/>
      <c r="O8" s="104" t="n"/>
    </row>
    <row r="9" ht="40.15" customHeight="1" s="112">
      <c r="A9" s="104" t="n"/>
      <c r="B9" s="72" t="inlineStr">
        <is>
          <t>Other 4</t>
        </is>
      </c>
      <c r="C9" s="122" t="n">
        <v>0</v>
      </c>
      <c r="D9" s="122">
        <f>Income[[#This Row],[Annual]]/12</f>
        <v/>
      </c>
      <c r="E9" s="104" t="n"/>
      <c r="F9" s="104" t="n"/>
      <c r="G9" s="104" t="n"/>
      <c r="H9" s="104" t="n"/>
      <c r="I9" s="104" t="n"/>
      <c r="J9" s="104" t="n"/>
      <c r="K9" s="104" t="n"/>
      <c r="L9" s="104" t="n"/>
      <c r="M9" s="104" t="n"/>
      <c r="N9" s="104" t="n"/>
      <c r="O9" s="104" t="n"/>
    </row>
    <row r="10" ht="30" customHeight="1" s="112">
      <c r="A10" s="104" t="n"/>
      <c r="B10" s="67" t="inlineStr">
        <is>
          <t>Total</t>
        </is>
      </c>
      <c r="C10" s="122">
        <f>SUBTOTAL(109,Income[Annual])</f>
        <v/>
      </c>
      <c r="D10" s="122">
        <f>SUBTOTAL(109,Income[Monthly])</f>
        <v/>
      </c>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f>Expenses[[#This Row],[Annual]]/12</f>
        <v/>
      </c>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f>Expenses[[#This Row],[Annual]]/12</f>
        <v/>
      </c>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f>Expenses[[#This Row],[Annual]]/12</f>
        <v/>
      </c>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f>Expenses[[#This Row],[Annual]]/12</f>
        <v/>
      </c>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f>Expenses[[#This Row],[Annual]]/12</f>
        <v/>
      </c>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f>Expenses[[#This Row],[Annual]]/12</f>
        <v/>
      </c>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f>Expenses[[#This Row],[Annual]]/12</f>
        <v/>
      </c>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f>Expenses[[#This Row],[Annual]]/12</f>
        <v/>
      </c>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f>Expenses[[#This Row],[Annual]]/12</f>
        <v/>
      </c>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f>Expenses[[#This Row],[Annual]]/12</f>
        <v/>
      </c>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f>Expenses[[#This Row],[Annual]]/12</f>
        <v/>
      </c>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f>Expenses[[#This Row],[Annual]]/12</f>
        <v/>
      </c>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f>Expenses[[#This Row],[Annual]]/12</f>
        <v/>
      </c>
      <c r="E16" s="104" t="n"/>
      <c r="F16" s="104" t="n"/>
      <c r="G16" s="104" t="n"/>
      <c r="H16" s="104" t="n"/>
      <c r="I16" s="104" t="n"/>
      <c r="J16" s="104" t="n"/>
      <c r="K16" s="104" t="n"/>
      <c r="L16" s="104" t="n"/>
      <c r="M16" s="104" t="n"/>
      <c r="N16" s="104" t="n"/>
      <c r="O16" s="104" t="n"/>
    </row>
    <row r="17" ht="40.15" customHeight="1" s="112">
      <c r="B17" s="124" t="inlineStr">
        <is>
          <t>Food</t>
        </is>
      </c>
      <c r="C17" s="122" t="n">
        <v>5000</v>
      </c>
      <c r="D17" s="122">
        <f>Expenses[[#This Row],[Annual]]/12</f>
        <v/>
      </c>
    </row>
    <row r="18" ht="40.15" customHeight="1" s="112">
      <c r="B18" s="124" t="inlineStr">
        <is>
          <t>Clothing</t>
        </is>
      </c>
      <c r="C18" s="122" t="n">
        <v>1200</v>
      </c>
      <c r="D18" s="122">
        <f>Expenses[[#This Row],[Annual]]/12</f>
        <v/>
      </c>
    </row>
    <row r="19" ht="40.15" customHeight="1" s="112">
      <c r="B19" s="124" t="inlineStr">
        <is>
          <t>Medical/dental/Rx</t>
        </is>
      </c>
      <c r="C19" s="122" t="n">
        <v>600</v>
      </c>
      <c r="D19" s="122">
        <f>Expenses[[#This Row],[Annual]]/12</f>
        <v/>
      </c>
    </row>
    <row r="20" ht="40.15" customHeight="1" s="112">
      <c r="B20" s="124" t="inlineStr">
        <is>
          <t>Other 1</t>
        </is>
      </c>
      <c r="C20" s="122" t="n">
        <v>0</v>
      </c>
      <c r="D20" s="122">
        <f>Expenses[[#This Row],[Annual]]/12</f>
        <v/>
      </c>
    </row>
    <row r="21" ht="40.15" customHeight="1" s="112">
      <c r="B21" s="124" t="inlineStr">
        <is>
          <t>Other 2</t>
        </is>
      </c>
      <c r="C21" s="122" t="n">
        <v>0</v>
      </c>
      <c r="D21" s="122">
        <f>Expenses[[#This Row],[Annual]]/12</f>
        <v/>
      </c>
    </row>
    <row r="22" ht="40.15" customHeight="1" s="112">
      <c r="B22" s="67" t="inlineStr">
        <is>
          <t>Total</t>
        </is>
      </c>
      <c r="C22" s="122">
        <f>SUBTOTAL(109,Expenses[Annual])</f>
        <v/>
      </c>
      <c r="D22" s="122">
        <f>SUBTOTAL(109,Expenses[Monthly])</f>
        <v/>
      </c>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f>Discretionary[[#This Row],[Annual]]/12</f>
        <v/>
      </c>
      <c r="E4" s="104" t="n"/>
      <c r="F4" s="104" t="n"/>
      <c r="G4" s="104" t="n"/>
      <c r="H4" s="104" t="n"/>
      <c r="I4" s="104" t="n"/>
      <c r="J4" s="104" t="n"/>
      <c r="K4" s="104" t="n"/>
      <c r="L4" s="104" t="n"/>
      <c r="M4" s="104" t="n"/>
      <c r="N4" s="104" t="n"/>
      <c r="O4" s="104" t="n"/>
    </row>
    <row r="5" ht="40.15" customHeight="1" s="112">
      <c r="A5" s="104" t="n"/>
      <c r="B5" s="68" t="inlineStr">
        <is>
          <t>Gifts</t>
        </is>
      </c>
      <c r="C5" s="122" t="n">
        <v>600</v>
      </c>
      <c r="D5" s="122">
        <f>Discretionary[[#This Row],[Annual]]/12</f>
        <v/>
      </c>
      <c r="E5" s="104" t="n"/>
      <c r="F5" s="104" t="n"/>
      <c r="G5" s="104" t="n"/>
      <c r="H5" s="104" t="n"/>
      <c r="I5" s="104" t="n"/>
      <c r="J5" s="104" t="n"/>
      <c r="K5" s="104" t="n"/>
      <c r="L5" s="104" t="n"/>
      <c r="M5" s="104" t="n"/>
      <c r="N5" s="104" t="n"/>
      <c r="O5" s="104" t="n"/>
    </row>
    <row r="6" ht="40.15" customHeight="1" s="112">
      <c r="A6" s="104" t="n"/>
      <c r="B6" s="68" t="inlineStr">
        <is>
          <t>Travel</t>
        </is>
      </c>
      <c r="C6" s="122" t="n">
        <v>2250</v>
      </c>
      <c r="D6" s="122">
        <f>Discretionary[[#This Row],[Annual]]/12</f>
        <v/>
      </c>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f>Discretionary[[#This Row],[Annual]]/12</f>
        <v/>
      </c>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f>Discretionary[[#This Row],[Annual]]/12</f>
        <v/>
      </c>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f>Discretionary[[#This Row],[Annual]]/12</f>
        <v/>
      </c>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f>Discretionary[[#This Row],[Annual]]/12</f>
        <v/>
      </c>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f>Discretionary[[#This Row],[Annual]]/12</f>
        <v/>
      </c>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f>Discretionary[[#This Row],[Annual]]/12</f>
        <v/>
      </c>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f>Discretionary[[#This Row],[Annual]]/12</f>
        <v/>
      </c>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f>Discretionary[[#This Row],[Annual]]/12</f>
        <v/>
      </c>
      <c r="E14" s="104" t="n"/>
      <c r="F14" s="104" t="n"/>
      <c r="G14" s="104" t="n"/>
      <c r="H14" s="104" t="n"/>
      <c r="I14" s="104" t="n"/>
      <c r="J14" s="104" t="n"/>
      <c r="K14" s="104" t="n"/>
      <c r="L14" s="104" t="n"/>
      <c r="M14" s="104" t="n"/>
      <c r="N14" s="104" t="n"/>
      <c r="O14" s="104" t="n"/>
    </row>
    <row r="15" ht="40.15" customHeight="1" s="112">
      <c r="A15" s="104" t="n"/>
      <c r="B15" s="67" t="inlineStr">
        <is>
          <t>Total</t>
        </is>
      </c>
      <c r="C15" s="122">
        <f>SUBTOTAL(109,Discretionary[Annual])</f>
        <v/>
      </c>
      <c r="D15" s="122">
        <f>SUBTOTAL(109,Discretionary[Monthly])</f>
        <v/>
      </c>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f>Savings[[#This Row],[Annual]]/12</f>
        <v/>
      </c>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f>Savings[[#This Row],[Annual]]/12</f>
        <v/>
      </c>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f>Savings[[#This Row],[Annual]]/12</f>
        <v/>
      </c>
      <c r="E6" s="104" t="n"/>
      <c r="F6" s="104" t="n"/>
      <c r="G6" s="104" t="n"/>
      <c r="H6" s="104" t="n"/>
      <c r="I6" s="104" t="n"/>
      <c r="J6" s="104" t="n"/>
      <c r="K6" s="104" t="n"/>
      <c r="L6" s="104" t="n"/>
      <c r="M6" s="104" t="n"/>
      <c r="N6" s="104" t="n"/>
      <c r="O6" s="104" t="n"/>
    </row>
    <row r="7" ht="40.15" customHeight="1" s="112">
      <c r="A7" s="104" t="n"/>
      <c r="B7" s="68" t="inlineStr">
        <is>
          <t>Other 1</t>
        </is>
      </c>
      <c r="C7" s="122" t="n">
        <v>0</v>
      </c>
      <c r="D7" s="122">
        <f>Savings[[#This Row],[Annual]]/12</f>
        <v/>
      </c>
      <c r="E7" s="104" t="n"/>
      <c r="F7" s="104" t="n"/>
      <c r="G7" s="104" t="n"/>
      <c r="H7" s="104" t="n"/>
      <c r="I7" s="104" t="n"/>
      <c r="J7" s="104" t="n"/>
      <c r="K7" s="104" t="n"/>
      <c r="L7" s="104" t="n"/>
      <c r="M7" s="104" t="n"/>
      <c r="N7" s="104" t="n"/>
      <c r="O7" s="104" t="n"/>
    </row>
    <row r="8" ht="40.15" customHeight="1" s="112">
      <c r="A8" s="104" t="n"/>
      <c r="B8" s="68" t="inlineStr">
        <is>
          <t>Other 2</t>
        </is>
      </c>
      <c r="C8" s="122" t="n">
        <v>0</v>
      </c>
      <c r="D8" s="122">
        <f>Savings[[#This Row],[Annual]]/12</f>
        <v/>
      </c>
      <c r="E8" s="104" t="n"/>
      <c r="F8" s="104" t="n"/>
      <c r="G8" s="104" t="n"/>
      <c r="H8" s="104" t="n"/>
      <c r="I8" s="104" t="n"/>
      <c r="J8" s="104" t="n"/>
      <c r="K8" s="104" t="n"/>
      <c r="L8" s="104" t="n"/>
      <c r="M8" s="104" t="n"/>
      <c r="N8" s="104" t="n"/>
      <c r="O8" s="104" t="n"/>
    </row>
    <row r="9" ht="40.15" customHeight="1" s="112">
      <c r="A9" s="104" t="n"/>
      <c r="B9" s="67" t="inlineStr">
        <is>
          <t>Total</t>
        </is>
      </c>
      <c r="C9" s="122">
        <f>SUBTOTAL(109,Savings[Annual])</f>
        <v/>
      </c>
      <c r="D9" s="122">
        <f>SUBTOTAL(109,Savings[Monthly])</f>
        <v/>
      </c>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2026-03-05T04:05:25Z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