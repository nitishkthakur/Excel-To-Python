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720" tabRatio="600" firstSheet="0" activeTab="0" autoFilterDateGrouping="1"/>
  </bookViews>
  <sheets>
    <sheet name="Loan analysis" sheetId="1" state="visible" r:id="rId1"/>
  </sheets>
  <definedNames>
    <definedName name="InterestRate">'Loan analysis'!$D$3</definedName>
    <definedName name="LoanAmount">'Loan analysis'!$D$5</definedName>
    <definedName name="LoanYears">'Loan analysis'!$D$4</definedName>
    <definedName name="MonthlyPayments">'Loan analysis'!$I$3</definedName>
    <definedName name="PaymentsDue">'Loan analysis'!$D$6</definedName>
    <definedName name="RowTitleRegion1..D6">'Loan analysis'!$B$3:$C$3</definedName>
    <definedName name="RowTitleRegion2..I5">'Loan analysis'!$F$3:$H$3</definedName>
    <definedName name="Slicer_Rate">#N/A</definedName>
    <definedName name="Title1">Data[[#Headers],[RATE]]</definedName>
    <definedName name="TotalInterest">'Loan analysis'!$I$5</definedName>
    <definedName name="TotalPayments">'Loan analysis'!$I$4</definedName>
    <definedName name="_xlnm.Print_Titles" localSheetId="0">'Loan analysis'!$9:$9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&quot;$&quot;#,##0.00_);[Red]\(&quot;$&quot;#,##0.00\)"/>
    <numFmt numFmtId="165" formatCode=";;;"/>
  </numFmts>
  <fonts count="19">
    <font>
      <name val="Source Sans Pro"/>
      <family val="2"/>
      <color theme="1" tint="0.249946592608417"/>
      <sz val="11"/>
      <scheme val="minor"/>
    </font>
    <font>
      <name val="Source Sans Pro"/>
      <family val="2"/>
      <color theme="1"/>
      <sz val="11"/>
      <scheme val="minor"/>
    </font>
    <font>
      <name val="Source Sans Pro"/>
      <family val="2"/>
      <color theme="1"/>
      <sz val="11"/>
      <scheme val="minor"/>
    </font>
    <font>
      <name val="Courier New"/>
      <family val="2"/>
      <color theme="3"/>
      <sz val="22"/>
      <scheme val="major"/>
    </font>
    <font>
      <name val="Source Sans Pro"/>
      <family val="2"/>
      <color theme="1" tint="0.249946592608417"/>
      <sz val="11"/>
      <scheme val="minor"/>
    </font>
    <font>
      <name val="Courier New"/>
      <family val="1"/>
      <color theme="1" tint="0.1499374370555742"/>
      <sz val="11"/>
      <scheme val="major"/>
    </font>
    <font>
      <name val="Source Sans Pro"/>
      <family val="2"/>
      <b val="1"/>
      <color theme="1" tint="0.249946592608417"/>
      <sz val="11"/>
      <scheme val="minor"/>
    </font>
    <font>
      <name val="Courier New"/>
      <family val="2"/>
      <color theme="0"/>
      <sz val="11"/>
      <scheme val="major"/>
    </font>
    <font>
      <name val="Courier New"/>
      <family val="1"/>
      <color theme="1" tint="0.1499679555650502"/>
      <sz val="11"/>
      <scheme val="major"/>
    </font>
    <font>
      <name val="Source Sans Pro"/>
      <family val="2"/>
      <color theme="0"/>
      <sz val="11"/>
      <scheme val="minor"/>
    </font>
    <font>
      <name val="Courier New"/>
      <family val="1"/>
      <color theme="0"/>
      <sz val="11"/>
      <scheme val="major"/>
    </font>
    <font>
      <name val="Source Sans Pro"/>
      <family val="2"/>
      <color theme="6"/>
      <sz val="11"/>
      <scheme val="minor"/>
    </font>
    <font>
      <name val="Source Sans Pro"/>
      <family val="2"/>
      <color theme="6"/>
      <sz val="12"/>
      <scheme val="minor"/>
    </font>
    <font>
      <name val="Source Sans Pro"/>
      <family val="2"/>
      <color theme="1" tint="0.1499679555650502"/>
      <sz val="12"/>
      <scheme val="minor"/>
    </font>
    <font>
      <name val="Source Sans Pro"/>
      <family val="2"/>
      <color theme="1"/>
      <sz val="12"/>
      <scheme val="minor"/>
    </font>
    <font>
      <name val="Courier New"/>
      <family val="3"/>
      <b val="1"/>
      <color theme="6"/>
      <sz val="36"/>
      <scheme val="major"/>
    </font>
    <font>
      <name val="Courier New"/>
      <family val="3"/>
      <b val="1"/>
      <color theme="6"/>
      <sz val="18"/>
      <scheme val="major"/>
    </font>
    <font>
      <name val="Source Sans Pro"/>
      <family val="2"/>
      <b val="1"/>
      <color theme="6"/>
      <sz val="12"/>
      <scheme val="minor"/>
    </font>
    <font>
      <name val="Courier New"/>
      <family val="3"/>
      <b val="1"/>
      <color theme="6"/>
      <sz val="14"/>
      <scheme val="major"/>
    </font>
  </fonts>
  <fills count="7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46592608417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0.5999938962981048"/>
        <bgColor indexed="64"/>
      </patternFill>
    </fill>
  </fills>
  <borders count="6">
    <border>
      <left/>
      <right/>
      <top/>
      <bottom/>
      <diagonal/>
    </border>
    <border>
      <left/>
      <right/>
      <top style="thick">
        <color theme="0"/>
      </top>
      <bottom style="thick">
        <color theme="4" tint="0.3999450666829432"/>
      </bottom>
      <diagonal/>
    </border>
    <border>
      <left/>
      <right/>
      <top/>
      <bottom style="medium">
        <color theme="7"/>
      </bottom>
      <diagonal/>
    </border>
    <border>
      <left/>
      <right/>
      <top style="medium">
        <color theme="7"/>
      </top>
      <bottom style="thin">
        <color theme="7"/>
      </bottom>
      <diagonal/>
    </border>
    <border>
      <left/>
      <right/>
      <top/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</borders>
  <cellStyleXfs count="14">
    <xf numFmtId="0" fontId="4" fillId="0" borderId="0"/>
    <xf numFmtId="0" fontId="7" fillId="3" borderId="1"/>
    <xf numFmtId="0" fontId="8" fillId="0" borderId="0"/>
    <xf numFmtId="0" fontId="5" fillId="0" borderId="0" applyAlignment="1">
      <alignment horizontal="right"/>
    </xf>
    <xf numFmtId="8" fontId="2" fillId="0" borderId="0"/>
    <xf numFmtId="0" fontId="6" fillId="2" borderId="0" applyAlignment="1">
      <alignment horizontal="right"/>
    </xf>
    <xf numFmtId="1" fontId="4" fillId="0" borderId="0"/>
    <xf numFmtId="41" fontId="4" fillId="0" borderId="0"/>
    <xf numFmtId="42" fontId="4" fillId="0" borderId="0"/>
    <xf numFmtId="10" fontId="4" fillId="0" borderId="0"/>
    <xf numFmtId="0" fontId="3" fillId="0" borderId="0" applyAlignment="1">
      <alignment vertical="center"/>
    </xf>
    <xf numFmtId="0" fontId="9" fillId="0" borderId="0" applyAlignment="1">
      <alignment wrapText="1"/>
    </xf>
    <xf numFmtId="0" fontId="10" fillId="3" borderId="0" applyAlignment="1">
      <alignment horizontal="center"/>
    </xf>
    <xf numFmtId="0" fontId="9" fillId="4" borderId="0" applyAlignment="1">
      <alignment horizontal="center"/>
    </xf>
  </cellStyleXfs>
  <cellXfs count="53">
    <xf numFmtId="0" fontId="0" fillId="0" borderId="0" pivotButton="0" quotePrefix="0" xfId="0"/>
    <xf numFmtId="0" fontId="11" fillId="5" borderId="0" pivotButton="0" quotePrefix="0" xfId="0"/>
    <xf numFmtId="0" fontId="11" fillId="6" borderId="2" pivotButton="0" quotePrefix="0" xfId="0"/>
    <xf numFmtId="0" fontId="11" fillId="0" borderId="0" pivotButton="0" quotePrefix="0" xfId="0"/>
    <xf numFmtId="0" fontId="4" fillId="0" borderId="0" pivotButton="0" quotePrefix="0" xfId="0"/>
    <xf numFmtId="0" fontId="4" fillId="6" borderId="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5" borderId="0" pivotButton="0" quotePrefix="0" xfId="0"/>
    <xf numFmtId="0" fontId="12" fillId="5" borderId="0" applyAlignment="1" pivotButton="0" quotePrefix="0" xfId="2">
      <alignment horizontal="right"/>
    </xf>
    <xf numFmtId="10" fontId="12" fillId="5" borderId="3" applyAlignment="1" pivotButton="0" quotePrefix="0" xfId="9">
      <alignment horizontal="right"/>
    </xf>
    <xf numFmtId="10" fontId="12" fillId="5" borderId="0" applyAlignment="1" pivotButton="0" quotePrefix="0" xfId="9">
      <alignment horizontal="right"/>
    </xf>
    <xf numFmtId="0" fontId="12" fillId="5" borderId="0" pivotButton="0" quotePrefix="0" xfId="3"/>
    <xf numFmtId="164" fontId="11" fillId="5" borderId="3" pivotButton="0" quotePrefix="0" xfId="4"/>
    <xf numFmtId="164" fontId="11" fillId="5" borderId="0" pivotButton="0" quotePrefix="0" xfId="4"/>
    <xf numFmtId="41" fontId="12" fillId="5" borderId="5" applyAlignment="1" pivotButton="0" quotePrefix="0" xfId="7">
      <alignment horizontal="right"/>
    </xf>
    <xf numFmtId="41" fontId="12" fillId="5" borderId="0" applyAlignment="1" pivotButton="0" quotePrefix="0" xfId="7">
      <alignment horizontal="right"/>
    </xf>
    <xf numFmtId="164" fontId="11" fillId="5" borderId="4" pivotButton="0" quotePrefix="0" xfId="4"/>
    <xf numFmtId="164" fontId="11" fillId="5" borderId="0" pivotButton="0" quotePrefix="0" xfId="4"/>
    <xf numFmtId="164" fontId="12" fillId="5" borderId="5" applyAlignment="1" pivotButton="0" quotePrefix="0" xfId="4">
      <alignment horizontal="right"/>
    </xf>
    <xf numFmtId="164" fontId="12" fillId="5" borderId="0" applyAlignment="1" pivotButton="0" quotePrefix="0" xfId="4">
      <alignment horizontal="right"/>
    </xf>
    <xf numFmtId="0" fontId="12" fillId="5" borderId="4" applyAlignment="1" pivotButton="0" quotePrefix="0" xfId="5">
      <alignment horizontal="right"/>
    </xf>
    <xf numFmtId="0" fontId="12" fillId="5" borderId="0" applyAlignment="1" pivotButton="0" quotePrefix="0" xfId="5">
      <alignment horizontal="right"/>
    </xf>
    <xf numFmtId="0" fontId="13" fillId="5" borderId="0" applyAlignment="1" pivotButton="0" quotePrefix="0" xfId="2">
      <alignment vertical="center"/>
    </xf>
    <xf numFmtId="0" fontId="14" fillId="5" borderId="0" applyAlignment="1" pivotButton="0" quotePrefix="0" xfId="5">
      <alignment horizontal="right" vertical="center"/>
    </xf>
    <xf numFmtId="0" fontId="4" fillId="5" borderId="0" applyAlignment="1" pivotButton="0" quotePrefix="0" xfId="0">
      <alignment vertical="center"/>
    </xf>
    <xf numFmtId="0" fontId="1" fillId="5" borderId="0" pivotButton="0" quotePrefix="0" xfId="0"/>
    <xf numFmtId="0" fontId="4" fillId="6" borderId="0" pivotButton="0" quotePrefix="0" xfId="0"/>
    <xf numFmtId="0" fontId="1" fillId="0" borderId="0" pivotButton="0" quotePrefix="0" xfId="0"/>
    <xf numFmtId="0" fontId="17" fillId="5" borderId="3" applyAlignment="1" pivotButton="0" quotePrefix="0" xfId="2">
      <alignment horizontal="right"/>
    </xf>
    <xf numFmtId="0" fontId="17" fillId="5" borderId="5" applyAlignment="1" pivotButton="0" quotePrefix="0" xfId="2">
      <alignment horizontal="right"/>
    </xf>
    <xf numFmtId="0" fontId="17" fillId="5" borderId="4" applyAlignment="1" pivotButton="0" quotePrefix="0" xfId="2">
      <alignment horizontal="right"/>
    </xf>
    <xf numFmtId="0" fontId="17" fillId="5" borderId="3" applyAlignment="1" pivotButton="0" quotePrefix="0" xfId="3">
      <alignment horizontal="right"/>
    </xf>
    <xf numFmtId="0" fontId="17" fillId="5" borderId="5" applyAlignment="1" pivotButton="0" quotePrefix="0" xfId="3">
      <alignment horizontal="right"/>
    </xf>
    <xf numFmtId="0" fontId="18" fillId="0" borderId="0" applyAlignment="1" pivotButton="0" quotePrefix="0" xfId="13">
      <alignment horizontal="center" vertical="center"/>
    </xf>
    <xf numFmtId="0" fontId="4" fillId="0" borderId="0" pivotButton="0" quotePrefix="0" xfId="0"/>
    <xf numFmtId="10" fontId="4" fillId="0" borderId="0" applyAlignment="1" pivotButton="0" quotePrefix="0" xfId="9">
      <alignment horizontal="center" vertical="center"/>
    </xf>
    <xf numFmtId="164" fontId="4" fillId="0" borderId="0" applyAlignment="1" pivotButton="0" quotePrefix="0" xfId="4">
      <alignment horizontal="center" vertical="center"/>
    </xf>
    <xf numFmtId="0" fontId="4" fillId="0" borderId="0" pivotButton="0" quotePrefix="0" xfId="0"/>
    <xf numFmtId="10" fontId="4" fillId="0" borderId="0" applyAlignment="1" pivotButton="0" quotePrefix="0" xfId="9">
      <alignment horizontal="center" vertical="center"/>
    </xf>
    <xf numFmtId="164" fontId="4" fillId="0" borderId="0" applyAlignment="1" pivotButton="0" quotePrefix="0" xfId="4">
      <alignment horizontal="center" vertical="center"/>
    </xf>
    <xf numFmtId="0" fontId="4" fillId="5" borderId="0" pivotButton="0" quotePrefix="0" xfId="0"/>
    <xf numFmtId="0" fontId="16" fillId="6" borderId="2" applyAlignment="1" pivotButton="0" quotePrefix="0" xfId="12">
      <alignment horizontal="center" vertical="center"/>
    </xf>
    <xf numFmtId="0" fontId="16" fillId="6" borderId="2" applyAlignment="1" pivotButton="0" quotePrefix="0" xfId="1">
      <alignment horizontal="center" vertical="center"/>
    </xf>
    <xf numFmtId="0" fontId="15" fillId="6" borderId="0" applyAlignment="1" pivotButton="0" quotePrefix="0" xfId="10">
      <alignment horizontal="center"/>
    </xf>
    <xf numFmtId="165" fontId="1" fillId="0" borderId="0" applyAlignment="1" pivotButton="0" quotePrefix="0" xfId="11">
      <alignment wrapText="1"/>
    </xf>
    <xf numFmtId="0" fontId="0" fillId="0" borderId="2" pivotButton="0" quotePrefix="0" xfId="0"/>
    <xf numFmtId="165" fontId="1" fillId="0" borderId="0" applyAlignment="1" pivotButton="0" quotePrefix="0" xfId="11">
      <alignment wrapText="1"/>
    </xf>
    <xf numFmtId="164" fontId="11" fillId="5" borderId="3" pivotButton="0" quotePrefix="0" xfId="4"/>
    <xf numFmtId="164" fontId="11" fillId="5" borderId="0" pivotButton="0" quotePrefix="0" xfId="4"/>
    <xf numFmtId="164" fontId="11" fillId="5" borderId="4" pivotButton="0" quotePrefix="0" xfId="4"/>
    <xf numFmtId="164" fontId="12" fillId="5" borderId="5" applyAlignment="1" pivotButton="0" quotePrefix="0" xfId="4">
      <alignment horizontal="right"/>
    </xf>
    <xf numFmtId="164" fontId="12" fillId="5" borderId="0" applyAlignment="1" pivotButton="0" quotePrefix="0" xfId="4">
      <alignment horizontal="right"/>
    </xf>
    <xf numFmtId="164" fontId="4" fillId="0" borderId="0" applyAlignment="1" pivotButton="0" quotePrefix="0" xfId="4">
      <alignment horizontal="center" vertical="center"/>
    </xf>
  </cellXfs>
  <cellStyles count="14">
    <cellStyle name="Normal" xfId="0" builtinId="0"/>
    <cellStyle name="Heading 1" xfId="1" builtinId="16"/>
    <cellStyle name="Heading 2" xfId="2" builtinId="17"/>
    <cellStyle name="Heading 3" xfId="3" builtinId="18"/>
    <cellStyle name="Currency" xfId="4" builtinId="4"/>
    <cellStyle name="Heading 4" xfId="5" builtinId="19"/>
    <cellStyle name="Comma" xfId="6" builtinId="3"/>
    <cellStyle name="Comma [0]" xfId="7" builtinId="6"/>
    <cellStyle name="Currency [0]" xfId="8" builtinId="7"/>
    <cellStyle name="Percent" xfId="9" builtinId="5"/>
    <cellStyle name="Title" xfId="10" builtinId="15"/>
    <cellStyle name="Note" xfId="11" builtinId="10"/>
    <cellStyle name="Accent1" xfId="12" builtinId="29"/>
    <cellStyle name="60% - Accent1" xfId="13" builtinId="32"/>
  </cellStyles>
  <dxfs count="17">
    <dxf>
      <font>
        <name val="Source Sans Pro"/>
        <family val="2"/>
        <strike val="0"/>
        <outline val="0"/>
        <shadow val="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ont>
        <name val="Source Sans Pro"/>
        <family val="2"/>
        <strike val="0"/>
        <outline val="0"/>
        <shadow val="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ont>
        <name val="Source Sans Pro"/>
        <family val="2"/>
        <strike val="0"/>
        <outline val="0"/>
        <shadow val="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ont>
        <name val="Source Sans Pro"/>
        <family val="2"/>
        <strike val="0"/>
        <outline val="0"/>
        <shadow val="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ont>
        <name val="Source Sans Pro"/>
        <family val="2"/>
        <strike val="0"/>
        <outline val="0"/>
        <shadow val="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ont>
        <name val="Source Sans Pro"/>
        <family val="2"/>
        <strike val="0"/>
        <outline val="0"/>
        <shadow val="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ont>
        <name val="Source Sans Pro"/>
        <family val="2"/>
        <strike val="0"/>
        <outline val="0"/>
        <shadow val="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ont>
        <name val="Source Sans Pro"/>
        <family val="2"/>
        <strike val="0"/>
        <outline val="0"/>
        <shadow val="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ont>
        <name val="Source Sans Pro"/>
        <family val="2"/>
        <strike val="0"/>
        <outline val="0"/>
        <shadow val="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ont>
        <name val="Source Sans Pro"/>
        <family val="2"/>
        <strike val="0"/>
        <outline val="0"/>
        <shadow val="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ont>
        <name val="Courier New"/>
        <family val="3"/>
        <b val="1"/>
        <strike val="0"/>
        <outline val="0"/>
        <shadow val="0"/>
        <color theme="6"/>
        <sz val="14"/>
        <vertAlign val="baseline"/>
        <scheme val="major"/>
      </font>
      <fill>
        <patternFill>
          <fgColor indexed="64"/>
          <bgColor auto="1"/>
        </patternFill>
      </fill>
      <alignment horizontal="center" vertical="center"/>
    </dxf>
    <dxf>
      <fill>
        <patternFill>
          <bgColor theme="9" tint="0.5999633777886288"/>
        </patternFill>
      </fill>
    </dxf>
    <dxf>
      <font>
        <b val="1"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color theme="1"/>
      </font>
      <border>
        <top style="double">
          <color theme="4"/>
        </top>
      </border>
    </dxf>
    <dxf>
      <fill>
        <patternFill>
          <bgColor theme="8" tint="0.5999633777886288"/>
        </patternFill>
      </fill>
      <border>
        <left/>
        <right/>
        <bottom/>
        <vertical/>
      </border>
    </dxf>
    <dxf>
      <fill>
        <patternFill>
          <bgColor theme="8" tint="0.7999816888943144"/>
        </patternFill>
      </fill>
      <border>
        <vertical style="thin">
          <color theme="8" tint="0.3999450666829432"/>
        </vertical>
        <horizontal style="thin">
          <color theme="8" tint="0.3999450666829432"/>
        </horizontal>
      </border>
    </dxf>
  </dxfs>
  <tableStyles count="2" defaultTableStyle="Loan analysis worksheet" defaultPivotStyle="PivotStyleLight16">
    <tableStyle name="Loan analysis worksheet" pivot="0" count="3">
      <tableStyleElement type="wholeTable" dxfId="16"/>
      <tableStyleElement type="headerRow" dxfId="15"/>
      <tableStyleElement type="totalRow" dxfId="14"/>
    </tableStyle>
    <tableStyle name="Loan analysis worksheet slicer" pivot="0" table="0" count="10">
      <tableStyleElement type="wholeTable" dxfId="13"/>
      <tableStyleElement type="headerRow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a" displayName="Data" ref="B9:J66" headerRowCount="1" totalsRowShown="0" headerRowDxfId="10" dataDxfId="9" dataCellStyle="Normal">
  <autoFilter ref="B9:J66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</autoFilter>
  <tableColumns count="9">
    <tableColumn id="1" name="RATE" dataDxfId="8" dataCellStyle="Percent">
      <calculatedColumnFormula>IFERROR(MAX((ROW()-ROW(Data[[#Headers],[RATE]]))*0.0025+0.0175,0.0025), "")</calculatedColumnFormula>
    </tableColumn>
    <tableColumn id="2" name="3" dataDxfId="7" dataCellStyle="Currency">
      <calculatedColumnFormula>IFERROR(PMT(INDEX(Data[],ROW()-ROW(Data[[#Headers],[3]]),1)/12,Data[[#Headers],[3]]*12,-LoanAmount,0,IF(PaymentsDue="End of Period",0,1)), "")</calculatedColumnFormula>
    </tableColumn>
    <tableColumn id="3" name="5" dataDxfId="6" dataCellStyle="Currency">
      <calculatedColumnFormula>IFERROR(PMT(INDEX(Data[],ROW()-ROW(Data[[#Headers],[5]]),1)/12,Data[[#Headers],[5]]*12,-LoanAmount,0,IF(PaymentsDue="End of Period",0,1)), "")</calculatedColumnFormula>
    </tableColumn>
    <tableColumn id="4" name="10" dataDxfId="5" dataCellStyle="Currency">
      <calculatedColumnFormula>IFERROR(PMT(INDEX(Data[],ROW()-ROW(Data[[#Headers],[10]]),1)/12,Data[[#Headers],[10]]*12,-LoanAmount,0,IF(PaymentsDue="End of Period",0,1)), "")</calculatedColumnFormula>
    </tableColumn>
    <tableColumn id="5" name="12" dataDxfId="4" dataCellStyle="Currency">
      <calculatedColumnFormula>IFERROR(PMT(INDEX(Data[],ROW()-ROW(Data[[#Headers],[12]]),1)/12,Data[[#Headers],[12]]*12,-LoanAmount,0,IF(PaymentsDue="End of Period",0,1)), "")</calculatedColumnFormula>
    </tableColumn>
    <tableColumn id="6" name="15" dataDxfId="3" dataCellStyle="Currency">
      <calculatedColumnFormula>IFERROR(PMT(INDEX(Data[],ROW()-ROW(Data[[#Headers],[15]]),1)/12,Data[[#Headers],[15]]*12,-LoanAmount,0,IF(PaymentsDue="End of Period",0,1)), "")</calculatedColumnFormula>
    </tableColumn>
    <tableColumn id="7" name="20" dataDxfId="2" dataCellStyle="Currency">
      <calculatedColumnFormula>IFERROR(PMT(INDEX(Data[],ROW()-ROW(Data[[#Headers],[20]]),1)/12,Data[[#Headers],[20]]*12,-LoanAmount,0,IF(PaymentsDue="End of Period",0,1)), "")</calculatedColumnFormula>
    </tableColumn>
    <tableColumn id="8" name="25" dataDxfId="1" dataCellStyle="Currency">
      <calculatedColumnFormula>IFERROR(PMT(INDEX(Data[],ROW()-ROW(Data[[#Headers],[25]]),1)/12,Data[[#Headers],[25]]*12,-LoanAmount,0,IF(PaymentsDue="End of Period",0,1)), "")</calculatedColumnFormula>
    </tableColumn>
    <tableColumn id="9" name="30" dataDxfId="0" dataCellStyle="Currency">
      <calculatedColumnFormula>IFERROR(PMT(INDEX(Data[],ROW()-ROW(Data[[#Headers],[30]]),1)/12,Data[[#Headers],[30]]*12,-LoanAmount,0,IF(PaymentsDue="End of Period",0,1)), "")</calculatedColumnFormula>
    </tableColumn>
  </tableColumns>
  <tableStyleInfo name="Loan analysis worksheet" showFirstColumn="0" showLastColumn="0" showRowStripes="1" showColumnStripes="0"/>
</table>
</file>

<file path=xl/theme/theme1.xml><?xml version="1.0" encoding="utf-8"?>
<a:theme xmlns:a="http://schemas.openxmlformats.org/drawingml/2006/main" name="StartupExpenses">
  <a:themeElements>
    <a:clrScheme name="Whitepaper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D73A2C"/>
      </a:accent1>
      <a:accent2>
        <a:srgbClr val="FFF9F2"/>
      </a:accent2>
      <a:accent3>
        <a:srgbClr val="234756"/>
      </a:accent3>
      <a:accent4>
        <a:srgbClr val="DD933B"/>
      </a:accent4>
      <a:accent5>
        <a:srgbClr val="E3B568"/>
      </a:accent5>
      <a:accent6>
        <a:srgbClr val="96A8B4"/>
      </a:accent6>
      <a:hlink>
        <a:srgbClr val="0563C1"/>
      </a:hlink>
      <a:folHlink>
        <a:srgbClr val="954F72"/>
      </a:folHlink>
    </a:clrScheme>
    <a:fontScheme name="Custom 23">
      <a:majorFont>
        <a:latin typeface="Courier New"/>
        <a:ea typeface=""/>
        <a:cs typeface=""/>
      </a:majorFont>
      <a:minorFont>
        <a:latin typeface="Source Sans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fitToPage="1"/>
  </sheetPr>
  <dimension ref="A1:L67"/>
  <sheetViews>
    <sheetView showGridLines="0" tabSelected="1" zoomScaleNormal="100" workbookViewId="0">
      <selection activeCell="A1" sqref="A1:K1"/>
    </sheetView>
  </sheetViews>
  <sheetFormatPr baseColWidth="8" defaultColWidth="9.140625" defaultRowHeight="15" customHeight="1"/>
  <cols>
    <col width="2.5703125" customWidth="1" style="37" min="1" max="1"/>
    <col width="16.85546875" customWidth="1" style="27" min="2" max="10"/>
    <col width="2.5703125" customWidth="1" style="37" min="11" max="11"/>
    <col width="100.85546875" customWidth="1" style="37" min="12" max="12"/>
    <col width="2.5703125" customWidth="1" style="37" min="13" max="13"/>
    <col width="9.140625" customWidth="1" style="37" min="14" max="16384"/>
  </cols>
  <sheetData>
    <row r="1" ht="79.90000000000001" customHeight="1">
      <c r="A1" s="43" t="inlineStr">
        <is>
          <t>LOAN ANALYSIS WORKSHEET</t>
        </is>
      </c>
    </row>
    <row r="2" ht="45" customFormat="1" customHeight="1" s="6" thickBot="1">
      <c r="A2" s="5" t="n"/>
      <c r="B2" s="42" t="inlineStr">
        <is>
          <t>LOAN ANALYSIS</t>
        </is>
      </c>
      <c r="C2" s="45" t="n"/>
      <c r="D2" s="45" t="n"/>
      <c r="E2" s="45" t="n"/>
      <c r="F2" s="45" t="n"/>
      <c r="G2" s="45" t="n"/>
      <c r="H2" s="45" t="n"/>
      <c r="I2" s="45" t="n"/>
      <c r="J2" s="45" t="n"/>
      <c r="K2" s="5" t="n"/>
      <c r="L2" s="46" t="inlineStr">
        <is>
          <t>Rate slicer to filter table data based on Rates is in this cell.</t>
        </is>
      </c>
    </row>
    <row r="3" ht="43.15" customHeight="1">
      <c r="A3" s="40" t="n"/>
      <c r="B3" s="8" t="n"/>
      <c r="C3" s="28" t="inlineStr">
        <is>
          <t>INTEREST RATE</t>
        </is>
      </c>
      <c r="D3" s="9" t="n">
        <v>0.05</v>
      </c>
      <c r="E3" s="10" t="n"/>
      <c r="F3" s="11" t="n"/>
      <c r="G3" s="11" t="n"/>
      <c r="H3" s="31" t="inlineStr">
        <is>
          <t>MONTHLY PAYMENT</t>
        </is>
      </c>
      <c r="I3" s="47">
        <f>IFERROR(PMT(InterestRate/12,LoanYears*12,-LoanAmount,0,IF(PaymentsDue="End of Period",0,1)), "")</f>
        <v/>
      </c>
      <c r="J3" s="48" t="n"/>
      <c r="K3" s="40" t="n"/>
    </row>
    <row r="4" ht="30" customHeight="1">
      <c r="A4" s="40" t="n"/>
      <c r="B4" s="8" t="n"/>
      <c r="C4" s="29" t="inlineStr">
        <is>
          <t>YEARS OF LOAN</t>
        </is>
      </c>
      <c r="D4" s="14" t="n">
        <v>10</v>
      </c>
      <c r="E4" s="15" t="n"/>
      <c r="F4" s="11" t="n"/>
      <c r="G4" s="11" t="n"/>
      <c r="H4" s="32" t="inlineStr">
        <is>
          <t>TOTAL PAYMENT</t>
        </is>
      </c>
      <c r="I4" s="49">
        <f>IFERROR(MonthlyPayments*LoanYears*12, "")</f>
        <v/>
      </c>
      <c r="J4" s="48" t="n"/>
      <c r="K4" s="40" t="n"/>
    </row>
    <row r="5" ht="30" customHeight="1">
      <c r="A5" s="40" t="n"/>
      <c r="B5" s="8" t="n"/>
      <c r="C5" s="29" t="inlineStr">
        <is>
          <t>LOAN AMOUNT</t>
        </is>
      </c>
      <c r="D5" s="50" t="n">
        <v>10000</v>
      </c>
      <c r="E5" s="51" t="n"/>
      <c r="F5" s="11" t="n"/>
      <c r="G5" s="11" t="n"/>
      <c r="H5" s="32" t="inlineStr">
        <is>
          <t>TOTAL INTEREST</t>
        </is>
      </c>
      <c r="I5" s="49">
        <f>IFERROR(TotalPayments-LoanAmount, "")</f>
        <v/>
      </c>
      <c r="J5" s="48" t="n"/>
      <c r="K5" s="40" t="n"/>
    </row>
    <row r="6" ht="30" customHeight="1">
      <c r="A6" s="40" t="n"/>
      <c r="B6" s="8" t="n"/>
      <c r="C6" s="30" t="inlineStr">
        <is>
          <t>PAYMENTS DUE</t>
        </is>
      </c>
      <c r="D6" s="20" t="inlineStr">
        <is>
          <t>Start of period</t>
        </is>
      </c>
      <c r="E6" s="21" t="n"/>
      <c r="F6" s="1" t="n"/>
      <c r="G6" s="1" t="n"/>
      <c r="H6" s="1" t="n"/>
      <c r="I6" s="1" t="n"/>
      <c r="J6" s="1" t="n"/>
      <c r="K6" s="40" t="n"/>
    </row>
    <row r="7" ht="30" customHeight="1">
      <c r="A7" s="40" t="n"/>
      <c r="B7" s="22" t="n"/>
      <c r="C7" s="22" t="n"/>
      <c r="D7" s="23" t="n"/>
      <c r="E7" s="23" t="n"/>
      <c r="F7" s="24" t="n"/>
      <c r="G7" s="24" t="n"/>
      <c r="H7" s="24" t="n"/>
      <c r="I7" s="25" t="n"/>
      <c r="J7" s="25" t="n"/>
      <c r="K7" s="40" t="n"/>
    </row>
    <row r="8" ht="45" customFormat="1" customHeight="1" s="3" thickBot="1">
      <c r="A8" s="2" t="n"/>
      <c r="B8" s="41" t="inlineStr">
        <is>
          <t>YEARS</t>
        </is>
      </c>
      <c r="C8" s="45" t="n"/>
      <c r="D8" s="45" t="n"/>
      <c r="E8" s="45" t="n"/>
      <c r="F8" s="45" t="n"/>
      <c r="G8" s="45" t="n"/>
      <c r="H8" s="45" t="n"/>
      <c r="I8" s="45" t="n"/>
      <c r="J8" s="45" t="n"/>
      <c r="K8" s="2" t="n"/>
    </row>
    <row r="9" ht="30" customHeight="1">
      <c r="A9" s="26" t="n"/>
      <c r="B9" s="33" t="inlineStr">
        <is>
          <t>RATE</t>
        </is>
      </c>
      <c r="C9" s="33" t="inlineStr">
        <is>
          <t>3</t>
        </is>
      </c>
      <c r="D9" s="33" t="inlineStr">
        <is>
          <t>5</t>
        </is>
      </c>
      <c r="E9" s="33" t="inlineStr">
        <is>
          <t>10</t>
        </is>
      </c>
      <c r="F9" s="33" t="inlineStr">
        <is>
          <t>12</t>
        </is>
      </c>
      <c r="G9" s="33" t="inlineStr">
        <is>
          <t>15</t>
        </is>
      </c>
      <c r="H9" s="33" t="inlineStr">
        <is>
          <t>20</t>
        </is>
      </c>
      <c r="I9" s="33" t="inlineStr">
        <is>
          <t>25</t>
        </is>
      </c>
      <c r="J9" s="33" t="inlineStr">
        <is>
          <t>30</t>
        </is>
      </c>
      <c r="K9" s="26" t="n"/>
    </row>
    <row r="10" ht="19.9" customHeight="1">
      <c r="A10" s="40" t="n"/>
      <c r="B10" s="38">
        <f>IFERROR(MAX((ROW()-ROW(Data[[#Headers],[RATE]]))*0.0025+0.0175,0.0025), "")</f>
        <v/>
      </c>
      <c r="C10" s="52">
        <f>IFERROR(PMT(INDEX(Data[],ROW()-ROW(Data[[#Headers],[3]]),1)/12,Data[[#Headers],[3]]*12,-LoanAmount,0,IF(PaymentsDue="End of Period",0,1)), "")</f>
        <v/>
      </c>
      <c r="D10" s="52">
        <f>IFERROR(PMT(INDEX(Data[],ROW()-ROW(Data[[#Headers],[5]]),1)/12,Data[[#Headers],[5]]*12,-LoanAmount,0,IF(PaymentsDue="End of Period",0,1)), "")</f>
        <v/>
      </c>
      <c r="E10" s="52">
        <f>IFERROR(PMT(INDEX(Data[],ROW()-ROW(Data[[#Headers],[10]]),1)/12,Data[[#Headers],[10]]*12,-LoanAmount,0,IF(PaymentsDue="End of Period",0,1)), "")</f>
        <v/>
      </c>
      <c r="F10" s="52">
        <f>IFERROR(PMT(INDEX(Data[],ROW()-ROW(Data[[#Headers],[12]]),1)/12,Data[[#Headers],[12]]*12,-LoanAmount,0,IF(PaymentsDue="End of Period",0,1)), "")</f>
        <v/>
      </c>
      <c r="G10" s="52">
        <f>IFERROR(PMT(INDEX(Data[],ROW()-ROW(Data[[#Headers],[15]]),1)/12,Data[[#Headers],[15]]*12,-LoanAmount,0,IF(PaymentsDue="End of Period",0,1)), "")</f>
        <v/>
      </c>
      <c r="H10" s="52">
        <f>IFERROR(PMT(INDEX(Data[],ROW()-ROW(Data[[#Headers],[20]]),1)/12,Data[[#Headers],[20]]*12,-LoanAmount,0,IF(PaymentsDue="End of Period",0,1)), "")</f>
        <v/>
      </c>
      <c r="I10" s="52">
        <f>IFERROR(PMT(INDEX(Data[],ROW()-ROW(Data[[#Headers],[25]]),1)/12,Data[[#Headers],[25]]*12,-LoanAmount,0,IF(PaymentsDue="End of Period",0,1)), "")</f>
        <v/>
      </c>
      <c r="J10" s="52">
        <f>IFERROR(PMT(INDEX(Data[],ROW()-ROW(Data[[#Headers],[30]]),1)/12,Data[[#Headers],[30]]*12,-LoanAmount,0,IF(PaymentsDue="End of Period",0,1)), "")</f>
        <v/>
      </c>
      <c r="K10" s="40" t="n"/>
    </row>
    <row r="11" ht="19.9" customHeight="1">
      <c r="A11" s="40" t="n"/>
      <c r="B11" s="38">
        <f>IFERROR(MAX((ROW()-ROW(Data[[#Headers],[RATE]]))*0.0025+0.0175,0.0025), "")</f>
        <v/>
      </c>
      <c r="C11" s="52">
        <f>IFERROR(PMT(INDEX(Data[],ROW()-ROW(Data[[#Headers],[3]]),1)/12,Data[[#Headers],[3]]*12,-LoanAmount,0,IF(PaymentsDue="End of Period",0,1)), "")</f>
        <v/>
      </c>
      <c r="D11" s="52">
        <f>IFERROR(PMT(INDEX(Data[],ROW()-ROW(Data[[#Headers],[5]]),1)/12,Data[[#Headers],[5]]*12,-LoanAmount,0,IF(PaymentsDue="End of Period",0,1)), "")</f>
        <v/>
      </c>
      <c r="E11" s="52">
        <f>IFERROR(PMT(INDEX(Data[],ROW()-ROW(Data[[#Headers],[10]]),1)/12,Data[[#Headers],[10]]*12,-LoanAmount,0,IF(PaymentsDue="End of Period",0,1)), "")</f>
        <v/>
      </c>
      <c r="F11" s="52">
        <f>IFERROR(PMT(INDEX(Data[],ROW()-ROW(Data[[#Headers],[12]]),1)/12,Data[[#Headers],[12]]*12,-LoanAmount,0,IF(PaymentsDue="End of Period",0,1)), "")</f>
        <v/>
      </c>
      <c r="G11" s="52">
        <f>IFERROR(PMT(INDEX(Data[],ROW()-ROW(Data[[#Headers],[15]]),1)/12,Data[[#Headers],[15]]*12,-LoanAmount,0,IF(PaymentsDue="End of Period",0,1)), "")</f>
        <v/>
      </c>
      <c r="H11" s="52">
        <f>IFERROR(PMT(INDEX(Data[],ROW()-ROW(Data[[#Headers],[20]]),1)/12,Data[[#Headers],[20]]*12,-LoanAmount,0,IF(PaymentsDue="End of Period",0,1)), "")</f>
        <v/>
      </c>
      <c r="I11" s="52">
        <f>IFERROR(PMT(INDEX(Data[],ROW()-ROW(Data[[#Headers],[25]]),1)/12,Data[[#Headers],[25]]*12,-LoanAmount,0,IF(PaymentsDue="End of Period",0,1)), "")</f>
        <v/>
      </c>
      <c r="J11" s="52">
        <f>IFERROR(PMT(INDEX(Data[],ROW()-ROW(Data[[#Headers],[30]]),1)/12,Data[[#Headers],[30]]*12,-LoanAmount,0,IF(PaymentsDue="End of Period",0,1)), "")</f>
        <v/>
      </c>
      <c r="K11" s="40" t="n"/>
    </row>
    <row r="12" ht="19.9" customHeight="1">
      <c r="A12" s="40" t="n"/>
      <c r="B12" s="38">
        <f>IFERROR(MAX((ROW()-ROW(Data[[#Headers],[RATE]]))*0.0025+0.0175,0.0025), "")</f>
        <v/>
      </c>
      <c r="C12" s="52">
        <f>IFERROR(PMT(INDEX(Data[],ROW()-ROW(Data[[#Headers],[3]]),1)/12,Data[[#Headers],[3]]*12,-LoanAmount,0,IF(PaymentsDue="End of Period",0,1)), "")</f>
        <v/>
      </c>
      <c r="D12" s="52">
        <f>IFERROR(PMT(INDEX(Data[],ROW()-ROW(Data[[#Headers],[5]]),1)/12,Data[[#Headers],[5]]*12,-LoanAmount,0,IF(PaymentsDue="End of Period",0,1)), "")</f>
        <v/>
      </c>
      <c r="E12" s="52">
        <f>IFERROR(PMT(INDEX(Data[],ROW()-ROW(Data[[#Headers],[10]]),1)/12,Data[[#Headers],[10]]*12,-LoanAmount,0,IF(PaymentsDue="End of Period",0,1)), "")</f>
        <v/>
      </c>
      <c r="F12" s="52">
        <f>IFERROR(PMT(INDEX(Data[],ROW()-ROW(Data[[#Headers],[12]]),1)/12,Data[[#Headers],[12]]*12,-LoanAmount,0,IF(PaymentsDue="End of Period",0,1)), "")</f>
        <v/>
      </c>
      <c r="G12" s="52">
        <f>IFERROR(PMT(INDEX(Data[],ROW()-ROW(Data[[#Headers],[15]]),1)/12,Data[[#Headers],[15]]*12,-LoanAmount,0,IF(PaymentsDue="End of Period",0,1)), "")</f>
        <v/>
      </c>
      <c r="H12" s="52">
        <f>IFERROR(PMT(INDEX(Data[],ROW()-ROW(Data[[#Headers],[20]]),1)/12,Data[[#Headers],[20]]*12,-LoanAmount,0,IF(PaymentsDue="End of Period",0,1)), "")</f>
        <v/>
      </c>
      <c r="I12" s="52">
        <f>IFERROR(PMT(INDEX(Data[],ROW()-ROW(Data[[#Headers],[25]]),1)/12,Data[[#Headers],[25]]*12,-LoanAmount,0,IF(PaymentsDue="End of Period",0,1)), "")</f>
        <v/>
      </c>
      <c r="J12" s="52">
        <f>IFERROR(PMT(INDEX(Data[],ROW()-ROW(Data[[#Headers],[30]]),1)/12,Data[[#Headers],[30]]*12,-LoanAmount,0,IF(PaymentsDue="End of Period",0,1)), "")</f>
        <v/>
      </c>
      <c r="K12" s="40" t="n"/>
    </row>
    <row r="13" ht="19.9" customHeight="1">
      <c r="A13" s="40" t="n"/>
      <c r="B13" s="38">
        <f>IFERROR(MAX((ROW()-ROW(Data[[#Headers],[RATE]]))*0.0025+0.0175,0.0025), "")</f>
        <v/>
      </c>
      <c r="C13" s="52">
        <f>IFERROR(PMT(INDEX(Data[],ROW()-ROW(Data[[#Headers],[3]]),1)/12,Data[[#Headers],[3]]*12,-LoanAmount,0,IF(PaymentsDue="End of Period",0,1)), "")</f>
        <v/>
      </c>
      <c r="D13" s="52">
        <f>IFERROR(PMT(INDEX(Data[],ROW()-ROW(Data[[#Headers],[5]]),1)/12,Data[[#Headers],[5]]*12,-LoanAmount,0,IF(PaymentsDue="End of Period",0,1)), "")</f>
        <v/>
      </c>
      <c r="E13" s="52">
        <f>IFERROR(PMT(INDEX(Data[],ROW()-ROW(Data[[#Headers],[10]]),1)/12,Data[[#Headers],[10]]*12,-LoanAmount,0,IF(PaymentsDue="End of Period",0,1)), "")</f>
        <v/>
      </c>
      <c r="F13" s="52">
        <f>IFERROR(PMT(INDEX(Data[],ROW()-ROW(Data[[#Headers],[12]]),1)/12,Data[[#Headers],[12]]*12,-LoanAmount,0,IF(PaymentsDue="End of Period",0,1)), "")</f>
        <v/>
      </c>
      <c r="G13" s="52">
        <f>IFERROR(PMT(INDEX(Data[],ROW()-ROW(Data[[#Headers],[15]]),1)/12,Data[[#Headers],[15]]*12,-LoanAmount,0,IF(PaymentsDue="End of Period",0,1)), "")</f>
        <v/>
      </c>
      <c r="H13" s="52">
        <f>IFERROR(PMT(INDEX(Data[],ROW()-ROW(Data[[#Headers],[20]]),1)/12,Data[[#Headers],[20]]*12,-LoanAmount,0,IF(PaymentsDue="End of Period",0,1)), "")</f>
        <v/>
      </c>
      <c r="I13" s="52">
        <f>IFERROR(PMT(INDEX(Data[],ROW()-ROW(Data[[#Headers],[25]]),1)/12,Data[[#Headers],[25]]*12,-LoanAmount,0,IF(PaymentsDue="End of Period",0,1)), "")</f>
        <v/>
      </c>
      <c r="J13" s="52">
        <f>IFERROR(PMT(INDEX(Data[],ROW()-ROW(Data[[#Headers],[30]]),1)/12,Data[[#Headers],[30]]*12,-LoanAmount,0,IF(PaymentsDue="End of Period",0,1)), "")</f>
        <v/>
      </c>
      <c r="K13" s="40" t="n"/>
    </row>
    <row r="14" ht="19.9" customHeight="1">
      <c r="A14" s="40" t="n"/>
      <c r="B14" s="38">
        <f>IFERROR(MAX((ROW()-ROW(Data[[#Headers],[RATE]]))*0.0025+0.0175,0.0025), "")</f>
        <v/>
      </c>
      <c r="C14" s="52">
        <f>IFERROR(PMT(INDEX(Data[],ROW()-ROW(Data[[#Headers],[3]]),1)/12,Data[[#Headers],[3]]*12,-LoanAmount,0,IF(PaymentsDue="End of Period",0,1)), "")</f>
        <v/>
      </c>
      <c r="D14" s="52">
        <f>IFERROR(PMT(INDEX(Data[],ROW()-ROW(Data[[#Headers],[5]]),1)/12,Data[[#Headers],[5]]*12,-LoanAmount,0,IF(PaymentsDue="End of Period",0,1)), "")</f>
        <v/>
      </c>
      <c r="E14" s="52">
        <f>IFERROR(PMT(INDEX(Data[],ROW()-ROW(Data[[#Headers],[10]]),1)/12,Data[[#Headers],[10]]*12,-LoanAmount,0,IF(PaymentsDue="End of Period",0,1)), "")</f>
        <v/>
      </c>
      <c r="F14" s="52">
        <f>IFERROR(PMT(INDEX(Data[],ROW()-ROW(Data[[#Headers],[12]]),1)/12,Data[[#Headers],[12]]*12,-LoanAmount,0,IF(PaymentsDue="End of Period",0,1)), "")</f>
        <v/>
      </c>
      <c r="G14" s="52">
        <f>IFERROR(PMT(INDEX(Data[],ROW()-ROW(Data[[#Headers],[15]]),1)/12,Data[[#Headers],[15]]*12,-LoanAmount,0,IF(PaymentsDue="End of Period",0,1)), "")</f>
        <v/>
      </c>
      <c r="H14" s="52">
        <f>IFERROR(PMT(INDEX(Data[],ROW()-ROW(Data[[#Headers],[20]]),1)/12,Data[[#Headers],[20]]*12,-LoanAmount,0,IF(PaymentsDue="End of Period",0,1)), "")</f>
        <v/>
      </c>
      <c r="I14" s="52">
        <f>IFERROR(PMT(INDEX(Data[],ROW()-ROW(Data[[#Headers],[25]]),1)/12,Data[[#Headers],[25]]*12,-LoanAmount,0,IF(PaymentsDue="End of Period",0,1)), "")</f>
        <v/>
      </c>
      <c r="J14" s="52">
        <f>IFERROR(PMT(INDEX(Data[],ROW()-ROW(Data[[#Headers],[30]]),1)/12,Data[[#Headers],[30]]*12,-LoanAmount,0,IF(PaymentsDue="End of Period",0,1)), "")</f>
        <v/>
      </c>
      <c r="K14" s="40" t="n"/>
    </row>
    <row r="15" ht="19.9" customHeight="1">
      <c r="A15" s="40" t="n"/>
      <c r="B15" s="38">
        <f>IFERROR(MAX((ROW()-ROW(Data[[#Headers],[RATE]]))*0.0025+0.0175,0.0025), "")</f>
        <v/>
      </c>
      <c r="C15" s="52">
        <f>IFERROR(PMT(INDEX(Data[],ROW()-ROW(Data[[#Headers],[3]]),1)/12,Data[[#Headers],[3]]*12,-LoanAmount,0,IF(PaymentsDue="End of Period",0,1)), "")</f>
        <v/>
      </c>
      <c r="D15" s="52">
        <f>IFERROR(PMT(INDEX(Data[],ROW()-ROW(Data[[#Headers],[5]]),1)/12,Data[[#Headers],[5]]*12,-LoanAmount,0,IF(PaymentsDue="End of Period",0,1)), "")</f>
        <v/>
      </c>
      <c r="E15" s="52">
        <f>IFERROR(PMT(INDEX(Data[],ROW()-ROW(Data[[#Headers],[10]]),1)/12,Data[[#Headers],[10]]*12,-LoanAmount,0,IF(PaymentsDue="End of Period",0,1)), "")</f>
        <v/>
      </c>
      <c r="F15" s="52">
        <f>IFERROR(PMT(INDEX(Data[],ROW()-ROW(Data[[#Headers],[12]]),1)/12,Data[[#Headers],[12]]*12,-LoanAmount,0,IF(PaymentsDue="End of Period",0,1)), "")</f>
        <v/>
      </c>
      <c r="G15" s="52">
        <f>IFERROR(PMT(INDEX(Data[],ROW()-ROW(Data[[#Headers],[15]]),1)/12,Data[[#Headers],[15]]*12,-LoanAmount,0,IF(PaymentsDue="End of Period",0,1)), "")</f>
        <v/>
      </c>
      <c r="H15" s="52">
        <f>IFERROR(PMT(INDEX(Data[],ROW()-ROW(Data[[#Headers],[20]]),1)/12,Data[[#Headers],[20]]*12,-LoanAmount,0,IF(PaymentsDue="End of Period",0,1)), "")</f>
        <v/>
      </c>
      <c r="I15" s="52">
        <f>IFERROR(PMT(INDEX(Data[],ROW()-ROW(Data[[#Headers],[25]]),1)/12,Data[[#Headers],[25]]*12,-LoanAmount,0,IF(PaymentsDue="End of Period",0,1)), "")</f>
        <v/>
      </c>
      <c r="J15" s="52">
        <f>IFERROR(PMT(INDEX(Data[],ROW()-ROW(Data[[#Headers],[30]]),1)/12,Data[[#Headers],[30]]*12,-LoanAmount,0,IF(PaymentsDue="End of Period",0,1)), "")</f>
        <v/>
      </c>
      <c r="K15" s="40" t="n"/>
    </row>
    <row r="16" ht="19.9" customHeight="1">
      <c r="A16" s="40" t="n"/>
      <c r="B16" s="38">
        <f>IFERROR(MAX((ROW()-ROW(Data[[#Headers],[RATE]]))*0.0025+0.0175,0.0025), "")</f>
        <v/>
      </c>
      <c r="C16" s="52">
        <f>IFERROR(PMT(INDEX(Data[],ROW()-ROW(Data[[#Headers],[3]]),1)/12,Data[[#Headers],[3]]*12,-LoanAmount,0,IF(PaymentsDue="End of Period",0,1)), "")</f>
        <v/>
      </c>
      <c r="D16" s="52">
        <f>IFERROR(PMT(INDEX(Data[],ROW()-ROW(Data[[#Headers],[5]]),1)/12,Data[[#Headers],[5]]*12,-LoanAmount,0,IF(PaymentsDue="End of Period",0,1)), "")</f>
        <v/>
      </c>
      <c r="E16" s="52">
        <f>IFERROR(PMT(INDEX(Data[],ROW()-ROW(Data[[#Headers],[10]]),1)/12,Data[[#Headers],[10]]*12,-LoanAmount,0,IF(PaymentsDue="End of Period",0,1)), "")</f>
        <v/>
      </c>
      <c r="F16" s="52">
        <f>IFERROR(PMT(INDEX(Data[],ROW()-ROW(Data[[#Headers],[12]]),1)/12,Data[[#Headers],[12]]*12,-LoanAmount,0,IF(PaymentsDue="End of Period",0,1)), "")</f>
        <v/>
      </c>
      <c r="G16" s="52">
        <f>IFERROR(PMT(INDEX(Data[],ROW()-ROW(Data[[#Headers],[15]]),1)/12,Data[[#Headers],[15]]*12,-LoanAmount,0,IF(PaymentsDue="End of Period",0,1)), "")</f>
        <v/>
      </c>
      <c r="H16" s="52">
        <f>IFERROR(PMT(INDEX(Data[],ROW()-ROW(Data[[#Headers],[20]]),1)/12,Data[[#Headers],[20]]*12,-LoanAmount,0,IF(PaymentsDue="End of Period",0,1)), "")</f>
        <v/>
      </c>
      <c r="I16" s="52">
        <f>IFERROR(PMT(INDEX(Data[],ROW()-ROW(Data[[#Headers],[25]]),1)/12,Data[[#Headers],[25]]*12,-LoanAmount,0,IF(PaymentsDue="End of Period",0,1)), "")</f>
        <v/>
      </c>
      <c r="J16" s="52">
        <f>IFERROR(PMT(INDEX(Data[],ROW()-ROW(Data[[#Headers],[30]]),1)/12,Data[[#Headers],[30]]*12,-LoanAmount,0,IF(PaymentsDue="End of Period",0,1)), "")</f>
        <v/>
      </c>
      <c r="K16" s="40" t="n"/>
    </row>
    <row r="17" ht="19.9" customHeight="1">
      <c r="A17" s="40" t="n"/>
      <c r="B17" s="38">
        <f>IFERROR(MAX((ROW()-ROW(Data[[#Headers],[RATE]]))*0.0025+0.0175,0.0025), "")</f>
        <v/>
      </c>
      <c r="C17" s="52">
        <f>IFERROR(PMT(INDEX(Data[],ROW()-ROW(Data[[#Headers],[3]]),1)/12,Data[[#Headers],[3]]*12,-LoanAmount,0,IF(PaymentsDue="End of Period",0,1)), "")</f>
        <v/>
      </c>
      <c r="D17" s="52">
        <f>IFERROR(PMT(INDEX(Data[],ROW()-ROW(Data[[#Headers],[5]]),1)/12,Data[[#Headers],[5]]*12,-LoanAmount,0,IF(PaymentsDue="End of Period",0,1)), "")</f>
        <v/>
      </c>
      <c r="E17" s="52">
        <f>IFERROR(PMT(INDEX(Data[],ROW()-ROW(Data[[#Headers],[10]]),1)/12,Data[[#Headers],[10]]*12,-LoanAmount,0,IF(PaymentsDue="End of Period",0,1)), "")</f>
        <v/>
      </c>
      <c r="F17" s="52">
        <f>IFERROR(PMT(INDEX(Data[],ROW()-ROW(Data[[#Headers],[12]]),1)/12,Data[[#Headers],[12]]*12,-LoanAmount,0,IF(PaymentsDue="End of Period",0,1)), "")</f>
        <v/>
      </c>
      <c r="G17" s="52">
        <f>IFERROR(PMT(INDEX(Data[],ROW()-ROW(Data[[#Headers],[15]]),1)/12,Data[[#Headers],[15]]*12,-LoanAmount,0,IF(PaymentsDue="End of Period",0,1)), "")</f>
        <v/>
      </c>
      <c r="H17" s="52">
        <f>IFERROR(PMT(INDEX(Data[],ROW()-ROW(Data[[#Headers],[20]]),1)/12,Data[[#Headers],[20]]*12,-LoanAmount,0,IF(PaymentsDue="End of Period",0,1)), "")</f>
        <v/>
      </c>
      <c r="I17" s="52">
        <f>IFERROR(PMT(INDEX(Data[],ROW()-ROW(Data[[#Headers],[25]]),1)/12,Data[[#Headers],[25]]*12,-LoanAmount,0,IF(PaymentsDue="End of Period",0,1)), "")</f>
        <v/>
      </c>
      <c r="J17" s="52">
        <f>IFERROR(PMT(INDEX(Data[],ROW()-ROW(Data[[#Headers],[30]]),1)/12,Data[[#Headers],[30]]*12,-LoanAmount,0,IF(PaymentsDue="End of Period",0,1)), "")</f>
        <v/>
      </c>
      <c r="K17" s="40" t="n"/>
    </row>
    <row r="18" ht="19.9" customHeight="1">
      <c r="A18" s="40" t="n"/>
      <c r="B18" s="38">
        <f>IFERROR(MAX((ROW()-ROW(Data[[#Headers],[RATE]]))*0.0025+0.0175,0.0025), "")</f>
        <v/>
      </c>
      <c r="C18" s="52">
        <f>IFERROR(PMT(INDEX(Data[],ROW()-ROW(Data[[#Headers],[3]]),1)/12,Data[[#Headers],[3]]*12,-LoanAmount,0,IF(PaymentsDue="End of Period",0,1)), "")</f>
        <v/>
      </c>
      <c r="D18" s="52">
        <f>IFERROR(PMT(INDEX(Data[],ROW()-ROW(Data[[#Headers],[5]]),1)/12,Data[[#Headers],[5]]*12,-LoanAmount,0,IF(PaymentsDue="End of Period",0,1)), "")</f>
        <v/>
      </c>
      <c r="E18" s="52">
        <f>IFERROR(PMT(INDEX(Data[],ROW()-ROW(Data[[#Headers],[10]]),1)/12,Data[[#Headers],[10]]*12,-LoanAmount,0,IF(PaymentsDue="End of Period",0,1)), "")</f>
        <v/>
      </c>
      <c r="F18" s="52">
        <f>IFERROR(PMT(INDEX(Data[],ROW()-ROW(Data[[#Headers],[12]]),1)/12,Data[[#Headers],[12]]*12,-LoanAmount,0,IF(PaymentsDue="End of Period",0,1)), "")</f>
        <v/>
      </c>
      <c r="G18" s="52">
        <f>IFERROR(PMT(INDEX(Data[],ROW()-ROW(Data[[#Headers],[15]]),1)/12,Data[[#Headers],[15]]*12,-LoanAmount,0,IF(PaymentsDue="End of Period",0,1)), "")</f>
        <v/>
      </c>
      <c r="H18" s="52">
        <f>IFERROR(PMT(INDEX(Data[],ROW()-ROW(Data[[#Headers],[20]]),1)/12,Data[[#Headers],[20]]*12,-LoanAmount,0,IF(PaymentsDue="End of Period",0,1)), "")</f>
        <v/>
      </c>
      <c r="I18" s="52">
        <f>IFERROR(PMT(INDEX(Data[],ROW()-ROW(Data[[#Headers],[25]]),1)/12,Data[[#Headers],[25]]*12,-LoanAmount,0,IF(PaymentsDue="End of Period",0,1)), "")</f>
        <v/>
      </c>
      <c r="J18" s="52">
        <f>IFERROR(PMT(INDEX(Data[],ROW()-ROW(Data[[#Headers],[30]]),1)/12,Data[[#Headers],[30]]*12,-LoanAmount,0,IF(PaymentsDue="End of Period",0,1)), "")</f>
        <v/>
      </c>
      <c r="K18" s="40" t="n"/>
    </row>
    <row r="19" ht="19.9" customHeight="1">
      <c r="A19" s="40" t="n"/>
      <c r="B19" s="38">
        <f>IFERROR(MAX((ROW()-ROW(Data[[#Headers],[RATE]]))*0.0025+0.0175,0.0025), "")</f>
        <v/>
      </c>
      <c r="C19" s="52">
        <f>IFERROR(PMT(INDEX(Data[],ROW()-ROW(Data[[#Headers],[3]]),1)/12,Data[[#Headers],[3]]*12,-LoanAmount,0,IF(PaymentsDue="End of Period",0,1)), "")</f>
        <v/>
      </c>
      <c r="D19" s="52">
        <f>IFERROR(PMT(INDEX(Data[],ROW()-ROW(Data[[#Headers],[5]]),1)/12,Data[[#Headers],[5]]*12,-LoanAmount,0,IF(PaymentsDue="End of Period",0,1)), "")</f>
        <v/>
      </c>
      <c r="E19" s="52">
        <f>IFERROR(PMT(INDEX(Data[],ROW()-ROW(Data[[#Headers],[10]]),1)/12,Data[[#Headers],[10]]*12,-LoanAmount,0,IF(PaymentsDue="End of Period",0,1)), "")</f>
        <v/>
      </c>
      <c r="F19" s="52">
        <f>IFERROR(PMT(INDEX(Data[],ROW()-ROW(Data[[#Headers],[12]]),1)/12,Data[[#Headers],[12]]*12,-LoanAmount,0,IF(PaymentsDue="End of Period",0,1)), "")</f>
        <v/>
      </c>
      <c r="G19" s="52">
        <f>IFERROR(PMT(INDEX(Data[],ROW()-ROW(Data[[#Headers],[15]]),1)/12,Data[[#Headers],[15]]*12,-LoanAmount,0,IF(PaymentsDue="End of Period",0,1)), "")</f>
        <v/>
      </c>
      <c r="H19" s="52">
        <f>IFERROR(PMT(INDEX(Data[],ROW()-ROW(Data[[#Headers],[20]]),1)/12,Data[[#Headers],[20]]*12,-LoanAmount,0,IF(PaymentsDue="End of Period",0,1)), "")</f>
        <v/>
      </c>
      <c r="I19" s="52">
        <f>IFERROR(PMT(INDEX(Data[],ROW()-ROW(Data[[#Headers],[25]]),1)/12,Data[[#Headers],[25]]*12,-LoanAmount,0,IF(PaymentsDue="End of Period",0,1)), "")</f>
        <v/>
      </c>
      <c r="J19" s="52">
        <f>IFERROR(PMT(INDEX(Data[],ROW()-ROW(Data[[#Headers],[30]]),1)/12,Data[[#Headers],[30]]*12,-LoanAmount,0,IF(PaymentsDue="End of Period",0,1)), "")</f>
        <v/>
      </c>
      <c r="K19" s="40" t="n"/>
    </row>
    <row r="20" ht="19.9" customHeight="1">
      <c r="A20" s="40" t="n"/>
      <c r="B20" s="38">
        <f>IFERROR(MAX((ROW()-ROW(Data[[#Headers],[RATE]]))*0.0025+0.0175,0.0025), "")</f>
        <v/>
      </c>
      <c r="C20" s="52">
        <f>IFERROR(PMT(INDEX(Data[],ROW()-ROW(Data[[#Headers],[3]]),1)/12,Data[[#Headers],[3]]*12,-LoanAmount,0,IF(PaymentsDue="End of Period",0,1)), "")</f>
        <v/>
      </c>
      <c r="D20" s="52">
        <f>IFERROR(PMT(INDEX(Data[],ROW()-ROW(Data[[#Headers],[5]]),1)/12,Data[[#Headers],[5]]*12,-LoanAmount,0,IF(PaymentsDue="End of Period",0,1)), "")</f>
        <v/>
      </c>
      <c r="E20" s="52">
        <f>IFERROR(PMT(INDEX(Data[],ROW()-ROW(Data[[#Headers],[10]]),1)/12,Data[[#Headers],[10]]*12,-LoanAmount,0,IF(PaymentsDue="End of Period",0,1)), "")</f>
        <v/>
      </c>
      <c r="F20" s="52">
        <f>IFERROR(PMT(INDEX(Data[],ROW()-ROW(Data[[#Headers],[12]]),1)/12,Data[[#Headers],[12]]*12,-LoanAmount,0,IF(PaymentsDue="End of Period",0,1)), "")</f>
        <v/>
      </c>
      <c r="G20" s="52">
        <f>IFERROR(PMT(INDEX(Data[],ROW()-ROW(Data[[#Headers],[15]]),1)/12,Data[[#Headers],[15]]*12,-LoanAmount,0,IF(PaymentsDue="End of Period",0,1)), "")</f>
        <v/>
      </c>
      <c r="H20" s="52">
        <f>IFERROR(PMT(INDEX(Data[],ROW()-ROW(Data[[#Headers],[20]]),1)/12,Data[[#Headers],[20]]*12,-LoanAmount,0,IF(PaymentsDue="End of Period",0,1)), "")</f>
        <v/>
      </c>
      <c r="I20" s="52">
        <f>IFERROR(PMT(INDEX(Data[],ROW()-ROW(Data[[#Headers],[25]]),1)/12,Data[[#Headers],[25]]*12,-LoanAmount,0,IF(PaymentsDue="End of Period",0,1)), "")</f>
        <v/>
      </c>
      <c r="J20" s="52">
        <f>IFERROR(PMT(INDEX(Data[],ROW()-ROW(Data[[#Headers],[30]]),1)/12,Data[[#Headers],[30]]*12,-LoanAmount,0,IF(PaymentsDue="End of Period",0,1)), "")</f>
        <v/>
      </c>
      <c r="K20" s="40" t="n"/>
    </row>
    <row r="21" ht="19.9" customHeight="1">
      <c r="A21" s="40" t="n"/>
      <c r="B21" s="38">
        <f>IFERROR(MAX((ROW()-ROW(Data[[#Headers],[RATE]]))*0.0025+0.0175,0.0025), "")</f>
        <v/>
      </c>
      <c r="C21" s="52">
        <f>IFERROR(PMT(INDEX(Data[],ROW()-ROW(Data[[#Headers],[3]]),1)/12,Data[[#Headers],[3]]*12,-LoanAmount,0,IF(PaymentsDue="End of Period",0,1)), "")</f>
        <v/>
      </c>
      <c r="D21" s="52">
        <f>IFERROR(PMT(INDEX(Data[],ROW()-ROW(Data[[#Headers],[5]]),1)/12,Data[[#Headers],[5]]*12,-LoanAmount,0,IF(PaymentsDue="End of Period",0,1)), "")</f>
        <v/>
      </c>
      <c r="E21" s="52">
        <f>IFERROR(PMT(INDEX(Data[],ROW()-ROW(Data[[#Headers],[10]]),1)/12,Data[[#Headers],[10]]*12,-LoanAmount,0,IF(PaymentsDue="End of Period",0,1)), "")</f>
        <v/>
      </c>
      <c r="F21" s="52">
        <f>IFERROR(PMT(INDEX(Data[],ROW()-ROW(Data[[#Headers],[12]]),1)/12,Data[[#Headers],[12]]*12,-LoanAmount,0,IF(PaymentsDue="End of Period",0,1)), "")</f>
        <v/>
      </c>
      <c r="G21" s="52">
        <f>IFERROR(PMT(INDEX(Data[],ROW()-ROW(Data[[#Headers],[15]]),1)/12,Data[[#Headers],[15]]*12,-LoanAmount,0,IF(PaymentsDue="End of Period",0,1)), "")</f>
        <v/>
      </c>
      <c r="H21" s="52">
        <f>IFERROR(PMT(INDEX(Data[],ROW()-ROW(Data[[#Headers],[20]]),1)/12,Data[[#Headers],[20]]*12,-LoanAmount,0,IF(PaymentsDue="End of Period",0,1)), "")</f>
        <v/>
      </c>
      <c r="I21" s="52">
        <f>IFERROR(PMT(INDEX(Data[],ROW()-ROW(Data[[#Headers],[25]]),1)/12,Data[[#Headers],[25]]*12,-LoanAmount,0,IF(PaymentsDue="End of Period",0,1)), "")</f>
        <v/>
      </c>
      <c r="J21" s="52">
        <f>IFERROR(PMT(INDEX(Data[],ROW()-ROW(Data[[#Headers],[30]]),1)/12,Data[[#Headers],[30]]*12,-LoanAmount,0,IF(PaymentsDue="End of Period",0,1)), "")</f>
        <v/>
      </c>
      <c r="K21" s="40" t="n"/>
    </row>
    <row r="22" ht="19.9" customHeight="1">
      <c r="A22" s="40" t="n"/>
      <c r="B22" s="38">
        <f>IFERROR(MAX((ROW()-ROW(Data[[#Headers],[RATE]]))*0.0025+0.0175,0.0025), "")</f>
        <v/>
      </c>
      <c r="C22" s="52">
        <f>IFERROR(PMT(INDEX(Data[],ROW()-ROW(Data[[#Headers],[3]]),1)/12,Data[[#Headers],[3]]*12,-LoanAmount,0,IF(PaymentsDue="End of Period",0,1)), "")</f>
        <v/>
      </c>
      <c r="D22" s="52">
        <f>IFERROR(PMT(INDEX(Data[],ROW()-ROW(Data[[#Headers],[5]]),1)/12,Data[[#Headers],[5]]*12,-LoanAmount,0,IF(PaymentsDue="End of Period",0,1)), "")</f>
        <v/>
      </c>
      <c r="E22" s="52">
        <f>IFERROR(PMT(INDEX(Data[],ROW()-ROW(Data[[#Headers],[10]]),1)/12,Data[[#Headers],[10]]*12,-LoanAmount,0,IF(PaymentsDue="End of Period",0,1)), "")</f>
        <v/>
      </c>
      <c r="F22" s="52">
        <f>IFERROR(PMT(INDEX(Data[],ROW()-ROW(Data[[#Headers],[12]]),1)/12,Data[[#Headers],[12]]*12,-LoanAmount,0,IF(PaymentsDue="End of Period",0,1)), "")</f>
        <v/>
      </c>
      <c r="G22" s="52">
        <f>IFERROR(PMT(INDEX(Data[],ROW()-ROW(Data[[#Headers],[15]]),1)/12,Data[[#Headers],[15]]*12,-LoanAmount,0,IF(PaymentsDue="End of Period",0,1)), "")</f>
        <v/>
      </c>
      <c r="H22" s="52">
        <f>IFERROR(PMT(INDEX(Data[],ROW()-ROW(Data[[#Headers],[20]]),1)/12,Data[[#Headers],[20]]*12,-LoanAmount,0,IF(PaymentsDue="End of Period",0,1)), "")</f>
        <v/>
      </c>
      <c r="I22" s="52">
        <f>IFERROR(PMT(INDEX(Data[],ROW()-ROW(Data[[#Headers],[25]]),1)/12,Data[[#Headers],[25]]*12,-LoanAmount,0,IF(PaymentsDue="End of Period",0,1)), "")</f>
        <v/>
      </c>
      <c r="J22" s="52">
        <f>IFERROR(PMT(INDEX(Data[],ROW()-ROW(Data[[#Headers],[30]]),1)/12,Data[[#Headers],[30]]*12,-LoanAmount,0,IF(PaymentsDue="End of Period",0,1)), "")</f>
        <v/>
      </c>
      <c r="K22" s="40" t="n"/>
    </row>
    <row r="23" ht="19.9" customHeight="1">
      <c r="A23" s="40" t="n"/>
      <c r="B23" s="38">
        <f>IFERROR(MAX((ROW()-ROW(Data[[#Headers],[RATE]]))*0.0025+0.0175,0.0025), "")</f>
        <v/>
      </c>
      <c r="C23" s="52">
        <f>IFERROR(PMT(INDEX(Data[],ROW()-ROW(Data[[#Headers],[3]]),1)/12,Data[[#Headers],[3]]*12,-LoanAmount,0,IF(PaymentsDue="End of Period",0,1)), "")</f>
        <v/>
      </c>
      <c r="D23" s="52">
        <f>IFERROR(PMT(INDEX(Data[],ROW()-ROW(Data[[#Headers],[5]]),1)/12,Data[[#Headers],[5]]*12,-LoanAmount,0,IF(PaymentsDue="End of Period",0,1)), "")</f>
        <v/>
      </c>
      <c r="E23" s="52">
        <f>IFERROR(PMT(INDEX(Data[],ROW()-ROW(Data[[#Headers],[10]]),1)/12,Data[[#Headers],[10]]*12,-LoanAmount,0,IF(PaymentsDue="End of Period",0,1)), "")</f>
        <v/>
      </c>
      <c r="F23" s="52">
        <f>IFERROR(PMT(INDEX(Data[],ROW()-ROW(Data[[#Headers],[12]]),1)/12,Data[[#Headers],[12]]*12,-LoanAmount,0,IF(PaymentsDue="End of Period",0,1)), "")</f>
        <v/>
      </c>
      <c r="G23" s="52">
        <f>IFERROR(PMT(INDEX(Data[],ROW()-ROW(Data[[#Headers],[15]]),1)/12,Data[[#Headers],[15]]*12,-LoanAmount,0,IF(PaymentsDue="End of Period",0,1)), "")</f>
        <v/>
      </c>
      <c r="H23" s="52">
        <f>IFERROR(PMT(INDEX(Data[],ROW()-ROW(Data[[#Headers],[20]]),1)/12,Data[[#Headers],[20]]*12,-LoanAmount,0,IF(PaymentsDue="End of Period",0,1)), "")</f>
        <v/>
      </c>
      <c r="I23" s="52">
        <f>IFERROR(PMT(INDEX(Data[],ROW()-ROW(Data[[#Headers],[25]]),1)/12,Data[[#Headers],[25]]*12,-LoanAmount,0,IF(PaymentsDue="End of Period",0,1)), "")</f>
        <v/>
      </c>
      <c r="J23" s="52">
        <f>IFERROR(PMT(INDEX(Data[],ROW()-ROW(Data[[#Headers],[30]]),1)/12,Data[[#Headers],[30]]*12,-LoanAmount,0,IF(PaymentsDue="End of Period",0,1)), "")</f>
        <v/>
      </c>
      <c r="K23" s="40" t="n"/>
    </row>
    <row r="24" ht="19.9" customHeight="1">
      <c r="A24" s="40" t="n"/>
      <c r="B24" s="38">
        <f>IFERROR(MAX((ROW()-ROW(Data[[#Headers],[RATE]]))*0.0025+0.0175,0.0025), "")</f>
        <v/>
      </c>
      <c r="C24" s="52">
        <f>IFERROR(PMT(INDEX(Data[],ROW()-ROW(Data[[#Headers],[3]]),1)/12,Data[[#Headers],[3]]*12,-LoanAmount,0,IF(PaymentsDue="End of Period",0,1)), "")</f>
        <v/>
      </c>
      <c r="D24" s="52">
        <f>IFERROR(PMT(INDEX(Data[],ROW()-ROW(Data[[#Headers],[5]]),1)/12,Data[[#Headers],[5]]*12,-LoanAmount,0,IF(PaymentsDue="End of Period",0,1)), "")</f>
        <v/>
      </c>
      <c r="E24" s="52">
        <f>IFERROR(PMT(INDEX(Data[],ROW()-ROW(Data[[#Headers],[10]]),1)/12,Data[[#Headers],[10]]*12,-LoanAmount,0,IF(PaymentsDue="End of Period",0,1)), "")</f>
        <v/>
      </c>
      <c r="F24" s="52">
        <f>IFERROR(PMT(INDEX(Data[],ROW()-ROW(Data[[#Headers],[12]]),1)/12,Data[[#Headers],[12]]*12,-LoanAmount,0,IF(PaymentsDue="End of Period",0,1)), "")</f>
        <v/>
      </c>
      <c r="G24" s="52">
        <f>IFERROR(PMT(INDEX(Data[],ROW()-ROW(Data[[#Headers],[15]]),1)/12,Data[[#Headers],[15]]*12,-LoanAmount,0,IF(PaymentsDue="End of Period",0,1)), "")</f>
        <v/>
      </c>
      <c r="H24" s="52">
        <f>IFERROR(PMT(INDEX(Data[],ROW()-ROW(Data[[#Headers],[20]]),1)/12,Data[[#Headers],[20]]*12,-LoanAmount,0,IF(PaymentsDue="End of Period",0,1)), "")</f>
        <v/>
      </c>
      <c r="I24" s="52">
        <f>IFERROR(PMT(INDEX(Data[],ROW()-ROW(Data[[#Headers],[25]]),1)/12,Data[[#Headers],[25]]*12,-LoanAmount,0,IF(PaymentsDue="End of Period",0,1)), "")</f>
        <v/>
      </c>
      <c r="J24" s="52">
        <f>IFERROR(PMT(INDEX(Data[],ROW()-ROW(Data[[#Headers],[30]]),1)/12,Data[[#Headers],[30]]*12,-LoanAmount,0,IF(PaymentsDue="End of Period",0,1)), "")</f>
        <v/>
      </c>
      <c r="K24" s="40" t="n"/>
    </row>
    <row r="25" ht="19.9" customHeight="1">
      <c r="A25" s="40" t="n"/>
      <c r="B25" s="38">
        <f>IFERROR(MAX((ROW()-ROW(Data[[#Headers],[RATE]]))*0.0025+0.0175,0.0025), "")</f>
        <v/>
      </c>
      <c r="C25" s="52">
        <f>IFERROR(PMT(INDEX(Data[],ROW()-ROW(Data[[#Headers],[3]]),1)/12,Data[[#Headers],[3]]*12,-LoanAmount,0,IF(PaymentsDue="End of Period",0,1)), "")</f>
        <v/>
      </c>
      <c r="D25" s="52">
        <f>IFERROR(PMT(INDEX(Data[],ROW()-ROW(Data[[#Headers],[5]]),1)/12,Data[[#Headers],[5]]*12,-LoanAmount,0,IF(PaymentsDue="End of Period",0,1)), "")</f>
        <v/>
      </c>
      <c r="E25" s="52">
        <f>IFERROR(PMT(INDEX(Data[],ROW()-ROW(Data[[#Headers],[10]]),1)/12,Data[[#Headers],[10]]*12,-LoanAmount,0,IF(PaymentsDue="End of Period",0,1)), "")</f>
        <v/>
      </c>
      <c r="F25" s="52">
        <f>IFERROR(PMT(INDEX(Data[],ROW()-ROW(Data[[#Headers],[12]]),1)/12,Data[[#Headers],[12]]*12,-LoanAmount,0,IF(PaymentsDue="End of Period",0,1)), "")</f>
        <v/>
      </c>
      <c r="G25" s="52">
        <f>IFERROR(PMT(INDEX(Data[],ROW()-ROW(Data[[#Headers],[15]]),1)/12,Data[[#Headers],[15]]*12,-LoanAmount,0,IF(PaymentsDue="End of Period",0,1)), "")</f>
        <v/>
      </c>
      <c r="H25" s="52">
        <f>IFERROR(PMT(INDEX(Data[],ROW()-ROW(Data[[#Headers],[20]]),1)/12,Data[[#Headers],[20]]*12,-LoanAmount,0,IF(PaymentsDue="End of Period",0,1)), "")</f>
        <v/>
      </c>
      <c r="I25" s="52">
        <f>IFERROR(PMT(INDEX(Data[],ROW()-ROW(Data[[#Headers],[25]]),1)/12,Data[[#Headers],[25]]*12,-LoanAmount,0,IF(PaymentsDue="End of Period",0,1)), "")</f>
        <v/>
      </c>
      <c r="J25" s="52">
        <f>IFERROR(PMT(INDEX(Data[],ROW()-ROW(Data[[#Headers],[30]]),1)/12,Data[[#Headers],[30]]*12,-LoanAmount,0,IF(PaymentsDue="End of Period",0,1)), "")</f>
        <v/>
      </c>
      <c r="K25" s="40" t="n"/>
    </row>
    <row r="26" ht="19.9" customHeight="1">
      <c r="A26" s="40" t="n"/>
      <c r="B26" s="38">
        <f>IFERROR(MAX((ROW()-ROW(Data[[#Headers],[RATE]]))*0.0025+0.0175,0.0025), "")</f>
        <v/>
      </c>
      <c r="C26" s="52">
        <f>IFERROR(PMT(INDEX(Data[],ROW()-ROW(Data[[#Headers],[3]]),1)/12,Data[[#Headers],[3]]*12,-LoanAmount,0,IF(PaymentsDue="End of Period",0,1)), "")</f>
        <v/>
      </c>
      <c r="D26" s="52">
        <f>IFERROR(PMT(INDEX(Data[],ROW()-ROW(Data[[#Headers],[5]]),1)/12,Data[[#Headers],[5]]*12,-LoanAmount,0,IF(PaymentsDue="End of Period",0,1)), "")</f>
        <v/>
      </c>
      <c r="E26" s="52">
        <f>IFERROR(PMT(INDEX(Data[],ROW()-ROW(Data[[#Headers],[10]]),1)/12,Data[[#Headers],[10]]*12,-LoanAmount,0,IF(PaymentsDue="End of Period",0,1)), "")</f>
        <v/>
      </c>
      <c r="F26" s="52">
        <f>IFERROR(PMT(INDEX(Data[],ROW()-ROW(Data[[#Headers],[12]]),1)/12,Data[[#Headers],[12]]*12,-LoanAmount,0,IF(PaymentsDue="End of Period",0,1)), "")</f>
        <v/>
      </c>
      <c r="G26" s="52">
        <f>IFERROR(PMT(INDEX(Data[],ROW()-ROW(Data[[#Headers],[15]]),1)/12,Data[[#Headers],[15]]*12,-LoanAmount,0,IF(PaymentsDue="End of Period",0,1)), "")</f>
        <v/>
      </c>
      <c r="H26" s="52">
        <f>IFERROR(PMT(INDEX(Data[],ROW()-ROW(Data[[#Headers],[20]]),1)/12,Data[[#Headers],[20]]*12,-LoanAmount,0,IF(PaymentsDue="End of Period",0,1)), "")</f>
        <v/>
      </c>
      <c r="I26" s="52">
        <f>IFERROR(PMT(INDEX(Data[],ROW()-ROW(Data[[#Headers],[25]]),1)/12,Data[[#Headers],[25]]*12,-LoanAmount,0,IF(PaymentsDue="End of Period",0,1)), "")</f>
        <v/>
      </c>
      <c r="J26" s="52">
        <f>IFERROR(PMT(INDEX(Data[],ROW()-ROW(Data[[#Headers],[30]]),1)/12,Data[[#Headers],[30]]*12,-LoanAmount,0,IF(PaymentsDue="End of Period",0,1)), "")</f>
        <v/>
      </c>
      <c r="K26" s="40" t="n"/>
      <c r="L26" s="37" t="n"/>
    </row>
    <row r="27" ht="19.9" customFormat="1" customHeight="1" s="37">
      <c r="A27" s="40" t="n"/>
      <c r="B27" s="38">
        <f>IFERROR(MAX((ROW()-ROW(Data[[#Headers],[RATE]]))*0.0025+0.0175,0.0025), "")</f>
        <v/>
      </c>
      <c r="C27" s="52">
        <f>IFERROR(PMT(INDEX(Data[],ROW()-ROW(Data[[#Headers],[3]]),1)/12,Data[[#Headers],[3]]*12,-LoanAmount,0,IF(PaymentsDue="End of Period",0,1)), "")</f>
        <v/>
      </c>
      <c r="D27" s="52">
        <f>IFERROR(PMT(INDEX(Data[],ROW()-ROW(Data[[#Headers],[5]]),1)/12,Data[[#Headers],[5]]*12,-LoanAmount,0,IF(PaymentsDue="End of Period",0,1)), "")</f>
        <v/>
      </c>
      <c r="E27" s="52">
        <f>IFERROR(PMT(INDEX(Data[],ROW()-ROW(Data[[#Headers],[10]]),1)/12,Data[[#Headers],[10]]*12,-LoanAmount,0,IF(PaymentsDue="End of Period",0,1)), "")</f>
        <v/>
      </c>
      <c r="F27" s="52">
        <f>IFERROR(PMT(INDEX(Data[],ROW()-ROW(Data[[#Headers],[12]]),1)/12,Data[[#Headers],[12]]*12,-LoanAmount,0,IF(PaymentsDue="End of Period",0,1)), "")</f>
        <v/>
      </c>
      <c r="G27" s="52">
        <f>IFERROR(PMT(INDEX(Data[],ROW()-ROW(Data[[#Headers],[15]]),1)/12,Data[[#Headers],[15]]*12,-LoanAmount,0,IF(PaymentsDue="End of Period",0,1)), "")</f>
        <v/>
      </c>
      <c r="H27" s="52">
        <f>IFERROR(PMT(INDEX(Data[],ROW()-ROW(Data[[#Headers],[20]]),1)/12,Data[[#Headers],[20]]*12,-LoanAmount,0,IF(PaymentsDue="End of Period",0,1)), "")</f>
        <v/>
      </c>
      <c r="I27" s="52">
        <f>IFERROR(PMT(INDEX(Data[],ROW()-ROW(Data[[#Headers],[25]]),1)/12,Data[[#Headers],[25]]*12,-LoanAmount,0,IF(PaymentsDue="End of Period",0,1)), "")</f>
        <v/>
      </c>
      <c r="J27" s="52">
        <f>IFERROR(PMT(INDEX(Data[],ROW()-ROW(Data[[#Headers],[30]]),1)/12,Data[[#Headers],[30]]*12,-LoanAmount,0,IF(PaymentsDue="End of Period",0,1)), "")</f>
        <v/>
      </c>
      <c r="K27" s="40" t="n"/>
      <c r="L27" s="37" t="n"/>
    </row>
    <row r="28" ht="19.9" customHeight="1">
      <c r="A28" s="40" t="n"/>
      <c r="B28" s="38">
        <f>IFERROR(MAX((ROW()-ROW(Data[[#Headers],[RATE]]))*0.0025+0.0175,0.0025), "")</f>
        <v/>
      </c>
      <c r="C28" s="52">
        <f>IFERROR(PMT(INDEX(Data[],ROW()-ROW(Data[[#Headers],[3]]),1)/12,Data[[#Headers],[3]]*12,-LoanAmount,0,IF(PaymentsDue="End of Period",0,1)), "")</f>
        <v/>
      </c>
      <c r="D28" s="52">
        <f>IFERROR(PMT(INDEX(Data[],ROW()-ROW(Data[[#Headers],[5]]),1)/12,Data[[#Headers],[5]]*12,-LoanAmount,0,IF(PaymentsDue="End of Period",0,1)), "")</f>
        <v/>
      </c>
      <c r="E28" s="52">
        <f>IFERROR(PMT(INDEX(Data[],ROW()-ROW(Data[[#Headers],[10]]),1)/12,Data[[#Headers],[10]]*12,-LoanAmount,0,IF(PaymentsDue="End of Period",0,1)), "")</f>
        <v/>
      </c>
      <c r="F28" s="52">
        <f>IFERROR(PMT(INDEX(Data[],ROW()-ROW(Data[[#Headers],[12]]),1)/12,Data[[#Headers],[12]]*12,-LoanAmount,0,IF(PaymentsDue="End of Period",0,1)), "")</f>
        <v/>
      </c>
      <c r="G28" s="52">
        <f>IFERROR(PMT(INDEX(Data[],ROW()-ROW(Data[[#Headers],[15]]),1)/12,Data[[#Headers],[15]]*12,-LoanAmount,0,IF(PaymentsDue="End of Period",0,1)), "")</f>
        <v/>
      </c>
      <c r="H28" s="52">
        <f>IFERROR(PMT(INDEX(Data[],ROW()-ROW(Data[[#Headers],[20]]),1)/12,Data[[#Headers],[20]]*12,-LoanAmount,0,IF(PaymentsDue="End of Period",0,1)), "")</f>
        <v/>
      </c>
      <c r="I28" s="52">
        <f>IFERROR(PMT(INDEX(Data[],ROW()-ROW(Data[[#Headers],[25]]),1)/12,Data[[#Headers],[25]]*12,-LoanAmount,0,IF(PaymentsDue="End of Period",0,1)), "")</f>
        <v/>
      </c>
      <c r="J28" s="52">
        <f>IFERROR(PMT(INDEX(Data[],ROW()-ROW(Data[[#Headers],[30]]),1)/12,Data[[#Headers],[30]]*12,-LoanAmount,0,IF(PaymentsDue="End of Period",0,1)), "")</f>
        <v/>
      </c>
      <c r="K28" s="40" t="n"/>
      <c r="L28" s="37" t="n"/>
    </row>
    <row r="29" ht="19.9" customHeight="1">
      <c r="A29" s="40" t="n"/>
      <c r="B29" s="38">
        <f>IFERROR(MAX((ROW()-ROW(Data[[#Headers],[RATE]]))*0.0025+0.0175,0.0025), "")</f>
        <v/>
      </c>
      <c r="C29" s="52">
        <f>IFERROR(PMT(INDEX(Data[],ROW()-ROW(Data[[#Headers],[3]]),1)/12,Data[[#Headers],[3]]*12,-LoanAmount,0,IF(PaymentsDue="End of Period",0,1)), "")</f>
        <v/>
      </c>
      <c r="D29" s="52">
        <f>IFERROR(PMT(INDEX(Data[],ROW()-ROW(Data[[#Headers],[5]]),1)/12,Data[[#Headers],[5]]*12,-LoanAmount,0,IF(PaymentsDue="End of Period",0,1)), "")</f>
        <v/>
      </c>
      <c r="E29" s="52">
        <f>IFERROR(PMT(INDEX(Data[],ROW()-ROW(Data[[#Headers],[10]]),1)/12,Data[[#Headers],[10]]*12,-LoanAmount,0,IF(PaymentsDue="End of Period",0,1)), "")</f>
        <v/>
      </c>
      <c r="F29" s="52">
        <f>IFERROR(PMT(INDEX(Data[],ROW()-ROW(Data[[#Headers],[12]]),1)/12,Data[[#Headers],[12]]*12,-LoanAmount,0,IF(PaymentsDue="End of Period",0,1)), "")</f>
        <v/>
      </c>
      <c r="G29" s="52">
        <f>IFERROR(PMT(INDEX(Data[],ROW()-ROW(Data[[#Headers],[15]]),1)/12,Data[[#Headers],[15]]*12,-LoanAmount,0,IF(PaymentsDue="End of Period",0,1)), "")</f>
        <v/>
      </c>
      <c r="H29" s="52">
        <f>IFERROR(PMT(INDEX(Data[],ROW()-ROW(Data[[#Headers],[20]]),1)/12,Data[[#Headers],[20]]*12,-LoanAmount,0,IF(PaymentsDue="End of Period",0,1)), "")</f>
        <v/>
      </c>
      <c r="I29" s="52">
        <f>IFERROR(PMT(INDEX(Data[],ROW()-ROW(Data[[#Headers],[25]]),1)/12,Data[[#Headers],[25]]*12,-LoanAmount,0,IF(PaymentsDue="End of Period",0,1)), "")</f>
        <v/>
      </c>
      <c r="J29" s="52">
        <f>IFERROR(PMT(INDEX(Data[],ROW()-ROW(Data[[#Headers],[30]]),1)/12,Data[[#Headers],[30]]*12,-LoanAmount,0,IF(PaymentsDue="End of Period",0,1)), "")</f>
        <v/>
      </c>
      <c r="K29" s="40" t="n"/>
      <c r="L29" s="37" t="n"/>
    </row>
    <row r="30" ht="19.9" customHeight="1">
      <c r="A30" s="40" t="n"/>
      <c r="B30" s="38">
        <f>IFERROR(MAX((ROW()-ROW(Data[[#Headers],[RATE]]))*0.0025+0.0175,0.0025), "")</f>
        <v/>
      </c>
      <c r="C30" s="52">
        <f>IFERROR(PMT(INDEX(Data[],ROW()-ROW(Data[[#Headers],[3]]),1)/12,Data[[#Headers],[3]]*12,-LoanAmount,0,IF(PaymentsDue="End of Period",0,1)), "")</f>
        <v/>
      </c>
      <c r="D30" s="52">
        <f>IFERROR(PMT(INDEX(Data[],ROW()-ROW(Data[[#Headers],[5]]),1)/12,Data[[#Headers],[5]]*12,-LoanAmount,0,IF(PaymentsDue="End of Period",0,1)), "")</f>
        <v/>
      </c>
      <c r="E30" s="52">
        <f>IFERROR(PMT(INDEX(Data[],ROW()-ROW(Data[[#Headers],[10]]),1)/12,Data[[#Headers],[10]]*12,-LoanAmount,0,IF(PaymentsDue="End of Period",0,1)), "")</f>
        <v/>
      </c>
      <c r="F30" s="52">
        <f>IFERROR(PMT(INDEX(Data[],ROW()-ROW(Data[[#Headers],[12]]),1)/12,Data[[#Headers],[12]]*12,-LoanAmount,0,IF(PaymentsDue="End of Period",0,1)), "")</f>
        <v/>
      </c>
      <c r="G30" s="52">
        <f>IFERROR(PMT(INDEX(Data[],ROW()-ROW(Data[[#Headers],[15]]),1)/12,Data[[#Headers],[15]]*12,-LoanAmount,0,IF(PaymentsDue="End of Period",0,1)), "")</f>
        <v/>
      </c>
      <c r="H30" s="52">
        <f>IFERROR(PMT(INDEX(Data[],ROW()-ROW(Data[[#Headers],[20]]),1)/12,Data[[#Headers],[20]]*12,-LoanAmount,0,IF(PaymentsDue="End of Period",0,1)), "")</f>
        <v/>
      </c>
      <c r="I30" s="52">
        <f>IFERROR(PMT(INDEX(Data[],ROW()-ROW(Data[[#Headers],[25]]),1)/12,Data[[#Headers],[25]]*12,-LoanAmount,0,IF(PaymentsDue="End of Period",0,1)), "")</f>
        <v/>
      </c>
      <c r="J30" s="52">
        <f>IFERROR(PMT(INDEX(Data[],ROW()-ROW(Data[[#Headers],[30]]),1)/12,Data[[#Headers],[30]]*12,-LoanAmount,0,IF(PaymentsDue="End of Period",0,1)), "")</f>
        <v/>
      </c>
      <c r="K30" s="40" t="n"/>
      <c r="L30" s="37" t="n"/>
    </row>
    <row r="31" ht="19.9" customHeight="1">
      <c r="A31" s="40" t="n"/>
      <c r="B31" s="38">
        <f>IFERROR(MAX((ROW()-ROW(Data[[#Headers],[RATE]]))*0.0025+0.0175,0.0025), "")</f>
        <v/>
      </c>
      <c r="C31" s="52">
        <f>IFERROR(PMT(INDEX(Data[],ROW()-ROW(Data[[#Headers],[3]]),1)/12,Data[[#Headers],[3]]*12,-LoanAmount,0,IF(PaymentsDue="End of Period",0,1)), "")</f>
        <v/>
      </c>
      <c r="D31" s="52">
        <f>IFERROR(PMT(INDEX(Data[],ROW()-ROW(Data[[#Headers],[5]]),1)/12,Data[[#Headers],[5]]*12,-LoanAmount,0,IF(PaymentsDue="End of Period",0,1)), "")</f>
        <v/>
      </c>
      <c r="E31" s="52">
        <f>IFERROR(PMT(INDEX(Data[],ROW()-ROW(Data[[#Headers],[10]]),1)/12,Data[[#Headers],[10]]*12,-LoanAmount,0,IF(PaymentsDue="End of Period",0,1)), "")</f>
        <v/>
      </c>
      <c r="F31" s="52">
        <f>IFERROR(PMT(INDEX(Data[],ROW()-ROW(Data[[#Headers],[12]]),1)/12,Data[[#Headers],[12]]*12,-LoanAmount,0,IF(PaymentsDue="End of Period",0,1)), "")</f>
        <v/>
      </c>
      <c r="G31" s="52">
        <f>IFERROR(PMT(INDEX(Data[],ROW()-ROW(Data[[#Headers],[15]]),1)/12,Data[[#Headers],[15]]*12,-LoanAmount,0,IF(PaymentsDue="End of Period",0,1)), "")</f>
        <v/>
      </c>
      <c r="H31" s="52">
        <f>IFERROR(PMT(INDEX(Data[],ROW()-ROW(Data[[#Headers],[20]]),1)/12,Data[[#Headers],[20]]*12,-LoanAmount,0,IF(PaymentsDue="End of Period",0,1)), "")</f>
        <v/>
      </c>
      <c r="I31" s="52">
        <f>IFERROR(PMT(INDEX(Data[],ROW()-ROW(Data[[#Headers],[25]]),1)/12,Data[[#Headers],[25]]*12,-LoanAmount,0,IF(PaymentsDue="End of Period",0,1)), "")</f>
        <v/>
      </c>
      <c r="J31" s="52">
        <f>IFERROR(PMT(INDEX(Data[],ROW()-ROW(Data[[#Headers],[30]]),1)/12,Data[[#Headers],[30]]*12,-LoanAmount,0,IF(PaymentsDue="End of Period",0,1)), "")</f>
        <v/>
      </c>
      <c r="K31" s="40" t="n"/>
      <c r="L31" s="37" t="n"/>
    </row>
    <row r="32" ht="19.9" customHeight="1">
      <c r="A32" s="40" t="n"/>
      <c r="B32" s="38">
        <f>IFERROR(MAX((ROW()-ROW(Data[[#Headers],[RATE]]))*0.0025+0.0175,0.0025), "")</f>
        <v/>
      </c>
      <c r="C32" s="52">
        <f>IFERROR(PMT(INDEX(Data[],ROW()-ROW(Data[[#Headers],[3]]),1)/12,Data[[#Headers],[3]]*12,-LoanAmount,0,IF(PaymentsDue="End of Period",0,1)), "")</f>
        <v/>
      </c>
      <c r="D32" s="52">
        <f>IFERROR(PMT(INDEX(Data[],ROW()-ROW(Data[[#Headers],[5]]),1)/12,Data[[#Headers],[5]]*12,-LoanAmount,0,IF(PaymentsDue="End of Period",0,1)), "")</f>
        <v/>
      </c>
      <c r="E32" s="52">
        <f>IFERROR(PMT(INDEX(Data[],ROW()-ROW(Data[[#Headers],[10]]),1)/12,Data[[#Headers],[10]]*12,-LoanAmount,0,IF(PaymentsDue="End of Period",0,1)), "")</f>
        <v/>
      </c>
      <c r="F32" s="52">
        <f>IFERROR(PMT(INDEX(Data[],ROW()-ROW(Data[[#Headers],[12]]),1)/12,Data[[#Headers],[12]]*12,-LoanAmount,0,IF(PaymentsDue="End of Period",0,1)), "")</f>
        <v/>
      </c>
      <c r="G32" s="52">
        <f>IFERROR(PMT(INDEX(Data[],ROW()-ROW(Data[[#Headers],[15]]),1)/12,Data[[#Headers],[15]]*12,-LoanAmount,0,IF(PaymentsDue="End of Period",0,1)), "")</f>
        <v/>
      </c>
      <c r="H32" s="52">
        <f>IFERROR(PMT(INDEX(Data[],ROW()-ROW(Data[[#Headers],[20]]),1)/12,Data[[#Headers],[20]]*12,-LoanAmount,0,IF(PaymentsDue="End of Period",0,1)), "")</f>
        <v/>
      </c>
      <c r="I32" s="52">
        <f>IFERROR(PMT(INDEX(Data[],ROW()-ROW(Data[[#Headers],[25]]),1)/12,Data[[#Headers],[25]]*12,-LoanAmount,0,IF(PaymentsDue="End of Period",0,1)), "")</f>
        <v/>
      </c>
      <c r="J32" s="52">
        <f>IFERROR(PMT(INDEX(Data[],ROW()-ROW(Data[[#Headers],[30]]),1)/12,Data[[#Headers],[30]]*12,-LoanAmount,0,IF(PaymentsDue="End of Period",0,1)), "")</f>
        <v/>
      </c>
      <c r="K32" s="40" t="n"/>
      <c r="L32" s="37" t="n"/>
    </row>
    <row r="33" ht="19.9" customHeight="1">
      <c r="A33" s="40" t="n"/>
      <c r="B33" s="38">
        <f>IFERROR(MAX((ROW()-ROW(Data[[#Headers],[RATE]]))*0.0025+0.0175,0.0025), "")</f>
        <v/>
      </c>
      <c r="C33" s="52">
        <f>IFERROR(PMT(INDEX(Data[],ROW()-ROW(Data[[#Headers],[3]]),1)/12,Data[[#Headers],[3]]*12,-LoanAmount,0,IF(PaymentsDue="End of Period",0,1)), "")</f>
        <v/>
      </c>
      <c r="D33" s="52">
        <f>IFERROR(PMT(INDEX(Data[],ROW()-ROW(Data[[#Headers],[5]]),1)/12,Data[[#Headers],[5]]*12,-LoanAmount,0,IF(PaymentsDue="End of Period",0,1)), "")</f>
        <v/>
      </c>
      <c r="E33" s="52">
        <f>IFERROR(PMT(INDEX(Data[],ROW()-ROW(Data[[#Headers],[10]]),1)/12,Data[[#Headers],[10]]*12,-LoanAmount,0,IF(PaymentsDue="End of Period",0,1)), "")</f>
        <v/>
      </c>
      <c r="F33" s="52">
        <f>IFERROR(PMT(INDEX(Data[],ROW()-ROW(Data[[#Headers],[12]]),1)/12,Data[[#Headers],[12]]*12,-LoanAmount,0,IF(PaymentsDue="End of Period",0,1)), "")</f>
        <v/>
      </c>
      <c r="G33" s="52">
        <f>IFERROR(PMT(INDEX(Data[],ROW()-ROW(Data[[#Headers],[15]]),1)/12,Data[[#Headers],[15]]*12,-LoanAmount,0,IF(PaymentsDue="End of Period",0,1)), "")</f>
        <v/>
      </c>
      <c r="H33" s="52">
        <f>IFERROR(PMT(INDEX(Data[],ROW()-ROW(Data[[#Headers],[20]]),1)/12,Data[[#Headers],[20]]*12,-LoanAmount,0,IF(PaymentsDue="End of Period",0,1)), "")</f>
        <v/>
      </c>
      <c r="I33" s="52">
        <f>IFERROR(PMT(INDEX(Data[],ROW()-ROW(Data[[#Headers],[25]]),1)/12,Data[[#Headers],[25]]*12,-LoanAmount,0,IF(PaymentsDue="End of Period",0,1)), "")</f>
        <v/>
      </c>
      <c r="J33" s="52">
        <f>IFERROR(PMT(INDEX(Data[],ROW()-ROW(Data[[#Headers],[30]]),1)/12,Data[[#Headers],[30]]*12,-LoanAmount,0,IF(PaymentsDue="End of Period",0,1)), "")</f>
        <v/>
      </c>
      <c r="K33" s="40" t="n"/>
      <c r="L33" s="37" t="n"/>
    </row>
    <row r="34" ht="19.9" customHeight="1">
      <c r="A34" s="40" t="n"/>
      <c r="B34" s="38">
        <f>IFERROR(MAX((ROW()-ROW(Data[[#Headers],[RATE]]))*0.0025+0.0175,0.0025), "")</f>
        <v/>
      </c>
      <c r="C34" s="52">
        <f>IFERROR(PMT(INDEX(Data[],ROW()-ROW(Data[[#Headers],[3]]),1)/12,Data[[#Headers],[3]]*12,-LoanAmount,0,IF(PaymentsDue="End of Period",0,1)), "")</f>
        <v/>
      </c>
      <c r="D34" s="52">
        <f>IFERROR(PMT(INDEX(Data[],ROW()-ROW(Data[[#Headers],[5]]),1)/12,Data[[#Headers],[5]]*12,-LoanAmount,0,IF(PaymentsDue="End of Period",0,1)), "")</f>
        <v/>
      </c>
      <c r="E34" s="52">
        <f>IFERROR(PMT(INDEX(Data[],ROW()-ROW(Data[[#Headers],[10]]),1)/12,Data[[#Headers],[10]]*12,-LoanAmount,0,IF(PaymentsDue="End of Period",0,1)), "")</f>
        <v/>
      </c>
      <c r="F34" s="52">
        <f>IFERROR(PMT(INDEX(Data[],ROW()-ROW(Data[[#Headers],[12]]),1)/12,Data[[#Headers],[12]]*12,-LoanAmount,0,IF(PaymentsDue="End of Period",0,1)), "")</f>
        <v/>
      </c>
      <c r="G34" s="52">
        <f>IFERROR(PMT(INDEX(Data[],ROW()-ROW(Data[[#Headers],[15]]),1)/12,Data[[#Headers],[15]]*12,-LoanAmount,0,IF(PaymentsDue="End of Period",0,1)), "")</f>
        <v/>
      </c>
      <c r="H34" s="52">
        <f>IFERROR(PMT(INDEX(Data[],ROW()-ROW(Data[[#Headers],[20]]),1)/12,Data[[#Headers],[20]]*12,-LoanAmount,0,IF(PaymentsDue="End of Period",0,1)), "")</f>
        <v/>
      </c>
      <c r="I34" s="52">
        <f>IFERROR(PMT(INDEX(Data[],ROW()-ROW(Data[[#Headers],[25]]),1)/12,Data[[#Headers],[25]]*12,-LoanAmount,0,IF(PaymentsDue="End of Period",0,1)), "")</f>
        <v/>
      </c>
      <c r="J34" s="52">
        <f>IFERROR(PMT(INDEX(Data[],ROW()-ROW(Data[[#Headers],[30]]),1)/12,Data[[#Headers],[30]]*12,-LoanAmount,0,IF(PaymentsDue="End of Period",0,1)), "")</f>
        <v/>
      </c>
      <c r="K34" s="40" t="n"/>
    </row>
    <row r="35" ht="19.9" customHeight="1">
      <c r="A35" s="40" t="n"/>
      <c r="B35" s="38">
        <f>IFERROR(MAX((ROW()-ROW(Data[[#Headers],[RATE]]))*0.0025+0.0175,0.0025), "")</f>
        <v/>
      </c>
      <c r="C35" s="52">
        <f>IFERROR(PMT(INDEX(Data[],ROW()-ROW(Data[[#Headers],[3]]),1)/12,Data[[#Headers],[3]]*12,-LoanAmount,0,IF(PaymentsDue="End of Period",0,1)), "")</f>
        <v/>
      </c>
      <c r="D35" s="52">
        <f>IFERROR(PMT(INDEX(Data[],ROW()-ROW(Data[[#Headers],[5]]),1)/12,Data[[#Headers],[5]]*12,-LoanAmount,0,IF(PaymentsDue="End of Period",0,1)), "")</f>
        <v/>
      </c>
      <c r="E35" s="52">
        <f>IFERROR(PMT(INDEX(Data[],ROW()-ROW(Data[[#Headers],[10]]),1)/12,Data[[#Headers],[10]]*12,-LoanAmount,0,IF(PaymentsDue="End of Period",0,1)), "")</f>
        <v/>
      </c>
      <c r="F35" s="52">
        <f>IFERROR(PMT(INDEX(Data[],ROW()-ROW(Data[[#Headers],[12]]),1)/12,Data[[#Headers],[12]]*12,-LoanAmount,0,IF(PaymentsDue="End of Period",0,1)), "")</f>
        <v/>
      </c>
      <c r="G35" s="52">
        <f>IFERROR(PMT(INDEX(Data[],ROW()-ROW(Data[[#Headers],[15]]),1)/12,Data[[#Headers],[15]]*12,-LoanAmount,0,IF(PaymentsDue="End of Period",0,1)), "")</f>
        <v/>
      </c>
      <c r="H35" s="52">
        <f>IFERROR(PMT(INDEX(Data[],ROW()-ROW(Data[[#Headers],[20]]),1)/12,Data[[#Headers],[20]]*12,-LoanAmount,0,IF(PaymentsDue="End of Period",0,1)), "")</f>
        <v/>
      </c>
      <c r="I35" s="52">
        <f>IFERROR(PMT(INDEX(Data[],ROW()-ROW(Data[[#Headers],[25]]),1)/12,Data[[#Headers],[25]]*12,-LoanAmount,0,IF(PaymentsDue="End of Period",0,1)), "")</f>
        <v/>
      </c>
      <c r="J35" s="52">
        <f>IFERROR(PMT(INDEX(Data[],ROW()-ROW(Data[[#Headers],[30]]),1)/12,Data[[#Headers],[30]]*12,-LoanAmount,0,IF(PaymentsDue="End of Period",0,1)), "")</f>
        <v/>
      </c>
      <c r="K35" s="40" t="n"/>
    </row>
    <row r="36" ht="19.9" customHeight="1">
      <c r="A36" s="40" t="n"/>
      <c r="B36" s="38">
        <f>IFERROR(MAX((ROW()-ROW(Data[[#Headers],[RATE]]))*0.0025+0.0175,0.0025), "")</f>
        <v/>
      </c>
      <c r="C36" s="52">
        <f>IFERROR(PMT(INDEX(Data[],ROW()-ROW(Data[[#Headers],[3]]),1)/12,Data[[#Headers],[3]]*12,-LoanAmount,0,IF(PaymentsDue="End of Period",0,1)), "")</f>
        <v/>
      </c>
      <c r="D36" s="52">
        <f>IFERROR(PMT(INDEX(Data[],ROW()-ROW(Data[[#Headers],[5]]),1)/12,Data[[#Headers],[5]]*12,-LoanAmount,0,IF(PaymentsDue="End of Period",0,1)), "")</f>
        <v/>
      </c>
      <c r="E36" s="52">
        <f>IFERROR(PMT(INDEX(Data[],ROW()-ROW(Data[[#Headers],[10]]),1)/12,Data[[#Headers],[10]]*12,-LoanAmount,0,IF(PaymentsDue="End of Period",0,1)), "")</f>
        <v/>
      </c>
      <c r="F36" s="52">
        <f>IFERROR(PMT(INDEX(Data[],ROW()-ROW(Data[[#Headers],[12]]),1)/12,Data[[#Headers],[12]]*12,-LoanAmount,0,IF(PaymentsDue="End of Period",0,1)), "")</f>
        <v/>
      </c>
      <c r="G36" s="52">
        <f>IFERROR(PMT(INDEX(Data[],ROW()-ROW(Data[[#Headers],[15]]),1)/12,Data[[#Headers],[15]]*12,-LoanAmount,0,IF(PaymentsDue="End of Period",0,1)), "")</f>
        <v/>
      </c>
      <c r="H36" s="52">
        <f>IFERROR(PMT(INDEX(Data[],ROW()-ROW(Data[[#Headers],[20]]),1)/12,Data[[#Headers],[20]]*12,-LoanAmount,0,IF(PaymentsDue="End of Period",0,1)), "")</f>
        <v/>
      </c>
      <c r="I36" s="52">
        <f>IFERROR(PMT(INDEX(Data[],ROW()-ROW(Data[[#Headers],[25]]),1)/12,Data[[#Headers],[25]]*12,-LoanAmount,0,IF(PaymentsDue="End of Period",0,1)), "")</f>
        <v/>
      </c>
      <c r="J36" s="52">
        <f>IFERROR(PMT(INDEX(Data[],ROW()-ROW(Data[[#Headers],[30]]),1)/12,Data[[#Headers],[30]]*12,-LoanAmount,0,IF(PaymentsDue="End of Period",0,1)), "")</f>
        <v/>
      </c>
      <c r="K36" s="40" t="n"/>
    </row>
    <row r="37" ht="19.9" customHeight="1">
      <c r="A37" s="40" t="n"/>
      <c r="B37" s="38">
        <f>IFERROR(MAX((ROW()-ROW(Data[[#Headers],[RATE]]))*0.0025+0.0175,0.0025), "")</f>
        <v/>
      </c>
      <c r="C37" s="52">
        <f>IFERROR(PMT(INDEX(Data[],ROW()-ROW(Data[[#Headers],[3]]),1)/12,Data[[#Headers],[3]]*12,-LoanAmount,0,IF(PaymentsDue="End of Period",0,1)), "")</f>
        <v/>
      </c>
      <c r="D37" s="52">
        <f>IFERROR(PMT(INDEX(Data[],ROW()-ROW(Data[[#Headers],[5]]),1)/12,Data[[#Headers],[5]]*12,-LoanAmount,0,IF(PaymentsDue="End of Period",0,1)), "")</f>
        <v/>
      </c>
      <c r="E37" s="52">
        <f>IFERROR(PMT(INDEX(Data[],ROW()-ROW(Data[[#Headers],[10]]),1)/12,Data[[#Headers],[10]]*12,-LoanAmount,0,IF(PaymentsDue="End of Period",0,1)), "")</f>
        <v/>
      </c>
      <c r="F37" s="52">
        <f>IFERROR(PMT(INDEX(Data[],ROW()-ROW(Data[[#Headers],[12]]),1)/12,Data[[#Headers],[12]]*12,-LoanAmount,0,IF(PaymentsDue="End of Period",0,1)), "")</f>
        <v/>
      </c>
      <c r="G37" s="52">
        <f>IFERROR(PMT(INDEX(Data[],ROW()-ROW(Data[[#Headers],[15]]),1)/12,Data[[#Headers],[15]]*12,-LoanAmount,0,IF(PaymentsDue="End of Period",0,1)), "")</f>
        <v/>
      </c>
      <c r="H37" s="52">
        <f>IFERROR(PMT(INDEX(Data[],ROW()-ROW(Data[[#Headers],[20]]),1)/12,Data[[#Headers],[20]]*12,-LoanAmount,0,IF(PaymentsDue="End of Period",0,1)), "")</f>
        <v/>
      </c>
      <c r="I37" s="52">
        <f>IFERROR(PMT(INDEX(Data[],ROW()-ROW(Data[[#Headers],[25]]),1)/12,Data[[#Headers],[25]]*12,-LoanAmount,0,IF(PaymentsDue="End of Period",0,1)), "")</f>
        <v/>
      </c>
      <c r="J37" s="52">
        <f>IFERROR(PMT(INDEX(Data[],ROW()-ROW(Data[[#Headers],[30]]),1)/12,Data[[#Headers],[30]]*12,-LoanAmount,0,IF(PaymentsDue="End of Period",0,1)), "")</f>
        <v/>
      </c>
      <c r="K37" s="40" t="n"/>
    </row>
    <row r="38" ht="19.9" customHeight="1">
      <c r="A38" s="40" t="n"/>
      <c r="B38" s="38">
        <f>IFERROR(MAX((ROW()-ROW(Data[[#Headers],[RATE]]))*0.0025+0.0175,0.0025), "")</f>
        <v/>
      </c>
      <c r="C38" s="52">
        <f>IFERROR(PMT(INDEX(Data[],ROW()-ROW(Data[[#Headers],[3]]),1)/12,Data[[#Headers],[3]]*12,-LoanAmount,0,IF(PaymentsDue="End of Period",0,1)), "")</f>
        <v/>
      </c>
      <c r="D38" s="52">
        <f>IFERROR(PMT(INDEX(Data[],ROW()-ROW(Data[[#Headers],[5]]),1)/12,Data[[#Headers],[5]]*12,-LoanAmount,0,IF(PaymentsDue="End of Period",0,1)), "")</f>
        <v/>
      </c>
      <c r="E38" s="52">
        <f>IFERROR(PMT(INDEX(Data[],ROW()-ROW(Data[[#Headers],[10]]),1)/12,Data[[#Headers],[10]]*12,-LoanAmount,0,IF(PaymentsDue="End of Period",0,1)), "")</f>
        <v/>
      </c>
      <c r="F38" s="52">
        <f>IFERROR(PMT(INDEX(Data[],ROW()-ROW(Data[[#Headers],[12]]),1)/12,Data[[#Headers],[12]]*12,-LoanAmount,0,IF(PaymentsDue="End of Period",0,1)), "")</f>
        <v/>
      </c>
      <c r="G38" s="52">
        <f>IFERROR(PMT(INDEX(Data[],ROW()-ROW(Data[[#Headers],[15]]),1)/12,Data[[#Headers],[15]]*12,-LoanAmount,0,IF(PaymentsDue="End of Period",0,1)), "")</f>
        <v/>
      </c>
      <c r="H38" s="52">
        <f>IFERROR(PMT(INDEX(Data[],ROW()-ROW(Data[[#Headers],[20]]),1)/12,Data[[#Headers],[20]]*12,-LoanAmount,0,IF(PaymentsDue="End of Period",0,1)), "")</f>
        <v/>
      </c>
      <c r="I38" s="52">
        <f>IFERROR(PMT(INDEX(Data[],ROW()-ROW(Data[[#Headers],[25]]),1)/12,Data[[#Headers],[25]]*12,-LoanAmount,0,IF(PaymentsDue="End of Period",0,1)), "")</f>
        <v/>
      </c>
      <c r="J38" s="52">
        <f>IFERROR(PMT(INDEX(Data[],ROW()-ROW(Data[[#Headers],[30]]),1)/12,Data[[#Headers],[30]]*12,-LoanAmount,0,IF(PaymentsDue="End of Period",0,1)), "")</f>
        <v/>
      </c>
      <c r="K38" s="40" t="n"/>
    </row>
    <row r="39" ht="19.9" customHeight="1">
      <c r="A39" s="40" t="n"/>
      <c r="B39" s="38">
        <f>IFERROR(MAX((ROW()-ROW(Data[[#Headers],[RATE]]))*0.0025+0.0175,0.0025), "")</f>
        <v/>
      </c>
      <c r="C39" s="52">
        <f>IFERROR(PMT(INDEX(Data[],ROW()-ROW(Data[[#Headers],[3]]),1)/12,Data[[#Headers],[3]]*12,-LoanAmount,0,IF(PaymentsDue="End of Period",0,1)), "")</f>
        <v/>
      </c>
      <c r="D39" s="52">
        <f>IFERROR(PMT(INDEX(Data[],ROW()-ROW(Data[[#Headers],[5]]),1)/12,Data[[#Headers],[5]]*12,-LoanAmount,0,IF(PaymentsDue="End of Period",0,1)), "")</f>
        <v/>
      </c>
      <c r="E39" s="52">
        <f>IFERROR(PMT(INDEX(Data[],ROW()-ROW(Data[[#Headers],[10]]),1)/12,Data[[#Headers],[10]]*12,-LoanAmount,0,IF(PaymentsDue="End of Period",0,1)), "")</f>
        <v/>
      </c>
      <c r="F39" s="52">
        <f>IFERROR(PMT(INDEX(Data[],ROW()-ROW(Data[[#Headers],[12]]),1)/12,Data[[#Headers],[12]]*12,-LoanAmount,0,IF(PaymentsDue="End of Period",0,1)), "")</f>
        <v/>
      </c>
      <c r="G39" s="52">
        <f>IFERROR(PMT(INDEX(Data[],ROW()-ROW(Data[[#Headers],[15]]),1)/12,Data[[#Headers],[15]]*12,-LoanAmount,0,IF(PaymentsDue="End of Period",0,1)), "")</f>
        <v/>
      </c>
      <c r="H39" s="52">
        <f>IFERROR(PMT(INDEX(Data[],ROW()-ROW(Data[[#Headers],[20]]),1)/12,Data[[#Headers],[20]]*12,-LoanAmount,0,IF(PaymentsDue="End of Period",0,1)), "")</f>
        <v/>
      </c>
      <c r="I39" s="52">
        <f>IFERROR(PMT(INDEX(Data[],ROW()-ROW(Data[[#Headers],[25]]),1)/12,Data[[#Headers],[25]]*12,-LoanAmount,0,IF(PaymentsDue="End of Period",0,1)), "")</f>
        <v/>
      </c>
      <c r="J39" s="52">
        <f>IFERROR(PMT(INDEX(Data[],ROW()-ROW(Data[[#Headers],[30]]),1)/12,Data[[#Headers],[30]]*12,-LoanAmount,0,IF(PaymentsDue="End of Period",0,1)), "")</f>
        <v/>
      </c>
      <c r="K39" s="40" t="n"/>
    </row>
    <row r="40" ht="19.9" customHeight="1">
      <c r="A40" s="40" t="n"/>
      <c r="B40" s="38">
        <f>IFERROR(MAX((ROW()-ROW(Data[[#Headers],[RATE]]))*0.0025+0.0175,0.0025), "")</f>
        <v/>
      </c>
      <c r="C40" s="52">
        <f>IFERROR(PMT(INDEX(Data[],ROW()-ROW(Data[[#Headers],[3]]),1)/12,Data[[#Headers],[3]]*12,-LoanAmount,0,IF(PaymentsDue="End of Period",0,1)), "")</f>
        <v/>
      </c>
      <c r="D40" s="52">
        <f>IFERROR(PMT(INDEX(Data[],ROW()-ROW(Data[[#Headers],[5]]),1)/12,Data[[#Headers],[5]]*12,-LoanAmount,0,IF(PaymentsDue="End of Period",0,1)), "")</f>
        <v/>
      </c>
      <c r="E40" s="52">
        <f>IFERROR(PMT(INDEX(Data[],ROW()-ROW(Data[[#Headers],[10]]),1)/12,Data[[#Headers],[10]]*12,-LoanAmount,0,IF(PaymentsDue="End of Period",0,1)), "")</f>
        <v/>
      </c>
      <c r="F40" s="52">
        <f>IFERROR(PMT(INDEX(Data[],ROW()-ROW(Data[[#Headers],[12]]),1)/12,Data[[#Headers],[12]]*12,-LoanAmount,0,IF(PaymentsDue="End of Period",0,1)), "")</f>
        <v/>
      </c>
      <c r="G40" s="52">
        <f>IFERROR(PMT(INDEX(Data[],ROW()-ROW(Data[[#Headers],[15]]),1)/12,Data[[#Headers],[15]]*12,-LoanAmount,0,IF(PaymentsDue="End of Period",0,1)), "")</f>
        <v/>
      </c>
      <c r="H40" s="52">
        <f>IFERROR(PMT(INDEX(Data[],ROW()-ROW(Data[[#Headers],[20]]),1)/12,Data[[#Headers],[20]]*12,-LoanAmount,0,IF(PaymentsDue="End of Period",0,1)), "")</f>
        <v/>
      </c>
      <c r="I40" s="52">
        <f>IFERROR(PMT(INDEX(Data[],ROW()-ROW(Data[[#Headers],[25]]),1)/12,Data[[#Headers],[25]]*12,-LoanAmount,0,IF(PaymentsDue="End of Period",0,1)), "")</f>
        <v/>
      </c>
      <c r="J40" s="52">
        <f>IFERROR(PMT(INDEX(Data[],ROW()-ROW(Data[[#Headers],[30]]),1)/12,Data[[#Headers],[30]]*12,-LoanAmount,0,IF(PaymentsDue="End of Period",0,1)), "")</f>
        <v/>
      </c>
      <c r="K40" s="40" t="n"/>
    </row>
    <row r="41" ht="19.9" customHeight="1">
      <c r="A41" s="40" t="n"/>
      <c r="B41" s="38">
        <f>IFERROR(MAX((ROW()-ROW(Data[[#Headers],[RATE]]))*0.0025+0.0175,0.0025), "")</f>
        <v/>
      </c>
      <c r="C41" s="52">
        <f>IFERROR(PMT(INDEX(Data[],ROW()-ROW(Data[[#Headers],[3]]),1)/12,Data[[#Headers],[3]]*12,-LoanAmount,0,IF(PaymentsDue="End of Period",0,1)), "")</f>
        <v/>
      </c>
      <c r="D41" s="52">
        <f>IFERROR(PMT(INDEX(Data[],ROW()-ROW(Data[[#Headers],[5]]),1)/12,Data[[#Headers],[5]]*12,-LoanAmount,0,IF(PaymentsDue="End of Period",0,1)), "")</f>
        <v/>
      </c>
      <c r="E41" s="52">
        <f>IFERROR(PMT(INDEX(Data[],ROW()-ROW(Data[[#Headers],[10]]),1)/12,Data[[#Headers],[10]]*12,-LoanAmount,0,IF(PaymentsDue="End of Period",0,1)), "")</f>
        <v/>
      </c>
      <c r="F41" s="52">
        <f>IFERROR(PMT(INDEX(Data[],ROW()-ROW(Data[[#Headers],[12]]),1)/12,Data[[#Headers],[12]]*12,-LoanAmount,0,IF(PaymentsDue="End of Period",0,1)), "")</f>
        <v/>
      </c>
      <c r="G41" s="52">
        <f>IFERROR(PMT(INDEX(Data[],ROW()-ROW(Data[[#Headers],[15]]),1)/12,Data[[#Headers],[15]]*12,-LoanAmount,0,IF(PaymentsDue="End of Period",0,1)), "")</f>
        <v/>
      </c>
      <c r="H41" s="52">
        <f>IFERROR(PMT(INDEX(Data[],ROW()-ROW(Data[[#Headers],[20]]),1)/12,Data[[#Headers],[20]]*12,-LoanAmount,0,IF(PaymentsDue="End of Period",0,1)), "")</f>
        <v/>
      </c>
      <c r="I41" s="52">
        <f>IFERROR(PMT(INDEX(Data[],ROW()-ROW(Data[[#Headers],[25]]),1)/12,Data[[#Headers],[25]]*12,-LoanAmount,0,IF(PaymentsDue="End of Period",0,1)), "")</f>
        <v/>
      </c>
      <c r="J41" s="52">
        <f>IFERROR(PMT(INDEX(Data[],ROW()-ROW(Data[[#Headers],[30]]),1)/12,Data[[#Headers],[30]]*12,-LoanAmount,0,IF(PaymentsDue="End of Period",0,1)), "")</f>
        <v/>
      </c>
      <c r="K41" s="40" t="n"/>
    </row>
    <row r="42" ht="19.9" customHeight="1">
      <c r="A42" s="40" t="n"/>
      <c r="B42" s="38">
        <f>IFERROR(MAX((ROW()-ROW(Data[[#Headers],[RATE]]))*0.0025+0.0175,0.0025), "")</f>
        <v/>
      </c>
      <c r="C42" s="52">
        <f>IFERROR(PMT(INDEX(Data[],ROW()-ROW(Data[[#Headers],[3]]),1)/12,Data[[#Headers],[3]]*12,-LoanAmount,0,IF(PaymentsDue="End of Period",0,1)), "")</f>
        <v/>
      </c>
      <c r="D42" s="52">
        <f>IFERROR(PMT(INDEX(Data[],ROW()-ROW(Data[[#Headers],[5]]),1)/12,Data[[#Headers],[5]]*12,-LoanAmount,0,IF(PaymentsDue="End of Period",0,1)), "")</f>
        <v/>
      </c>
      <c r="E42" s="52">
        <f>IFERROR(PMT(INDEX(Data[],ROW()-ROW(Data[[#Headers],[10]]),1)/12,Data[[#Headers],[10]]*12,-LoanAmount,0,IF(PaymentsDue="End of Period",0,1)), "")</f>
        <v/>
      </c>
      <c r="F42" s="52">
        <f>IFERROR(PMT(INDEX(Data[],ROW()-ROW(Data[[#Headers],[12]]),1)/12,Data[[#Headers],[12]]*12,-LoanAmount,0,IF(PaymentsDue="End of Period",0,1)), "")</f>
        <v/>
      </c>
      <c r="G42" s="52">
        <f>IFERROR(PMT(INDEX(Data[],ROW()-ROW(Data[[#Headers],[15]]),1)/12,Data[[#Headers],[15]]*12,-LoanAmount,0,IF(PaymentsDue="End of Period",0,1)), "")</f>
        <v/>
      </c>
      <c r="H42" s="52">
        <f>IFERROR(PMT(INDEX(Data[],ROW()-ROW(Data[[#Headers],[20]]),1)/12,Data[[#Headers],[20]]*12,-LoanAmount,0,IF(PaymentsDue="End of Period",0,1)), "")</f>
        <v/>
      </c>
      <c r="I42" s="52">
        <f>IFERROR(PMT(INDEX(Data[],ROW()-ROW(Data[[#Headers],[25]]),1)/12,Data[[#Headers],[25]]*12,-LoanAmount,0,IF(PaymentsDue="End of Period",0,1)), "")</f>
        <v/>
      </c>
      <c r="J42" s="52">
        <f>IFERROR(PMT(INDEX(Data[],ROW()-ROW(Data[[#Headers],[30]]),1)/12,Data[[#Headers],[30]]*12,-LoanAmount,0,IF(PaymentsDue="End of Period",0,1)), "")</f>
        <v/>
      </c>
      <c r="K42" s="40" t="n"/>
    </row>
    <row r="43" ht="19.9" customHeight="1">
      <c r="A43" s="40" t="n"/>
      <c r="B43" s="38">
        <f>IFERROR(MAX((ROW()-ROW(Data[[#Headers],[RATE]]))*0.0025+0.0175,0.0025), "")</f>
        <v/>
      </c>
      <c r="C43" s="52">
        <f>IFERROR(PMT(INDEX(Data[],ROW()-ROW(Data[[#Headers],[3]]),1)/12,Data[[#Headers],[3]]*12,-LoanAmount,0,IF(PaymentsDue="End of Period",0,1)), "")</f>
        <v/>
      </c>
      <c r="D43" s="52">
        <f>IFERROR(PMT(INDEX(Data[],ROW()-ROW(Data[[#Headers],[5]]),1)/12,Data[[#Headers],[5]]*12,-LoanAmount,0,IF(PaymentsDue="End of Period",0,1)), "")</f>
        <v/>
      </c>
      <c r="E43" s="52">
        <f>IFERROR(PMT(INDEX(Data[],ROW()-ROW(Data[[#Headers],[10]]),1)/12,Data[[#Headers],[10]]*12,-LoanAmount,0,IF(PaymentsDue="End of Period",0,1)), "")</f>
        <v/>
      </c>
      <c r="F43" s="52">
        <f>IFERROR(PMT(INDEX(Data[],ROW()-ROW(Data[[#Headers],[12]]),1)/12,Data[[#Headers],[12]]*12,-LoanAmount,0,IF(PaymentsDue="End of Period",0,1)), "")</f>
        <v/>
      </c>
      <c r="G43" s="52">
        <f>IFERROR(PMT(INDEX(Data[],ROW()-ROW(Data[[#Headers],[15]]),1)/12,Data[[#Headers],[15]]*12,-LoanAmount,0,IF(PaymentsDue="End of Period",0,1)), "")</f>
        <v/>
      </c>
      <c r="H43" s="52">
        <f>IFERROR(PMT(INDEX(Data[],ROW()-ROW(Data[[#Headers],[20]]),1)/12,Data[[#Headers],[20]]*12,-LoanAmount,0,IF(PaymentsDue="End of Period",0,1)), "")</f>
        <v/>
      </c>
      <c r="I43" s="52">
        <f>IFERROR(PMT(INDEX(Data[],ROW()-ROW(Data[[#Headers],[25]]),1)/12,Data[[#Headers],[25]]*12,-LoanAmount,0,IF(PaymentsDue="End of Period",0,1)), "")</f>
        <v/>
      </c>
      <c r="J43" s="52">
        <f>IFERROR(PMT(INDEX(Data[],ROW()-ROW(Data[[#Headers],[30]]),1)/12,Data[[#Headers],[30]]*12,-LoanAmount,0,IF(PaymentsDue="End of Period",0,1)), "")</f>
        <v/>
      </c>
      <c r="K43" s="40" t="n"/>
    </row>
    <row r="44" ht="19.9" customHeight="1">
      <c r="A44" s="40" t="n"/>
      <c r="B44" s="38">
        <f>IFERROR(MAX((ROW()-ROW(Data[[#Headers],[RATE]]))*0.0025+0.0175,0.0025), "")</f>
        <v/>
      </c>
      <c r="C44" s="52">
        <f>IFERROR(PMT(INDEX(Data[],ROW()-ROW(Data[[#Headers],[3]]),1)/12,Data[[#Headers],[3]]*12,-LoanAmount,0,IF(PaymentsDue="End of Period",0,1)), "")</f>
        <v/>
      </c>
      <c r="D44" s="52">
        <f>IFERROR(PMT(INDEX(Data[],ROW()-ROW(Data[[#Headers],[5]]),1)/12,Data[[#Headers],[5]]*12,-LoanAmount,0,IF(PaymentsDue="End of Period",0,1)), "")</f>
        <v/>
      </c>
      <c r="E44" s="52">
        <f>IFERROR(PMT(INDEX(Data[],ROW()-ROW(Data[[#Headers],[10]]),1)/12,Data[[#Headers],[10]]*12,-LoanAmount,0,IF(PaymentsDue="End of Period",0,1)), "")</f>
        <v/>
      </c>
      <c r="F44" s="52">
        <f>IFERROR(PMT(INDEX(Data[],ROW()-ROW(Data[[#Headers],[12]]),1)/12,Data[[#Headers],[12]]*12,-LoanAmount,0,IF(PaymentsDue="End of Period",0,1)), "")</f>
        <v/>
      </c>
      <c r="G44" s="52">
        <f>IFERROR(PMT(INDEX(Data[],ROW()-ROW(Data[[#Headers],[15]]),1)/12,Data[[#Headers],[15]]*12,-LoanAmount,0,IF(PaymentsDue="End of Period",0,1)), "")</f>
        <v/>
      </c>
      <c r="H44" s="52">
        <f>IFERROR(PMT(INDEX(Data[],ROW()-ROW(Data[[#Headers],[20]]),1)/12,Data[[#Headers],[20]]*12,-LoanAmount,0,IF(PaymentsDue="End of Period",0,1)), "")</f>
        <v/>
      </c>
      <c r="I44" s="52">
        <f>IFERROR(PMT(INDEX(Data[],ROW()-ROW(Data[[#Headers],[25]]),1)/12,Data[[#Headers],[25]]*12,-LoanAmount,0,IF(PaymentsDue="End of Period",0,1)), "")</f>
        <v/>
      </c>
      <c r="J44" s="52">
        <f>IFERROR(PMT(INDEX(Data[],ROW()-ROW(Data[[#Headers],[30]]),1)/12,Data[[#Headers],[30]]*12,-LoanAmount,0,IF(PaymentsDue="End of Period",0,1)), "")</f>
        <v/>
      </c>
      <c r="K44" s="40" t="n"/>
    </row>
    <row r="45" ht="19.9" customHeight="1">
      <c r="A45" s="40" t="n"/>
      <c r="B45" s="38">
        <f>IFERROR(MAX((ROW()-ROW(Data[[#Headers],[RATE]]))*0.0025+0.0175,0.0025), "")</f>
        <v/>
      </c>
      <c r="C45" s="52">
        <f>IFERROR(PMT(INDEX(Data[],ROW()-ROW(Data[[#Headers],[3]]),1)/12,Data[[#Headers],[3]]*12,-LoanAmount,0,IF(PaymentsDue="End of Period",0,1)), "")</f>
        <v/>
      </c>
      <c r="D45" s="52">
        <f>IFERROR(PMT(INDEX(Data[],ROW()-ROW(Data[[#Headers],[5]]),1)/12,Data[[#Headers],[5]]*12,-LoanAmount,0,IF(PaymentsDue="End of Period",0,1)), "")</f>
        <v/>
      </c>
      <c r="E45" s="52">
        <f>IFERROR(PMT(INDEX(Data[],ROW()-ROW(Data[[#Headers],[10]]),1)/12,Data[[#Headers],[10]]*12,-LoanAmount,0,IF(PaymentsDue="End of Period",0,1)), "")</f>
        <v/>
      </c>
      <c r="F45" s="52">
        <f>IFERROR(PMT(INDEX(Data[],ROW()-ROW(Data[[#Headers],[12]]),1)/12,Data[[#Headers],[12]]*12,-LoanAmount,0,IF(PaymentsDue="End of Period",0,1)), "")</f>
        <v/>
      </c>
      <c r="G45" s="52">
        <f>IFERROR(PMT(INDEX(Data[],ROW()-ROW(Data[[#Headers],[15]]),1)/12,Data[[#Headers],[15]]*12,-LoanAmount,0,IF(PaymentsDue="End of Period",0,1)), "")</f>
        <v/>
      </c>
      <c r="H45" s="52">
        <f>IFERROR(PMT(INDEX(Data[],ROW()-ROW(Data[[#Headers],[20]]),1)/12,Data[[#Headers],[20]]*12,-LoanAmount,0,IF(PaymentsDue="End of Period",0,1)), "")</f>
        <v/>
      </c>
      <c r="I45" s="52">
        <f>IFERROR(PMT(INDEX(Data[],ROW()-ROW(Data[[#Headers],[25]]),1)/12,Data[[#Headers],[25]]*12,-LoanAmount,0,IF(PaymentsDue="End of Period",0,1)), "")</f>
        <v/>
      </c>
      <c r="J45" s="52">
        <f>IFERROR(PMT(INDEX(Data[],ROW()-ROW(Data[[#Headers],[30]]),1)/12,Data[[#Headers],[30]]*12,-LoanAmount,0,IF(PaymentsDue="End of Period",0,1)), "")</f>
        <v/>
      </c>
      <c r="K45" s="40" t="n"/>
    </row>
    <row r="46" ht="19.9" customHeight="1">
      <c r="A46" s="40" t="n"/>
      <c r="B46" s="38">
        <f>IFERROR(MAX((ROW()-ROW(Data[[#Headers],[RATE]]))*0.0025+0.0175,0.0025), "")</f>
        <v/>
      </c>
      <c r="C46" s="52">
        <f>IFERROR(PMT(INDEX(Data[],ROW()-ROW(Data[[#Headers],[3]]),1)/12,Data[[#Headers],[3]]*12,-LoanAmount,0,IF(PaymentsDue="End of Period",0,1)), "")</f>
        <v/>
      </c>
      <c r="D46" s="52">
        <f>IFERROR(PMT(INDEX(Data[],ROW()-ROW(Data[[#Headers],[5]]),1)/12,Data[[#Headers],[5]]*12,-LoanAmount,0,IF(PaymentsDue="End of Period",0,1)), "")</f>
        <v/>
      </c>
      <c r="E46" s="52">
        <f>IFERROR(PMT(INDEX(Data[],ROW()-ROW(Data[[#Headers],[10]]),1)/12,Data[[#Headers],[10]]*12,-LoanAmount,0,IF(PaymentsDue="End of Period",0,1)), "")</f>
        <v/>
      </c>
      <c r="F46" s="52">
        <f>IFERROR(PMT(INDEX(Data[],ROW()-ROW(Data[[#Headers],[12]]),1)/12,Data[[#Headers],[12]]*12,-LoanAmount,0,IF(PaymentsDue="End of Period",0,1)), "")</f>
        <v/>
      </c>
      <c r="G46" s="52">
        <f>IFERROR(PMT(INDEX(Data[],ROW()-ROW(Data[[#Headers],[15]]),1)/12,Data[[#Headers],[15]]*12,-LoanAmount,0,IF(PaymentsDue="End of Period",0,1)), "")</f>
        <v/>
      </c>
      <c r="H46" s="52">
        <f>IFERROR(PMT(INDEX(Data[],ROW()-ROW(Data[[#Headers],[20]]),1)/12,Data[[#Headers],[20]]*12,-LoanAmount,0,IF(PaymentsDue="End of Period",0,1)), "")</f>
        <v/>
      </c>
      <c r="I46" s="52">
        <f>IFERROR(PMT(INDEX(Data[],ROW()-ROW(Data[[#Headers],[25]]),1)/12,Data[[#Headers],[25]]*12,-LoanAmount,0,IF(PaymentsDue="End of Period",0,1)), "")</f>
        <v/>
      </c>
      <c r="J46" s="52">
        <f>IFERROR(PMT(INDEX(Data[],ROW()-ROW(Data[[#Headers],[30]]),1)/12,Data[[#Headers],[30]]*12,-LoanAmount,0,IF(PaymentsDue="End of Period",0,1)), "")</f>
        <v/>
      </c>
      <c r="K46" s="40" t="n"/>
    </row>
    <row r="47" ht="19.9" customHeight="1">
      <c r="A47" s="40" t="n"/>
      <c r="B47" s="38">
        <f>IFERROR(MAX((ROW()-ROW(Data[[#Headers],[RATE]]))*0.0025+0.0175,0.0025), "")</f>
        <v/>
      </c>
      <c r="C47" s="52">
        <f>IFERROR(PMT(INDEX(Data[],ROW()-ROW(Data[[#Headers],[3]]),1)/12,Data[[#Headers],[3]]*12,-LoanAmount,0,IF(PaymentsDue="End of Period",0,1)), "")</f>
        <v/>
      </c>
      <c r="D47" s="52">
        <f>IFERROR(PMT(INDEX(Data[],ROW()-ROW(Data[[#Headers],[5]]),1)/12,Data[[#Headers],[5]]*12,-LoanAmount,0,IF(PaymentsDue="End of Period",0,1)), "")</f>
        <v/>
      </c>
      <c r="E47" s="52">
        <f>IFERROR(PMT(INDEX(Data[],ROW()-ROW(Data[[#Headers],[10]]),1)/12,Data[[#Headers],[10]]*12,-LoanAmount,0,IF(PaymentsDue="End of Period",0,1)), "")</f>
        <v/>
      </c>
      <c r="F47" s="52">
        <f>IFERROR(PMT(INDEX(Data[],ROW()-ROW(Data[[#Headers],[12]]),1)/12,Data[[#Headers],[12]]*12,-LoanAmount,0,IF(PaymentsDue="End of Period",0,1)), "")</f>
        <v/>
      </c>
      <c r="G47" s="52">
        <f>IFERROR(PMT(INDEX(Data[],ROW()-ROW(Data[[#Headers],[15]]),1)/12,Data[[#Headers],[15]]*12,-LoanAmount,0,IF(PaymentsDue="End of Period",0,1)), "")</f>
        <v/>
      </c>
      <c r="H47" s="52">
        <f>IFERROR(PMT(INDEX(Data[],ROW()-ROW(Data[[#Headers],[20]]),1)/12,Data[[#Headers],[20]]*12,-LoanAmount,0,IF(PaymentsDue="End of Period",0,1)), "")</f>
        <v/>
      </c>
      <c r="I47" s="52">
        <f>IFERROR(PMT(INDEX(Data[],ROW()-ROW(Data[[#Headers],[25]]),1)/12,Data[[#Headers],[25]]*12,-LoanAmount,0,IF(PaymentsDue="End of Period",0,1)), "")</f>
        <v/>
      </c>
      <c r="J47" s="52">
        <f>IFERROR(PMT(INDEX(Data[],ROW()-ROW(Data[[#Headers],[30]]),1)/12,Data[[#Headers],[30]]*12,-LoanAmount,0,IF(PaymentsDue="End of Period",0,1)), "")</f>
        <v/>
      </c>
      <c r="K47" s="40" t="n"/>
    </row>
    <row r="48" ht="19.9" customHeight="1">
      <c r="A48" s="40" t="n"/>
      <c r="B48" s="38">
        <f>IFERROR(MAX((ROW()-ROW(Data[[#Headers],[RATE]]))*0.0025+0.0175,0.0025), "")</f>
        <v/>
      </c>
      <c r="C48" s="52">
        <f>IFERROR(PMT(INDEX(Data[],ROW()-ROW(Data[[#Headers],[3]]),1)/12,Data[[#Headers],[3]]*12,-LoanAmount,0,IF(PaymentsDue="End of Period",0,1)), "")</f>
        <v/>
      </c>
      <c r="D48" s="52">
        <f>IFERROR(PMT(INDEX(Data[],ROW()-ROW(Data[[#Headers],[5]]),1)/12,Data[[#Headers],[5]]*12,-LoanAmount,0,IF(PaymentsDue="End of Period",0,1)), "")</f>
        <v/>
      </c>
      <c r="E48" s="52">
        <f>IFERROR(PMT(INDEX(Data[],ROW()-ROW(Data[[#Headers],[10]]),1)/12,Data[[#Headers],[10]]*12,-LoanAmount,0,IF(PaymentsDue="End of Period",0,1)), "")</f>
        <v/>
      </c>
      <c r="F48" s="52">
        <f>IFERROR(PMT(INDEX(Data[],ROW()-ROW(Data[[#Headers],[12]]),1)/12,Data[[#Headers],[12]]*12,-LoanAmount,0,IF(PaymentsDue="End of Period",0,1)), "")</f>
        <v/>
      </c>
      <c r="G48" s="52">
        <f>IFERROR(PMT(INDEX(Data[],ROW()-ROW(Data[[#Headers],[15]]),1)/12,Data[[#Headers],[15]]*12,-LoanAmount,0,IF(PaymentsDue="End of Period",0,1)), "")</f>
        <v/>
      </c>
      <c r="H48" s="52">
        <f>IFERROR(PMT(INDEX(Data[],ROW()-ROW(Data[[#Headers],[20]]),1)/12,Data[[#Headers],[20]]*12,-LoanAmount,0,IF(PaymentsDue="End of Period",0,1)), "")</f>
        <v/>
      </c>
      <c r="I48" s="52">
        <f>IFERROR(PMT(INDEX(Data[],ROW()-ROW(Data[[#Headers],[25]]),1)/12,Data[[#Headers],[25]]*12,-LoanAmount,0,IF(PaymentsDue="End of Period",0,1)), "")</f>
        <v/>
      </c>
      <c r="J48" s="52">
        <f>IFERROR(PMT(INDEX(Data[],ROW()-ROW(Data[[#Headers],[30]]),1)/12,Data[[#Headers],[30]]*12,-LoanAmount,0,IF(PaymentsDue="End of Period",0,1)), "")</f>
        <v/>
      </c>
      <c r="K48" s="40" t="n"/>
    </row>
    <row r="49" ht="19.9" customHeight="1">
      <c r="A49" s="40" t="n"/>
      <c r="B49" s="38">
        <f>IFERROR(MAX((ROW()-ROW(Data[[#Headers],[RATE]]))*0.0025+0.0175,0.0025), "")</f>
        <v/>
      </c>
      <c r="C49" s="52">
        <f>IFERROR(PMT(INDEX(Data[],ROW()-ROW(Data[[#Headers],[3]]),1)/12,Data[[#Headers],[3]]*12,-LoanAmount,0,IF(PaymentsDue="End of Period",0,1)), "")</f>
        <v/>
      </c>
      <c r="D49" s="52">
        <f>IFERROR(PMT(INDEX(Data[],ROW()-ROW(Data[[#Headers],[5]]),1)/12,Data[[#Headers],[5]]*12,-LoanAmount,0,IF(PaymentsDue="End of Period",0,1)), "")</f>
        <v/>
      </c>
      <c r="E49" s="52">
        <f>IFERROR(PMT(INDEX(Data[],ROW()-ROW(Data[[#Headers],[10]]),1)/12,Data[[#Headers],[10]]*12,-LoanAmount,0,IF(PaymentsDue="End of Period",0,1)), "")</f>
        <v/>
      </c>
      <c r="F49" s="52">
        <f>IFERROR(PMT(INDEX(Data[],ROW()-ROW(Data[[#Headers],[12]]),1)/12,Data[[#Headers],[12]]*12,-LoanAmount,0,IF(PaymentsDue="End of Period",0,1)), "")</f>
        <v/>
      </c>
      <c r="G49" s="52">
        <f>IFERROR(PMT(INDEX(Data[],ROW()-ROW(Data[[#Headers],[15]]),1)/12,Data[[#Headers],[15]]*12,-LoanAmount,0,IF(PaymentsDue="End of Period",0,1)), "")</f>
        <v/>
      </c>
      <c r="H49" s="52">
        <f>IFERROR(PMT(INDEX(Data[],ROW()-ROW(Data[[#Headers],[20]]),1)/12,Data[[#Headers],[20]]*12,-LoanAmount,0,IF(PaymentsDue="End of Period",0,1)), "")</f>
        <v/>
      </c>
      <c r="I49" s="52">
        <f>IFERROR(PMT(INDEX(Data[],ROW()-ROW(Data[[#Headers],[25]]),1)/12,Data[[#Headers],[25]]*12,-LoanAmount,0,IF(PaymentsDue="End of Period",0,1)), "")</f>
        <v/>
      </c>
      <c r="J49" s="52">
        <f>IFERROR(PMT(INDEX(Data[],ROW()-ROW(Data[[#Headers],[30]]),1)/12,Data[[#Headers],[30]]*12,-LoanAmount,0,IF(PaymentsDue="End of Period",0,1)), "")</f>
        <v/>
      </c>
      <c r="K49" s="40" t="n"/>
    </row>
    <row r="50" ht="19.9" customHeight="1">
      <c r="A50" s="40" t="n"/>
      <c r="B50" s="38">
        <f>IFERROR(MAX((ROW()-ROW(Data[[#Headers],[RATE]]))*0.0025+0.0175,0.0025), "")</f>
        <v/>
      </c>
      <c r="C50" s="52">
        <f>IFERROR(PMT(INDEX(Data[],ROW()-ROW(Data[[#Headers],[3]]),1)/12,Data[[#Headers],[3]]*12,-LoanAmount,0,IF(PaymentsDue="End of Period",0,1)), "")</f>
        <v/>
      </c>
      <c r="D50" s="52">
        <f>IFERROR(PMT(INDEX(Data[],ROW()-ROW(Data[[#Headers],[5]]),1)/12,Data[[#Headers],[5]]*12,-LoanAmount,0,IF(PaymentsDue="End of Period",0,1)), "")</f>
        <v/>
      </c>
      <c r="E50" s="52">
        <f>IFERROR(PMT(INDEX(Data[],ROW()-ROW(Data[[#Headers],[10]]),1)/12,Data[[#Headers],[10]]*12,-LoanAmount,0,IF(PaymentsDue="End of Period",0,1)), "")</f>
        <v/>
      </c>
      <c r="F50" s="52">
        <f>IFERROR(PMT(INDEX(Data[],ROW()-ROW(Data[[#Headers],[12]]),1)/12,Data[[#Headers],[12]]*12,-LoanAmount,0,IF(PaymentsDue="End of Period",0,1)), "")</f>
        <v/>
      </c>
      <c r="G50" s="52">
        <f>IFERROR(PMT(INDEX(Data[],ROW()-ROW(Data[[#Headers],[15]]),1)/12,Data[[#Headers],[15]]*12,-LoanAmount,0,IF(PaymentsDue="End of Period",0,1)), "")</f>
        <v/>
      </c>
      <c r="H50" s="52">
        <f>IFERROR(PMT(INDEX(Data[],ROW()-ROW(Data[[#Headers],[20]]),1)/12,Data[[#Headers],[20]]*12,-LoanAmount,0,IF(PaymentsDue="End of Period",0,1)), "")</f>
        <v/>
      </c>
      <c r="I50" s="52">
        <f>IFERROR(PMT(INDEX(Data[],ROW()-ROW(Data[[#Headers],[25]]),1)/12,Data[[#Headers],[25]]*12,-LoanAmount,0,IF(PaymentsDue="End of Period",0,1)), "")</f>
        <v/>
      </c>
      <c r="J50" s="52">
        <f>IFERROR(PMT(INDEX(Data[],ROW()-ROW(Data[[#Headers],[30]]),1)/12,Data[[#Headers],[30]]*12,-LoanAmount,0,IF(PaymentsDue="End of Period",0,1)), "")</f>
        <v/>
      </c>
      <c r="K50" s="40" t="n"/>
    </row>
    <row r="51" ht="19.9" customHeight="1">
      <c r="A51" s="40" t="n"/>
      <c r="B51" s="38">
        <f>IFERROR(MAX((ROW()-ROW(Data[[#Headers],[RATE]]))*0.0025+0.0175,0.0025), "")</f>
        <v/>
      </c>
      <c r="C51" s="52">
        <f>IFERROR(PMT(INDEX(Data[],ROW()-ROW(Data[[#Headers],[3]]),1)/12,Data[[#Headers],[3]]*12,-LoanAmount,0,IF(PaymentsDue="End of Period",0,1)), "")</f>
        <v/>
      </c>
      <c r="D51" s="52">
        <f>IFERROR(PMT(INDEX(Data[],ROW()-ROW(Data[[#Headers],[5]]),1)/12,Data[[#Headers],[5]]*12,-LoanAmount,0,IF(PaymentsDue="End of Period",0,1)), "")</f>
        <v/>
      </c>
      <c r="E51" s="52">
        <f>IFERROR(PMT(INDEX(Data[],ROW()-ROW(Data[[#Headers],[10]]),1)/12,Data[[#Headers],[10]]*12,-LoanAmount,0,IF(PaymentsDue="End of Period",0,1)), "")</f>
        <v/>
      </c>
      <c r="F51" s="52">
        <f>IFERROR(PMT(INDEX(Data[],ROW()-ROW(Data[[#Headers],[12]]),1)/12,Data[[#Headers],[12]]*12,-LoanAmount,0,IF(PaymentsDue="End of Period",0,1)), "")</f>
        <v/>
      </c>
      <c r="G51" s="52">
        <f>IFERROR(PMT(INDEX(Data[],ROW()-ROW(Data[[#Headers],[15]]),1)/12,Data[[#Headers],[15]]*12,-LoanAmount,0,IF(PaymentsDue="End of Period",0,1)), "")</f>
        <v/>
      </c>
      <c r="H51" s="52">
        <f>IFERROR(PMT(INDEX(Data[],ROW()-ROW(Data[[#Headers],[20]]),1)/12,Data[[#Headers],[20]]*12,-LoanAmount,0,IF(PaymentsDue="End of Period",0,1)), "")</f>
        <v/>
      </c>
      <c r="I51" s="52">
        <f>IFERROR(PMT(INDEX(Data[],ROW()-ROW(Data[[#Headers],[25]]),1)/12,Data[[#Headers],[25]]*12,-LoanAmount,0,IF(PaymentsDue="End of Period",0,1)), "")</f>
        <v/>
      </c>
      <c r="J51" s="52">
        <f>IFERROR(PMT(INDEX(Data[],ROW()-ROW(Data[[#Headers],[30]]),1)/12,Data[[#Headers],[30]]*12,-LoanAmount,0,IF(PaymentsDue="End of Period",0,1)), "")</f>
        <v/>
      </c>
      <c r="K51" s="40" t="n"/>
    </row>
    <row r="52" ht="19.9" customHeight="1">
      <c r="A52" s="40" t="n"/>
      <c r="B52" s="38">
        <f>IFERROR(MAX((ROW()-ROW(Data[[#Headers],[RATE]]))*0.0025+0.0175,0.0025), "")</f>
        <v/>
      </c>
      <c r="C52" s="52">
        <f>IFERROR(PMT(INDEX(Data[],ROW()-ROW(Data[[#Headers],[3]]),1)/12,Data[[#Headers],[3]]*12,-LoanAmount,0,IF(PaymentsDue="End of Period",0,1)), "")</f>
        <v/>
      </c>
      <c r="D52" s="52">
        <f>IFERROR(PMT(INDEX(Data[],ROW()-ROW(Data[[#Headers],[5]]),1)/12,Data[[#Headers],[5]]*12,-LoanAmount,0,IF(PaymentsDue="End of Period",0,1)), "")</f>
        <v/>
      </c>
      <c r="E52" s="52">
        <f>IFERROR(PMT(INDEX(Data[],ROW()-ROW(Data[[#Headers],[10]]),1)/12,Data[[#Headers],[10]]*12,-LoanAmount,0,IF(PaymentsDue="End of Period",0,1)), "")</f>
        <v/>
      </c>
      <c r="F52" s="52">
        <f>IFERROR(PMT(INDEX(Data[],ROW()-ROW(Data[[#Headers],[12]]),1)/12,Data[[#Headers],[12]]*12,-LoanAmount,0,IF(PaymentsDue="End of Period",0,1)), "")</f>
        <v/>
      </c>
      <c r="G52" s="52">
        <f>IFERROR(PMT(INDEX(Data[],ROW()-ROW(Data[[#Headers],[15]]),1)/12,Data[[#Headers],[15]]*12,-LoanAmount,0,IF(PaymentsDue="End of Period",0,1)), "")</f>
        <v/>
      </c>
      <c r="H52" s="52">
        <f>IFERROR(PMT(INDEX(Data[],ROW()-ROW(Data[[#Headers],[20]]),1)/12,Data[[#Headers],[20]]*12,-LoanAmount,0,IF(PaymentsDue="End of Period",0,1)), "")</f>
        <v/>
      </c>
      <c r="I52" s="52">
        <f>IFERROR(PMT(INDEX(Data[],ROW()-ROW(Data[[#Headers],[25]]),1)/12,Data[[#Headers],[25]]*12,-LoanAmount,0,IF(PaymentsDue="End of Period",0,1)), "")</f>
        <v/>
      </c>
      <c r="J52" s="52">
        <f>IFERROR(PMT(INDEX(Data[],ROW()-ROW(Data[[#Headers],[30]]),1)/12,Data[[#Headers],[30]]*12,-LoanAmount,0,IF(PaymentsDue="End of Period",0,1)), "")</f>
        <v/>
      </c>
      <c r="K52" s="40" t="n"/>
    </row>
    <row r="53" ht="19.9" customHeight="1">
      <c r="A53" s="40" t="n"/>
      <c r="B53" s="38">
        <f>IFERROR(MAX((ROW()-ROW(Data[[#Headers],[RATE]]))*0.0025+0.0175,0.0025), "")</f>
        <v/>
      </c>
      <c r="C53" s="52">
        <f>IFERROR(PMT(INDEX(Data[],ROW()-ROW(Data[[#Headers],[3]]),1)/12,Data[[#Headers],[3]]*12,-LoanAmount,0,IF(PaymentsDue="End of Period",0,1)), "")</f>
        <v/>
      </c>
      <c r="D53" s="52">
        <f>IFERROR(PMT(INDEX(Data[],ROW()-ROW(Data[[#Headers],[5]]),1)/12,Data[[#Headers],[5]]*12,-LoanAmount,0,IF(PaymentsDue="End of Period",0,1)), "")</f>
        <v/>
      </c>
      <c r="E53" s="52">
        <f>IFERROR(PMT(INDEX(Data[],ROW()-ROW(Data[[#Headers],[10]]),1)/12,Data[[#Headers],[10]]*12,-LoanAmount,0,IF(PaymentsDue="End of Period",0,1)), "")</f>
        <v/>
      </c>
      <c r="F53" s="52">
        <f>IFERROR(PMT(INDEX(Data[],ROW()-ROW(Data[[#Headers],[12]]),1)/12,Data[[#Headers],[12]]*12,-LoanAmount,0,IF(PaymentsDue="End of Period",0,1)), "")</f>
        <v/>
      </c>
      <c r="G53" s="52">
        <f>IFERROR(PMT(INDEX(Data[],ROW()-ROW(Data[[#Headers],[15]]),1)/12,Data[[#Headers],[15]]*12,-LoanAmount,0,IF(PaymentsDue="End of Period",0,1)), "")</f>
        <v/>
      </c>
      <c r="H53" s="52">
        <f>IFERROR(PMT(INDEX(Data[],ROW()-ROW(Data[[#Headers],[20]]),1)/12,Data[[#Headers],[20]]*12,-LoanAmount,0,IF(PaymentsDue="End of Period",0,1)), "")</f>
        <v/>
      </c>
      <c r="I53" s="52">
        <f>IFERROR(PMT(INDEX(Data[],ROW()-ROW(Data[[#Headers],[25]]),1)/12,Data[[#Headers],[25]]*12,-LoanAmount,0,IF(PaymentsDue="End of Period",0,1)), "")</f>
        <v/>
      </c>
      <c r="J53" s="52">
        <f>IFERROR(PMT(INDEX(Data[],ROW()-ROW(Data[[#Headers],[30]]),1)/12,Data[[#Headers],[30]]*12,-LoanAmount,0,IF(PaymentsDue="End of Period",0,1)), "")</f>
        <v/>
      </c>
      <c r="K53" s="40" t="n"/>
    </row>
    <row r="54" ht="19.9" customHeight="1">
      <c r="A54" s="40" t="n"/>
      <c r="B54" s="38">
        <f>IFERROR(MAX((ROW()-ROW(Data[[#Headers],[RATE]]))*0.0025+0.0175,0.0025), "")</f>
        <v/>
      </c>
      <c r="C54" s="52">
        <f>IFERROR(PMT(INDEX(Data[],ROW()-ROW(Data[[#Headers],[3]]),1)/12,Data[[#Headers],[3]]*12,-LoanAmount,0,IF(PaymentsDue="End of Period",0,1)), "")</f>
        <v/>
      </c>
      <c r="D54" s="52">
        <f>IFERROR(PMT(INDEX(Data[],ROW()-ROW(Data[[#Headers],[5]]),1)/12,Data[[#Headers],[5]]*12,-LoanAmount,0,IF(PaymentsDue="End of Period",0,1)), "")</f>
        <v/>
      </c>
      <c r="E54" s="52">
        <f>IFERROR(PMT(INDEX(Data[],ROW()-ROW(Data[[#Headers],[10]]),1)/12,Data[[#Headers],[10]]*12,-LoanAmount,0,IF(PaymentsDue="End of Period",0,1)), "")</f>
        <v/>
      </c>
      <c r="F54" s="52">
        <f>IFERROR(PMT(INDEX(Data[],ROW()-ROW(Data[[#Headers],[12]]),1)/12,Data[[#Headers],[12]]*12,-LoanAmount,0,IF(PaymentsDue="End of Period",0,1)), "")</f>
        <v/>
      </c>
      <c r="G54" s="52">
        <f>IFERROR(PMT(INDEX(Data[],ROW()-ROW(Data[[#Headers],[15]]),1)/12,Data[[#Headers],[15]]*12,-LoanAmount,0,IF(PaymentsDue="End of Period",0,1)), "")</f>
        <v/>
      </c>
      <c r="H54" s="52">
        <f>IFERROR(PMT(INDEX(Data[],ROW()-ROW(Data[[#Headers],[20]]),1)/12,Data[[#Headers],[20]]*12,-LoanAmount,0,IF(PaymentsDue="End of Period",0,1)), "")</f>
        <v/>
      </c>
      <c r="I54" s="52">
        <f>IFERROR(PMT(INDEX(Data[],ROW()-ROW(Data[[#Headers],[25]]),1)/12,Data[[#Headers],[25]]*12,-LoanAmount,0,IF(PaymentsDue="End of Period",0,1)), "")</f>
        <v/>
      </c>
      <c r="J54" s="52">
        <f>IFERROR(PMT(INDEX(Data[],ROW()-ROW(Data[[#Headers],[30]]),1)/12,Data[[#Headers],[30]]*12,-LoanAmount,0,IF(PaymentsDue="End of Period",0,1)), "")</f>
        <v/>
      </c>
      <c r="K54" s="40" t="n"/>
    </row>
    <row r="55" ht="19.9" customHeight="1">
      <c r="A55" s="40" t="n"/>
      <c r="B55" s="38">
        <f>IFERROR(MAX((ROW()-ROW(Data[[#Headers],[RATE]]))*0.0025+0.0175,0.0025), "")</f>
        <v/>
      </c>
      <c r="C55" s="52">
        <f>IFERROR(PMT(INDEX(Data[],ROW()-ROW(Data[[#Headers],[3]]),1)/12,Data[[#Headers],[3]]*12,-LoanAmount,0,IF(PaymentsDue="End of Period",0,1)), "")</f>
        <v/>
      </c>
      <c r="D55" s="52">
        <f>IFERROR(PMT(INDEX(Data[],ROW()-ROW(Data[[#Headers],[5]]),1)/12,Data[[#Headers],[5]]*12,-LoanAmount,0,IF(PaymentsDue="End of Period",0,1)), "")</f>
        <v/>
      </c>
      <c r="E55" s="52">
        <f>IFERROR(PMT(INDEX(Data[],ROW()-ROW(Data[[#Headers],[10]]),1)/12,Data[[#Headers],[10]]*12,-LoanAmount,0,IF(PaymentsDue="End of Period",0,1)), "")</f>
        <v/>
      </c>
      <c r="F55" s="52">
        <f>IFERROR(PMT(INDEX(Data[],ROW()-ROW(Data[[#Headers],[12]]),1)/12,Data[[#Headers],[12]]*12,-LoanAmount,0,IF(PaymentsDue="End of Period",0,1)), "")</f>
        <v/>
      </c>
      <c r="G55" s="52">
        <f>IFERROR(PMT(INDEX(Data[],ROW()-ROW(Data[[#Headers],[15]]),1)/12,Data[[#Headers],[15]]*12,-LoanAmount,0,IF(PaymentsDue="End of Period",0,1)), "")</f>
        <v/>
      </c>
      <c r="H55" s="52">
        <f>IFERROR(PMT(INDEX(Data[],ROW()-ROW(Data[[#Headers],[20]]),1)/12,Data[[#Headers],[20]]*12,-LoanAmount,0,IF(PaymentsDue="End of Period",0,1)), "")</f>
        <v/>
      </c>
      <c r="I55" s="52">
        <f>IFERROR(PMT(INDEX(Data[],ROW()-ROW(Data[[#Headers],[25]]),1)/12,Data[[#Headers],[25]]*12,-LoanAmount,0,IF(PaymentsDue="End of Period",0,1)), "")</f>
        <v/>
      </c>
      <c r="J55" s="52">
        <f>IFERROR(PMT(INDEX(Data[],ROW()-ROW(Data[[#Headers],[30]]),1)/12,Data[[#Headers],[30]]*12,-LoanAmount,0,IF(PaymentsDue="End of Period",0,1)), "")</f>
        <v/>
      </c>
      <c r="K55" s="40" t="n"/>
    </row>
    <row r="56" ht="19.9" customHeight="1">
      <c r="A56" s="40" t="n"/>
      <c r="B56" s="38">
        <f>IFERROR(MAX((ROW()-ROW(Data[[#Headers],[RATE]]))*0.0025+0.0175,0.0025), "")</f>
        <v/>
      </c>
      <c r="C56" s="52">
        <f>IFERROR(PMT(INDEX(Data[],ROW()-ROW(Data[[#Headers],[3]]),1)/12,Data[[#Headers],[3]]*12,-LoanAmount,0,IF(PaymentsDue="End of Period",0,1)), "")</f>
        <v/>
      </c>
      <c r="D56" s="52">
        <f>IFERROR(PMT(INDEX(Data[],ROW()-ROW(Data[[#Headers],[5]]),1)/12,Data[[#Headers],[5]]*12,-LoanAmount,0,IF(PaymentsDue="End of Period",0,1)), "")</f>
        <v/>
      </c>
      <c r="E56" s="52">
        <f>IFERROR(PMT(INDEX(Data[],ROW()-ROW(Data[[#Headers],[10]]),1)/12,Data[[#Headers],[10]]*12,-LoanAmount,0,IF(PaymentsDue="End of Period",0,1)), "")</f>
        <v/>
      </c>
      <c r="F56" s="52">
        <f>IFERROR(PMT(INDEX(Data[],ROW()-ROW(Data[[#Headers],[12]]),1)/12,Data[[#Headers],[12]]*12,-LoanAmount,0,IF(PaymentsDue="End of Period",0,1)), "")</f>
        <v/>
      </c>
      <c r="G56" s="52">
        <f>IFERROR(PMT(INDEX(Data[],ROW()-ROW(Data[[#Headers],[15]]),1)/12,Data[[#Headers],[15]]*12,-LoanAmount,0,IF(PaymentsDue="End of Period",0,1)), "")</f>
        <v/>
      </c>
      <c r="H56" s="52">
        <f>IFERROR(PMT(INDEX(Data[],ROW()-ROW(Data[[#Headers],[20]]),1)/12,Data[[#Headers],[20]]*12,-LoanAmount,0,IF(PaymentsDue="End of Period",0,1)), "")</f>
        <v/>
      </c>
      <c r="I56" s="52">
        <f>IFERROR(PMT(INDEX(Data[],ROW()-ROW(Data[[#Headers],[25]]),1)/12,Data[[#Headers],[25]]*12,-LoanAmount,0,IF(PaymentsDue="End of Period",0,1)), "")</f>
        <v/>
      </c>
      <c r="J56" s="52">
        <f>IFERROR(PMT(INDEX(Data[],ROW()-ROW(Data[[#Headers],[30]]),1)/12,Data[[#Headers],[30]]*12,-LoanAmount,0,IF(PaymentsDue="End of Period",0,1)), "")</f>
        <v/>
      </c>
      <c r="K56" s="40" t="n"/>
    </row>
    <row r="57" ht="19.9" customHeight="1">
      <c r="A57" s="40" t="n"/>
      <c r="B57" s="38">
        <f>IFERROR(MAX((ROW()-ROW(Data[[#Headers],[RATE]]))*0.0025+0.0175,0.0025), "")</f>
        <v/>
      </c>
      <c r="C57" s="52">
        <f>IFERROR(PMT(INDEX(Data[],ROW()-ROW(Data[[#Headers],[3]]),1)/12,Data[[#Headers],[3]]*12,-LoanAmount,0,IF(PaymentsDue="End of Period",0,1)), "")</f>
        <v/>
      </c>
      <c r="D57" s="52">
        <f>IFERROR(PMT(INDEX(Data[],ROW()-ROW(Data[[#Headers],[5]]),1)/12,Data[[#Headers],[5]]*12,-LoanAmount,0,IF(PaymentsDue="End of Period",0,1)), "")</f>
        <v/>
      </c>
      <c r="E57" s="52">
        <f>IFERROR(PMT(INDEX(Data[],ROW()-ROW(Data[[#Headers],[10]]),1)/12,Data[[#Headers],[10]]*12,-LoanAmount,0,IF(PaymentsDue="End of Period",0,1)), "")</f>
        <v/>
      </c>
      <c r="F57" s="52">
        <f>IFERROR(PMT(INDEX(Data[],ROW()-ROW(Data[[#Headers],[12]]),1)/12,Data[[#Headers],[12]]*12,-LoanAmount,0,IF(PaymentsDue="End of Period",0,1)), "")</f>
        <v/>
      </c>
      <c r="G57" s="52">
        <f>IFERROR(PMT(INDEX(Data[],ROW()-ROW(Data[[#Headers],[15]]),1)/12,Data[[#Headers],[15]]*12,-LoanAmount,0,IF(PaymentsDue="End of Period",0,1)), "")</f>
        <v/>
      </c>
      <c r="H57" s="52">
        <f>IFERROR(PMT(INDEX(Data[],ROW()-ROW(Data[[#Headers],[20]]),1)/12,Data[[#Headers],[20]]*12,-LoanAmount,0,IF(PaymentsDue="End of Period",0,1)), "")</f>
        <v/>
      </c>
      <c r="I57" s="52">
        <f>IFERROR(PMT(INDEX(Data[],ROW()-ROW(Data[[#Headers],[25]]),1)/12,Data[[#Headers],[25]]*12,-LoanAmount,0,IF(PaymentsDue="End of Period",0,1)), "")</f>
        <v/>
      </c>
      <c r="J57" s="52">
        <f>IFERROR(PMT(INDEX(Data[],ROW()-ROW(Data[[#Headers],[30]]),1)/12,Data[[#Headers],[30]]*12,-LoanAmount,0,IF(PaymentsDue="End of Period",0,1)), "")</f>
        <v/>
      </c>
      <c r="K57" s="40" t="n"/>
    </row>
    <row r="58" ht="19.9" customHeight="1">
      <c r="A58" s="40" t="n"/>
      <c r="B58" s="38">
        <f>IFERROR(MAX((ROW()-ROW(Data[[#Headers],[RATE]]))*0.0025+0.0175,0.0025), "")</f>
        <v/>
      </c>
      <c r="C58" s="52">
        <f>IFERROR(PMT(INDEX(Data[],ROW()-ROW(Data[[#Headers],[3]]),1)/12,Data[[#Headers],[3]]*12,-LoanAmount,0,IF(PaymentsDue="End of Period",0,1)), "")</f>
        <v/>
      </c>
      <c r="D58" s="52">
        <f>IFERROR(PMT(INDEX(Data[],ROW()-ROW(Data[[#Headers],[5]]),1)/12,Data[[#Headers],[5]]*12,-LoanAmount,0,IF(PaymentsDue="End of Period",0,1)), "")</f>
        <v/>
      </c>
      <c r="E58" s="52">
        <f>IFERROR(PMT(INDEX(Data[],ROW()-ROW(Data[[#Headers],[10]]),1)/12,Data[[#Headers],[10]]*12,-LoanAmount,0,IF(PaymentsDue="End of Period",0,1)), "")</f>
        <v/>
      </c>
      <c r="F58" s="52">
        <f>IFERROR(PMT(INDEX(Data[],ROW()-ROW(Data[[#Headers],[12]]),1)/12,Data[[#Headers],[12]]*12,-LoanAmount,0,IF(PaymentsDue="End of Period",0,1)), "")</f>
        <v/>
      </c>
      <c r="G58" s="52">
        <f>IFERROR(PMT(INDEX(Data[],ROW()-ROW(Data[[#Headers],[15]]),1)/12,Data[[#Headers],[15]]*12,-LoanAmount,0,IF(PaymentsDue="End of Period",0,1)), "")</f>
        <v/>
      </c>
      <c r="H58" s="52">
        <f>IFERROR(PMT(INDEX(Data[],ROW()-ROW(Data[[#Headers],[20]]),1)/12,Data[[#Headers],[20]]*12,-LoanAmount,0,IF(PaymentsDue="End of Period",0,1)), "")</f>
        <v/>
      </c>
      <c r="I58" s="52">
        <f>IFERROR(PMT(INDEX(Data[],ROW()-ROW(Data[[#Headers],[25]]),1)/12,Data[[#Headers],[25]]*12,-LoanAmount,0,IF(PaymentsDue="End of Period",0,1)), "")</f>
        <v/>
      </c>
      <c r="J58" s="52">
        <f>IFERROR(PMT(INDEX(Data[],ROW()-ROW(Data[[#Headers],[30]]),1)/12,Data[[#Headers],[30]]*12,-LoanAmount,0,IF(PaymentsDue="End of Period",0,1)), "")</f>
        <v/>
      </c>
      <c r="K58" s="40" t="n"/>
    </row>
    <row r="59" ht="19.9" customHeight="1">
      <c r="A59" s="40" t="n"/>
      <c r="B59" s="38">
        <f>IFERROR(MAX((ROW()-ROW(Data[[#Headers],[RATE]]))*0.0025+0.0175,0.0025), "")</f>
        <v/>
      </c>
      <c r="C59" s="52">
        <f>IFERROR(PMT(INDEX(Data[],ROW()-ROW(Data[[#Headers],[3]]),1)/12,Data[[#Headers],[3]]*12,-LoanAmount,0,IF(PaymentsDue="End of Period",0,1)), "")</f>
        <v/>
      </c>
      <c r="D59" s="52">
        <f>IFERROR(PMT(INDEX(Data[],ROW()-ROW(Data[[#Headers],[5]]),1)/12,Data[[#Headers],[5]]*12,-LoanAmount,0,IF(PaymentsDue="End of Period",0,1)), "")</f>
        <v/>
      </c>
      <c r="E59" s="52">
        <f>IFERROR(PMT(INDEX(Data[],ROW()-ROW(Data[[#Headers],[10]]),1)/12,Data[[#Headers],[10]]*12,-LoanAmount,0,IF(PaymentsDue="End of Period",0,1)), "")</f>
        <v/>
      </c>
      <c r="F59" s="52">
        <f>IFERROR(PMT(INDEX(Data[],ROW()-ROW(Data[[#Headers],[12]]),1)/12,Data[[#Headers],[12]]*12,-LoanAmount,0,IF(PaymentsDue="End of Period",0,1)), "")</f>
        <v/>
      </c>
      <c r="G59" s="52">
        <f>IFERROR(PMT(INDEX(Data[],ROW()-ROW(Data[[#Headers],[15]]),1)/12,Data[[#Headers],[15]]*12,-LoanAmount,0,IF(PaymentsDue="End of Period",0,1)), "")</f>
        <v/>
      </c>
      <c r="H59" s="52">
        <f>IFERROR(PMT(INDEX(Data[],ROW()-ROW(Data[[#Headers],[20]]),1)/12,Data[[#Headers],[20]]*12,-LoanAmount,0,IF(PaymentsDue="End of Period",0,1)), "")</f>
        <v/>
      </c>
      <c r="I59" s="52">
        <f>IFERROR(PMT(INDEX(Data[],ROW()-ROW(Data[[#Headers],[25]]),1)/12,Data[[#Headers],[25]]*12,-LoanAmount,0,IF(PaymentsDue="End of Period",0,1)), "")</f>
        <v/>
      </c>
      <c r="J59" s="52">
        <f>IFERROR(PMT(INDEX(Data[],ROW()-ROW(Data[[#Headers],[30]]),1)/12,Data[[#Headers],[30]]*12,-LoanAmount,0,IF(PaymentsDue="End of Period",0,1)), "")</f>
        <v/>
      </c>
      <c r="K59" s="40" t="n"/>
    </row>
    <row r="60" ht="19.9" customHeight="1">
      <c r="A60" s="40" t="n"/>
      <c r="B60" s="38">
        <f>IFERROR(MAX((ROW()-ROW(Data[[#Headers],[RATE]]))*0.0025+0.0175,0.0025), "")</f>
        <v/>
      </c>
      <c r="C60" s="52">
        <f>IFERROR(PMT(INDEX(Data[],ROW()-ROW(Data[[#Headers],[3]]),1)/12,Data[[#Headers],[3]]*12,-LoanAmount,0,IF(PaymentsDue="End of Period",0,1)), "")</f>
        <v/>
      </c>
      <c r="D60" s="52">
        <f>IFERROR(PMT(INDEX(Data[],ROW()-ROW(Data[[#Headers],[5]]),1)/12,Data[[#Headers],[5]]*12,-LoanAmount,0,IF(PaymentsDue="End of Period",0,1)), "")</f>
        <v/>
      </c>
      <c r="E60" s="52">
        <f>IFERROR(PMT(INDEX(Data[],ROW()-ROW(Data[[#Headers],[10]]),1)/12,Data[[#Headers],[10]]*12,-LoanAmount,0,IF(PaymentsDue="End of Period",0,1)), "")</f>
        <v/>
      </c>
      <c r="F60" s="52">
        <f>IFERROR(PMT(INDEX(Data[],ROW()-ROW(Data[[#Headers],[12]]),1)/12,Data[[#Headers],[12]]*12,-LoanAmount,0,IF(PaymentsDue="End of Period",0,1)), "")</f>
        <v/>
      </c>
      <c r="G60" s="52">
        <f>IFERROR(PMT(INDEX(Data[],ROW()-ROW(Data[[#Headers],[15]]),1)/12,Data[[#Headers],[15]]*12,-LoanAmount,0,IF(PaymentsDue="End of Period",0,1)), "")</f>
        <v/>
      </c>
      <c r="H60" s="52">
        <f>IFERROR(PMT(INDEX(Data[],ROW()-ROW(Data[[#Headers],[20]]),1)/12,Data[[#Headers],[20]]*12,-LoanAmount,0,IF(PaymentsDue="End of Period",0,1)), "")</f>
        <v/>
      </c>
      <c r="I60" s="52">
        <f>IFERROR(PMT(INDEX(Data[],ROW()-ROW(Data[[#Headers],[25]]),1)/12,Data[[#Headers],[25]]*12,-LoanAmount,0,IF(PaymentsDue="End of Period",0,1)), "")</f>
        <v/>
      </c>
      <c r="J60" s="52">
        <f>IFERROR(PMT(INDEX(Data[],ROW()-ROW(Data[[#Headers],[30]]),1)/12,Data[[#Headers],[30]]*12,-LoanAmount,0,IF(PaymentsDue="End of Period",0,1)), "")</f>
        <v/>
      </c>
      <c r="K60" s="40" t="n"/>
    </row>
    <row r="61" ht="19.9" customHeight="1">
      <c r="A61" s="40" t="n"/>
      <c r="B61" s="38">
        <f>IFERROR(MAX((ROW()-ROW(Data[[#Headers],[RATE]]))*0.0025+0.0175,0.0025), "")</f>
        <v/>
      </c>
      <c r="C61" s="52">
        <f>IFERROR(PMT(INDEX(Data[],ROW()-ROW(Data[[#Headers],[3]]),1)/12,Data[[#Headers],[3]]*12,-LoanAmount,0,IF(PaymentsDue="End of Period",0,1)), "")</f>
        <v/>
      </c>
      <c r="D61" s="52">
        <f>IFERROR(PMT(INDEX(Data[],ROW()-ROW(Data[[#Headers],[5]]),1)/12,Data[[#Headers],[5]]*12,-LoanAmount,0,IF(PaymentsDue="End of Period",0,1)), "")</f>
        <v/>
      </c>
      <c r="E61" s="52">
        <f>IFERROR(PMT(INDEX(Data[],ROW()-ROW(Data[[#Headers],[10]]),1)/12,Data[[#Headers],[10]]*12,-LoanAmount,0,IF(PaymentsDue="End of Period",0,1)), "")</f>
        <v/>
      </c>
      <c r="F61" s="52">
        <f>IFERROR(PMT(INDEX(Data[],ROW()-ROW(Data[[#Headers],[12]]),1)/12,Data[[#Headers],[12]]*12,-LoanAmount,0,IF(PaymentsDue="End of Period",0,1)), "")</f>
        <v/>
      </c>
      <c r="G61" s="52">
        <f>IFERROR(PMT(INDEX(Data[],ROW()-ROW(Data[[#Headers],[15]]),1)/12,Data[[#Headers],[15]]*12,-LoanAmount,0,IF(PaymentsDue="End of Period",0,1)), "")</f>
        <v/>
      </c>
      <c r="H61" s="52">
        <f>IFERROR(PMT(INDEX(Data[],ROW()-ROW(Data[[#Headers],[20]]),1)/12,Data[[#Headers],[20]]*12,-LoanAmount,0,IF(PaymentsDue="End of Period",0,1)), "")</f>
        <v/>
      </c>
      <c r="I61" s="52">
        <f>IFERROR(PMT(INDEX(Data[],ROW()-ROW(Data[[#Headers],[25]]),1)/12,Data[[#Headers],[25]]*12,-LoanAmount,0,IF(PaymentsDue="End of Period",0,1)), "")</f>
        <v/>
      </c>
      <c r="J61" s="52">
        <f>IFERROR(PMT(INDEX(Data[],ROW()-ROW(Data[[#Headers],[30]]),1)/12,Data[[#Headers],[30]]*12,-LoanAmount,0,IF(PaymentsDue="End of Period",0,1)), "")</f>
        <v/>
      </c>
      <c r="K61" s="40" t="n"/>
    </row>
    <row r="62" ht="19.9" customHeight="1">
      <c r="A62" s="40" t="n"/>
      <c r="B62" s="38">
        <f>IFERROR(MAX((ROW()-ROW(Data[[#Headers],[RATE]]))*0.0025+0.0175,0.0025), "")</f>
        <v/>
      </c>
      <c r="C62" s="52">
        <f>IFERROR(PMT(INDEX(Data[],ROW()-ROW(Data[[#Headers],[3]]),1)/12,Data[[#Headers],[3]]*12,-LoanAmount,0,IF(PaymentsDue="End of Period",0,1)), "")</f>
        <v/>
      </c>
      <c r="D62" s="52">
        <f>IFERROR(PMT(INDEX(Data[],ROW()-ROW(Data[[#Headers],[5]]),1)/12,Data[[#Headers],[5]]*12,-LoanAmount,0,IF(PaymentsDue="End of Period",0,1)), "")</f>
        <v/>
      </c>
      <c r="E62" s="52">
        <f>IFERROR(PMT(INDEX(Data[],ROW()-ROW(Data[[#Headers],[10]]),1)/12,Data[[#Headers],[10]]*12,-LoanAmount,0,IF(PaymentsDue="End of Period",0,1)), "")</f>
        <v/>
      </c>
      <c r="F62" s="52">
        <f>IFERROR(PMT(INDEX(Data[],ROW()-ROW(Data[[#Headers],[12]]),1)/12,Data[[#Headers],[12]]*12,-LoanAmount,0,IF(PaymentsDue="End of Period",0,1)), "")</f>
        <v/>
      </c>
      <c r="G62" s="52">
        <f>IFERROR(PMT(INDEX(Data[],ROW()-ROW(Data[[#Headers],[15]]),1)/12,Data[[#Headers],[15]]*12,-LoanAmount,0,IF(PaymentsDue="End of Period",0,1)), "")</f>
        <v/>
      </c>
      <c r="H62" s="52">
        <f>IFERROR(PMT(INDEX(Data[],ROW()-ROW(Data[[#Headers],[20]]),1)/12,Data[[#Headers],[20]]*12,-LoanAmount,0,IF(PaymentsDue="End of Period",0,1)), "")</f>
        <v/>
      </c>
      <c r="I62" s="52">
        <f>IFERROR(PMT(INDEX(Data[],ROW()-ROW(Data[[#Headers],[25]]),1)/12,Data[[#Headers],[25]]*12,-LoanAmount,0,IF(PaymentsDue="End of Period",0,1)), "")</f>
        <v/>
      </c>
      <c r="J62" s="52">
        <f>IFERROR(PMT(INDEX(Data[],ROW()-ROW(Data[[#Headers],[30]]),1)/12,Data[[#Headers],[30]]*12,-LoanAmount,0,IF(PaymentsDue="End of Period",0,1)), "")</f>
        <v/>
      </c>
      <c r="K62" s="40" t="n"/>
    </row>
    <row r="63" ht="19.9" customHeight="1">
      <c r="A63" s="40" t="n"/>
      <c r="B63" s="38">
        <f>IFERROR(MAX((ROW()-ROW(Data[[#Headers],[RATE]]))*0.0025+0.0175,0.0025), "")</f>
        <v/>
      </c>
      <c r="C63" s="52">
        <f>IFERROR(PMT(INDEX(Data[],ROW()-ROW(Data[[#Headers],[3]]),1)/12,Data[[#Headers],[3]]*12,-LoanAmount,0,IF(PaymentsDue="End of Period",0,1)), "")</f>
        <v/>
      </c>
      <c r="D63" s="52">
        <f>IFERROR(PMT(INDEX(Data[],ROW()-ROW(Data[[#Headers],[5]]),1)/12,Data[[#Headers],[5]]*12,-LoanAmount,0,IF(PaymentsDue="End of Period",0,1)), "")</f>
        <v/>
      </c>
      <c r="E63" s="52">
        <f>IFERROR(PMT(INDEX(Data[],ROW()-ROW(Data[[#Headers],[10]]),1)/12,Data[[#Headers],[10]]*12,-LoanAmount,0,IF(PaymentsDue="End of Period",0,1)), "")</f>
        <v/>
      </c>
      <c r="F63" s="52">
        <f>IFERROR(PMT(INDEX(Data[],ROW()-ROW(Data[[#Headers],[12]]),1)/12,Data[[#Headers],[12]]*12,-LoanAmount,0,IF(PaymentsDue="End of Period",0,1)), "")</f>
        <v/>
      </c>
      <c r="G63" s="52">
        <f>IFERROR(PMT(INDEX(Data[],ROW()-ROW(Data[[#Headers],[15]]),1)/12,Data[[#Headers],[15]]*12,-LoanAmount,0,IF(PaymentsDue="End of Period",0,1)), "")</f>
        <v/>
      </c>
      <c r="H63" s="52">
        <f>IFERROR(PMT(INDEX(Data[],ROW()-ROW(Data[[#Headers],[20]]),1)/12,Data[[#Headers],[20]]*12,-LoanAmount,0,IF(PaymentsDue="End of Period",0,1)), "")</f>
        <v/>
      </c>
      <c r="I63" s="52">
        <f>IFERROR(PMT(INDEX(Data[],ROW()-ROW(Data[[#Headers],[25]]),1)/12,Data[[#Headers],[25]]*12,-LoanAmount,0,IF(PaymentsDue="End of Period",0,1)), "")</f>
        <v/>
      </c>
      <c r="J63" s="52">
        <f>IFERROR(PMT(INDEX(Data[],ROW()-ROW(Data[[#Headers],[30]]),1)/12,Data[[#Headers],[30]]*12,-LoanAmount,0,IF(PaymentsDue="End of Period",0,1)), "")</f>
        <v/>
      </c>
      <c r="K63" s="40" t="n"/>
    </row>
    <row r="64" ht="19.9" customHeight="1">
      <c r="A64" s="40" t="n"/>
      <c r="B64" s="38">
        <f>IFERROR(MAX((ROW()-ROW(Data[[#Headers],[RATE]]))*0.0025+0.0175,0.0025), "")</f>
        <v/>
      </c>
      <c r="C64" s="52">
        <f>IFERROR(PMT(INDEX(Data[],ROW()-ROW(Data[[#Headers],[3]]),1)/12,Data[[#Headers],[3]]*12,-LoanAmount,0,IF(PaymentsDue="End of Period",0,1)), "")</f>
        <v/>
      </c>
      <c r="D64" s="52">
        <f>IFERROR(PMT(INDEX(Data[],ROW()-ROW(Data[[#Headers],[5]]),1)/12,Data[[#Headers],[5]]*12,-LoanAmount,0,IF(PaymentsDue="End of Period",0,1)), "")</f>
        <v/>
      </c>
      <c r="E64" s="52">
        <f>IFERROR(PMT(INDEX(Data[],ROW()-ROW(Data[[#Headers],[10]]),1)/12,Data[[#Headers],[10]]*12,-LoanAmount,0,IF(PaymentsDue="End of Period",0,1)), "")</f>
        <v/>
      </c>
      <c r="F64" s="52">
        <f>IFERROR(PMT(INDEX(Data[],ROW()-ROW(Data[[#Headers],[12]]),1)/12,Data[[#Headers],[12]]*12,-LoanAmount,0,IF(PaymentsDue="End of Period",0,1)), "")</f>
        <v/>
      </c>
      <c r="G64" s="52">
        <f>IFERROR(PMT(INDEX(Data[],ROW()-ROW(Data[[#Headers],[15]]),1)/12,Data[[#Headers],[15]]*12,-LoanAmount,0,IF(PaymentsDue="End of Period",0,1)), "")</f>
        <v/>
      </c>
      <c r="H64" s="52">
        <f>IFERROR(PMT(INDEX(Data[],ROW()-ROW(Data[[#Headers],[20]]),1)/12,Data[[#Headers],[20]]*12,-LoanAmount,0,IF(PaymentsDue="End of Period",0,1)), "")</f>
        <v/>
      </c>
      <c r="I64" s="52">
        <f>IFERROR(PMT(INDEX(Data[],ROW()-ROW(Data[[#Headers],[25]]),1)/12,Data[[#Headers],[25]]*12,-LoanAmount,0,IF(PaymentsDue="End of Period",0,1)), "")</f>
        <v/>
      </c>
      <c r="J64" s="52">
        <f>IFERROR(PMT(INDEX(Data[],ROW()-ROW(Data[[#Headers],[30]]),1)/12,Data[[#Headers],[30]]*12,-LoanAmount,0,IF(PaymentsDue="End of Period",0,1)), "")</f>
        <v/>
      </c>
      <c r="K64" s="40" t="n"/>
    </row>
    <row r="65" ht="19.9" customHeight="1">
      <c r="A65" s="40" t="n"/>
      <c r="B65" s="38">
        <f>IFERROR(MAX((ROW()-ROW(Data[[#Headers],[RATE]]))*0.0025+0.0175,0.0025), "")</f>
        <v/>
      </c>
      <c r="C65" s="52">
        <f>IFERROR(PMT(INDEX(Data[],ROW()-ROW(Data[[#Headers],[3]]),1)/12,Data[[#Headers],[3]]*12,-LoanAmount,0,IF(PaymentsDue="End of Period",0,1)), "")</f>
        <v/>
      </c>
      <c r="D65" s="52">
        <f>IFERROR(PMT(INDEX(Data[],ROW()-ROW(Data[[#Headers],[5]]),1)/12,Data[[#Headers],[5]]*12,-LoanAmount,0,IF(PaymentsDue="End of Period",0,1)), "")</f>
        <v/>
      </c>
      <c r="E65" s="52">
        <f>IFERROR(PMT(INDEX(Data[],ROW()-ROW(Data[[#Headers],[10]]),1)/12,Data[[#Headers],[10]]*12,-LoanAmount,0,IF(PaymentsDue="End of Period",0,1)), "")</f>
        <v/>
      </c>
      <c r="F65" s="52">
        <f>IFERROR(PMT(INDEX(Data[],ROW()-ROW(Data[[#Headers],[12]]),1)/12,Data[[#Headers],[12]]*12,-LoanAmount,0,IF(PaymentsDue="End of Period",0,1)), "")</f>
        <v/>
      </c>
      <c r="G65" s="52">
        <f>IFERROR(PMT(INDEX(Data[],ROW()-ROW(Data[[#Headers],[15]]),1)/12,Data[[#Headers],[15]]*12,-LoanAmount,0,IF(PaymentsDue="End of Period",0,1)), "")</f>
        <v/>
      </c>
      <c r="H65" s="52">
        <f>IFERROR(PMT(INDEX(Data[],ROW()-ROW(Data[[#Headers],[20]]),1)/12,Data[[#Headers],[20]]*12,-LoanAmount,0,IF(PaymentsDue="End of Period",0,1)), "")</f>
        <v/>
      </c>
      <c r="I65" s="52">
        <f>IFERROR(PMT(INDEX(Data[],ROW()-ROW(Data[[#Headers],[25]]),1)/12,Data[[#Headers],[25]]*12,-LoanAmount,0,IF(PaymentsDue="End of Period",0,1)), "")</f>
        <v/>
      </c>
      <c r="J65" s="52">
        <f>IFERROR(PMT(INDEX(Data[],ROW()-ROW(Data[[#Headers],[30]]),1)/12,Data[[#Headers],[30]]*12,-LoanAmount,0,IF(PaymentsDue="End of Period",0,1)), "")</f>
        <v/>
      </c>
      <c r="K65" s="40" t="n"/>
    </row>
    <row r="66" ht="19.9" customHeight="1">
      <c r="A66" s="40" t="n"/>
      <c r="B66" s="38">
        <f>IFERROR(MAX((ROW()-ROW(Data[[#Headers],[RATE]]))*0.0025+0.0175,0.0025), "")</f>
        <v/>
      </c>
      <c r="C66" s="52">
        <f>IFERROR(PMT(INDEX(Data[],ROW()-ROW(Data[[#Headers],[3]]),1)/12,Data[[#Headers],[3]]*12,-LoanAmount,0,IF(PaymentsDue="End of Period",0,1)), "")</f>
        <v/>
      </c>
      <c r="D66" s="52">
        <f>IFERROR(PMT(INDEX(Data[],ROW()-ROW(Data[[#Headers],[5]]),1)/12,Data[[#Headers],[5]]*12,-LoanAmount,0,IF(PaymentsDue="End of Period",0,1)), "")</f>
        <v/>
      </c>
      <c r="E66" s="52">
        <f>IFERROR(PMT(INDEX(Data[],ROW()-ROW(Data[[#Headers],[10]]),1)/12,Data[[#Headers],[10]]*12,-LoanAmount,0,IF(PaymentsDue="End of Period",0,1)), "")</f>
        <v/>
      </c>
      <c r="F66" s="52">
        <f>IFERROR(PMT(INDEX(Data[],ROW()-ROW(Data[[#Headers],[12]]),1)/12,Data[[#Headers],[12]]*12,-LoanAmount,0,IF(PaymentsDue="End of Period",0,1)), "")</f>
        <v/>
      </c>
      <c r="G66" s="52">
        <f>IFERROR(PMT(INDEX(Data[],ROW()-ROW(Data[[#Headers],[15]]),1)/12,Data[[#Headers],[15]]*12,-LoanAmount,0,IF(PaymentsDue="End of Period",0,1)), "")</f>
        <v/>
      </c>
      <c r="H66" s="52">
        <f>IFERROR(PMT(INDEX(Data[],ROW()-ROW(Data[[#Headers],[20]]),1)/12,Data[[#Headers],[20]]*12,-LoanAmount,0,IF(PaymentsDue="End of Period",0,1)), "")</f>
        <v/>
      </c>
      <c r="I66" s="52">
        <f>IFERROR(PMT(INDEX(Data[],ROW()-ROW(Data[[#Headers],[25]]),1)/12,Data[[#Headers],[25]]*12,-LoanAmount,0,IF(PaymentsDue="End of Period",0,1)), "")</f>
        <v/>
      </c>
      <c r="J66" s="52">
        <f>IFERROR(PMT(INDEX(Data[],ROW()-ROW(Data[[#Headers],[30]]),1)/12,Data[[#Headers],[30]]*12,-LoanAmount,0,IF(PaymentsDue="End of Period",0,1)), "")</f>
        <v/>
      </c>
      <c r="K66" s="40" t="n"/>
    </row>
    <row r="67" ht="15" customHeight="1">
      <c r="A67" s="40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40" t="n"/>
    </row>
  </sheetData>
  <mergeCells count="4">
    <mergeCell ref="L2:L16"/>
    <mergeCell ref="A1:K1"/>
    <mergeCell ref="B8:J8"/>
    <mergeCell ref="B2:J2"/>
  </mergeCells>
  <conditionalFormatting sqref="B10:J66">
    <cfRule type="expression" priority="1" dxfId="11">
      <formula>$B10=$D$3</formula>
    </cfRule>
  </conditionalFormatting>
  <dataValidations count="19">
    <dataValidation sqref="D6" showDropDown="0" showInputMessage="1" showErrorMessage="1" allowBlank="1" error="Select Payments Due option from the list. Select CANCEL, press ALT+DOWN ARROW for options, and then DOWN ARROW and ENTER to make selection" prompt="Select payments due option from the list in this cell. Press ALT+DOWN ARROW for options, then DOWN ARROW and ENTER to make selection" type="list" errorStyle="warning">
      <formula1>"End of period,Start of period"</formula1>
    </dataValidation>
    <dataValidation sqref="A1" showDropDown="0" showInputMessage="1" showErrorMessage="1" allowBlank="1" prompt="Title of this worksheet is in this cell. Rate slicer is in cell L2"/>
    <dataValidation sqref="B2:J2" showDropDown="0" showInputMessage="1" showErrorMessage="1" allowBlank="1" prompt="Enter values in cells D3 through D6. Monthly and Total Payments, and Total Interest amount are automatically calculated in cells I3 through I5"/>
    <dataValidation sqref="B9" showDropDown="0" showInputMessage="1" showErrorMessage="1" allowBlank="1" prompt="Rates are automatically calculated in this column under this heading"/>
    <dataValidation sqref="C9:J9" showDropDown="0" showInputMessage="1" showErrorMessage="1" allowBlank="1" prompt="Amounts for this year are automatically calculated in this column under this heading"/>
    <dataValidation sqref="C3" showDropDown="0" showInputMessage="1" showErrorMessage="1" allowBlank="1" prompt="Enter Interest Rate in cell at right"/>
    <dataValidation sqref="H3" showDropDown="0" showInputMessage="1" showErrorMessage="1" allowBlank="1" prompt="Monthly Payment amount is automatically calculated in cell at right"/>
    <dataValidation sqref="I3" showDropDown="0" showInputMessage="1" showErrorMessage="1" allowBlank="1" prompt="Monthly Payment amount is automatically calculated in this cell"/>
    <dataValidation sqref="H4" showDropDown="0" showInputMessage="1" showErrorMessage="1" allowBlank="1" prompt="Total Payment amount is automatically calculated in cell at right"/>
    <dataValidation sqref="I4" showDropDown="0" showInputMessage="1" showErrorMessage="1" allowBlank="1" prompt="Total Payment amount is automatically calculated in this cell"/>
    <dataValidation sqref="H5" showDropDown="0" showInputMessage="1" showErrorMessage="1" allowBlank="1" prompt="Total Interest amount is automatically calculated in cell at right"/>
    <dataValidation sqref="I5" showDropDown="0" showInputMessage="1" showErrorMessage="1" allowBlank="1" prompt="Total Interest amount is automatically calculated in this cell"/>
    <dataValidation sqref="C4" showDropDown="0" showInputMessage="1" showErrorMessage="1" allowBlank="1" prompt="Enter Years of Loan in cell at right"/>
    <dataValidation sqref="D4" showDropDown="0" showInputMessage="1" showErrorMessage="1" allowBlank="1" prompt="Enter Years of Loan in this cell"/>
    <dataValidation sqref="D3" showDropDown="0" showInputMessage="1" showErrorMessage="1" allowBlank="1" prompt="Enter Interest Rate in this cell"/>
    <dataValidation sqref="C5" showDropDown="0" showInputMessage="1" showErrorMessage="1" allowBlank="1" prompt="Enter Loan Amount in cell at right"/>
    <dataValidation sqref="D5" showDropDown="0" showInputMessage="1" showErrorMessage="1" allowBlank="1" prompt="Enter Loan Amount in this cell"/>
    <dataValidation sqref="C6" showDropDown="0" showInputMessage="1" showErrorMessage="1" allowBlank="1" prompt="Select Payments Due option in cell at right"/>
    <dataValidation sqref="B8" showDropDown="0" showInputMessage="1" showErrorMessage="1" allowBlank="1" prompt="Annual amounts are automatically calculated in columns C through J in the table below"/>
  </dataValidations>
  <printOptions horizontalCentered="1"/>
  <pageMargins left="0.4" right="0.4" top="0.4" bottom="0.4" header="0.3" footer="0.3"/>
  <pageSetup orientation="portrait" scale="49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2023-01-16T01:43:22Z</dcterms:created>
  <dcterms:modified xsi:type="dcterms:W3CDTF">2026-03-05T04:05:17Z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