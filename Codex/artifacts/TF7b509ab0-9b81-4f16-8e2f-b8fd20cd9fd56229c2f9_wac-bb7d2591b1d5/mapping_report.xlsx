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analysis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Loan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LOAN ANALYSIS WORKSHEET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36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Loan analysis</t>
        </is>
      </c>
      <c r="B3" t="inlineStr">
        <is>
          <t>A2</t>
        </is>
      </c>
      <c r="C3" t="n">
        <v>2</v>
      </c>
      <c r="D3" t="n">
        <v>1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n">
        <v/>
      </c>
      <c r="P3" t="inlineStr">
        <is>
          <t>center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Loan analysis</t>
        </is>
      </c>
      <c r="B4" t="inlineStr">
        <is>
          <t>B2</t>
        </is>
      </c>
      <c r="C4" t="n">
        <v>2</v>
      </c>
      <c r="D4" t="n">
        <v>2</v>
      </c>
      <c r="E4" t="inlineStr">
        <is>
          <t>Input</t>
        </is>
      </c>
      <c r="F4" t="n">
        <v/>
      </c>
      <c r="G4" t="inlineStr">
        <is>
          <t>LOAN ANALYSIS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18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Loan analysis</t>
        </is>
      </c>
      <c r="B5" t="inlineStr">
        <is>
          <t>C2</t>
        </is>
      </c>
      <c r="C5" t="n">
        <v>2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Loan analysis</t>
        </is>
      </c>
      <c r="B6" t="inlineStr">
        <is>
          <t>D2</t>
        </is>
      </c>
      <c r="C6" t="n">
        <v>2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Loan analysis</t>
        </is>
      </c>
      <c r="B7" t="inlineStr">
        <is>
          <t>E2</t>
        </is>
      </c>
      <c r="C7" t="n">
        <v>2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Loan analysis</t>
        </is>
      </c>
      <c r="B8" t="inlineStr">
        <is>
          <t>F2</t>
        </is>
      </c>
      <c r="C8" t="n">
        <v>2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Loan analysis</t>
        </is>
      </c>
      <c r="B9" t="inlineStr">
        <is>
          <t>G2</t>
        </is>
      </c>
      <c r="C9" t="n">
        <v>2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Loan analysis</t>
        </is>
      </c>
      <c r="B10" t="inlineStr">
        <is>
          <t>H2</t>
        </is>
      </c>
      <c r="C10" t="n">
        <v>2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Loan analysis</t>
        </is>
      </c>
      <c r="B11" t="inlineStr">
        <is>
          <t>I2</t>
        </is>
      </c>
      <c r="C11" t="n">
        <v>2</v>
      </c>
      <c r="D11" t="n">
        <v>9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Loan analysis</t>
        </is>
      </c>
      <c r="B12" t="inlineStr">
        <is>
          <t>J2</t>
        </is>
      </c>
      <c r="C12" t="n">
        <v>2</v>
      </c>
      <c r="D12" t="n">
        <v>10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Loan analysis</t>
        </is>
      </c>
      <c r="B13" t="inlineStr">
        <is>
          <t>K2</t>
        </is>
      </c>
      <c r="C13" t="n">
        <v>2</v>
      </c>
      <c r="D13" t="n">
        <v>11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n">
        <v/>
      </c>
      <c r="P13" t="inlineStr">
        <is>
          <t>center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Loan analysis</t>
        </is>
      </c>
      <c r="B14" t="inlineStr">
        <is>
          <t>L2</t>
        </is>
      </c>
      <c r="C14" t="n">
        <v>2</v>
      </c>
      <c r="D14" t="n">
        <v>12</v>
      </c>
      <c r="E14" t="inlineStr">
        <is>
          <t>Input</t>
        </is>
      </c>
      <c r="F14" t="n">
        <v/>
      </c>
      <c r="G14" t="inlineStr">
        <is>
          <t>Rate slicer to filter table data based on Rates is in this cell.</t>
        </is>
      </c>
      <c r="H14" t="inlineStr"/>
      <c r="I14" t="inlineStr">
        <is>
          <t>;;;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P14" t="n">
        <v/>
      </c>
      <c r="Q14" t="b">
        <v>1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Loan analysis</t>
        </is>
      </c>
      <c r="B15" t="inlineStr">
        <is>
          <t>A3</t>
        </is>
      </c>
      <c r="C15" t="n">
        <v>3</v>
      </c>
      <c r="D15" t="n">
        <v>1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Loan analysis</t>
        </is>
      </c>
      <c r="B16" t="inlineStr">
        <is>
          <t>B3</t>
        </is>
      </c>
      <c r="C16" t="n">
        <v>3</v>
      </c>
      <c r="D16" t="n">
        <v>2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12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right</t>
        </is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Loan analysis</t>
        </is>
      </c>
      <c r="B17" t="inlineStr">
        <is>
          <t>C3</t>
        </is>
      </c>
      <c r="C17" t="n">
        <v>3</v>
      </c>
      <c r="D17" t="n">
        <v>3</v>
      </c>
      <c r="E17" t="inlineStr">
        <is>
          <t>Input</t>
        </is>
      </c>
      <c r="F17" t="n">
        <v/>
      </c>
      <c r="G17" t="inlineStr">
        <is>
          <t>INTEREST RATE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12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right</t>
        </is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Loan analysis</t>
        </is>
      </c>
      <c r="B18" t="inlineStr">
        <is>
          <t>D3</t>
        </is>
      </c>
      <c r="C18" t="n">
        <v>3</v>
      </c>
      <c r="D18" t="n">
        <v>4</v>
      </c>
      <c r="E18" t="inlineStr">
        <is>
          <t>Input</t>
        </is>
      </c>
      <c r="F18" t="n">
        <v/>
      </c>
      <c r="G18" t="n">
        <v>0.05</v>
      </c>
      <c r="H18" t="inlineStr"/>
      <c r="I18" t="inlineStr">
        <is>
          <t>0.00%</t>
        </is>
      </c>
      <c r="J18" t="b">
        <v>0</v>
      </c>
      <c r="K18" t="b">
        <v>0</v>
      </c>
      <c r="L18" t="n">
        <v>12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right</t>
        </is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Loan analysis</t>
        </is>
      </c>
      <c r="B19" t="inlineStr">
        <is>
          <t>E3</t>
        </is>
      </c>
      <c r="C19" t="n">
        <v>3</v>
      </c>
      <c r="D19" t="n">
        <v>5</v>
      </c>
      <c r="E19" t="inlineStr">
        <is>
          <t>Input</t>
        </is>
      </c>
      <c r="F19" t="n">
        <v/>
      </c>
      <c r="H19" t="inlineStr"/>
      <c r="I19" t="inlineStr">
        <is>
          <t>0.00%</t>
        </is>
      </c>
      <c r="J19" t="b">
        <v>0</v>
      </c>
      <c r="K19" t="b">
        <v>0</v>
      </c>
      <c r="L19" t="n">
        <v>12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right</t>
        </is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Loan analysis</t>
        </is>
      </c>
      <c r="B20" t="inlineStr">
        <is>
          <t>F3</t>
        </is>
      </c>
      <c r="C20" t="n">
        <v>3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12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Loan analysis</t>
        </is>
      </c>
      <c r="B21" t="inlineStr">
        <is>
          <t>G3</t>
        </is>
      </c>
      <c r="C21" t="n">
        <v>3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12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Loan analysis</t>
        </is>
      </c>
      <c r="B22" t="inlineStr">
        <is>
          <t>H3</t>
        </is>
      </c>
      <c r="C22" t="n">
        <v>3</v>
      </c>
      <c r="D22" t="n">
        <v>8</v>
      </c>
      <c r="E22" t="inlineStr">
        <is>
          <t>Input</t>
        </is>
      </c>
      <c r="F22" t="n">
        <v/>
      </c>
      <c r="G22" t="inlineStr">
        <is>
          <t>MONTHLY PAYMENT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12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right</t>
        </is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Loan analysis</t>
        </is>
      </c>
      <c r="B23" t="inlineStr">
        <is>
          <t>I3</t>
        </is>
      </c>
      <c r="C23" t="n">
        <v>3</v>
      </c>
      <c r="D23" t="n">
        <v>9</v>
      </c>
      <c r="E23" t="inlineStr">
        <is>
          <t>Output</t>
        </is>
      </c>
      <c r="F23" t="inlineStr">
        <is>
          <t>'=IFERROR(PMT(InterestRate/12,LoanYears*12,-LoanAmount,0,IF(PaymentsDue="End of Period",0,1)), "")</t>
        </is>
      </c>
      <c r="G23" t="n">
        <v>105.6254093667139</v>
      </c>
      <c r="H23" t="inlineStr"/>
      <c r="I23" t="inlineStr">
        <is>
          <t>"$"#,##0.00_);[Red]\("$"#,##0.00\)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n">
        <v/>
      </c>
      <c r="P23" t="n">
        <v/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>
        <f>IFERROR(PMT(InterestRate/12,LoanYears*12,-LoanAmount,0,IF(PaymentsDue="End of Period",0,1)), "")</f>
        <v/>
      </c>
    </row>
    <row r="24">
      <c r="A24" t="inlineStr">
        <is>
          <t>Loan analysis</t>
        </is>
      </c>
      <c r="B24" t="inlineStr">
        <is>
          <t>J3</t>
        </is>
      </c>
      <c r="C24" t="n">
        <v>3</v>
      </c>
      <c r="D24" t="n">
        <v>10</v>
      </c>
      <c r="E24" t="inlineStr">
        <is>
          <t>Input</t>
        </is>
      </c>
      <c r="F24" t="n">
        <v/>
      </c>
      <c r="H24" t="inlineStr"/>
      <c r="I24" t="inlineStr">
        <is>
          <t>"$"#,##0.00_);[Red]\("$"#,##0.00\)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Loan analysis</t>
        </is>
      </c>
      <c r="B25" t="inlineStr">
        <is>
          <t>K3</t>
        </is>
      </c>
      <c r="C25" t="n">
        <v>3</v>
      </c>
      <c r="D25" t="n">
        <v>11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Loan analysis</t>
        </is>
      </c>
      <c r="B26" t="inlineStr">
        <is>
          <t>A4</t>
        </is>
      </c>
      <c r="C26" t="n">
        <v>4</v>
      </c>
      <c r="D26" t="n">
        <v>1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Loan analysis</t>
        </is>
      </c>
      <c r="B27" t="inlineStr">
        <is>
          <t>B4</t>
        </is>
      </c>
      <c r="C27" t="n">
        <v>4</v>
      </c>
      <c r="D27" t="n">
        <v>2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12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right</t>
        </is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Loan analysis</t>
        </is>
      </c>
      <c r="B28" t="inlineStr">
        <is>
          <t>C4</t>
        </is>
      </c>
      <c r="C28" t="n">
        <v>4</v>
      </c>
      <c r="D28" t="n">
        <v>3</v>
      </c>
      <c r="E28" t="inlineStr">
        <is>
          <t>Input</t>
        </is>
      </c>
      <c r="F28" t="n">
        <v/>
      </c>
      <c r="G28" t="inlineStr">
        <is>
          <t>YEARS OF LOAN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12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right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Loan analysis</t>
        </is>
      </c>
      <c r="B29" t="inlineStr">
        <is>
          <t>D4</t>
        </is>
      </c>
      <c r="C29" t="n">
        <v>4</v>
      </c>
      <c r="D29" t="n">
        <v>4</v>
      </c>
      <c r="E29" t="inlineStr">
        <is>
          <t>Input</t>
        </is>
      </c>
      <c r="F29" t="n">
        <v/>
      </c>
      <c r="G29" t="n">
        <v>10</v>
      </c>
      <c r="H29" t="inlineStr"/>
      <c r="I29" t="inlineStr">
        <is>
          <t>_(* #,##0_);_(* \(#,##0\);_(* "-"_);_(@_)</t>
        </is>
      </c>
      <c r="J29" t="b">
        <v>0</v>
      </c>
      <c r="K29" t="b">
        <v>0</v>
      </c>
      <c r="L29" t="n">
        <v>12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right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Loan analysis</t>
        </is>
      </c>
      <c r="B30" t="inlineStr">
        <is>
          <t>E4</t>
        </is>
      </c>
      <c r="C30" t="n">
        <v>4</v>
      </c>
      <c r="D30" t="n">
        <v>5</v>
      </c>
      <c r="E30" t="inlineStr">
        <is>
          <t>Input</t>
        </is>
      </c>
      <c r="F30" t="n">
        <v/>
      </c>
      <c r="H30" t="inlineStr"/>
      <c r="I30" t="inlineStr">
        <is>
          <t>_(* #,##0_);_(* \(#,##0\);_(* "-"_);_(@_)</t>
        </is>
      </c>
      <c r="J30" t="b">
        <v>0</v>
      </c>
      <c r="K30" t="b">
        <v>0</v>
      </c>
      <c r="L30" t="n">
        <v>12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right</t>
        </is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Loan analysis</t>
        </is>
      </c>
      <c r="B31" t="inlineStr">
        <is>
          <t>F4</t>
        </is>
      </c>
      <c r="C31" t="n">
        <v>4</v>
      </c>
      <c r="D31" t="n">
        <v>6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12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Loan analysis</t>
        </is>
      </c>
      <c r="B32" t="inlineStr">
        <is>
          <t>G4</t>
        </is>
      </c>
      <c r="C32" t="n">
        <v>4</v>
      </c>
      <c r="D32" t="n">
        <v>7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12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Loan analysis</t>
        </is>
      </c>
      <c r="B33" t="inlineStr">
        <is>
          <t>H4</t>
        </is>
      </c>
      <c r="C33" t="n">
        <v>4</v>
      </c>
      <c r="D33" t="n">
        <v>8</v>
      </c>
      <c r="E33" t="inlineStr">
        <is>
          <t>Input</t>
        </is>
      </c>
      <c r="F33" t="n">
        <v/>
      </c>
      <c r="G33" t="inlineStr">
        <is>
          <t>TOTAL PAYMENT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12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right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Loan analysis</t>
        </is>
      </c>
      <c r="B34" t="inlineStr">
        <is>
          <t>I4</t>
        </is>
      </c>
      <c r="C34" t="n">
        <v>4</v>
      </c>
      <c r="D34" t="n">
        <v>9</v>
      </c>
      <c r="E34" t="inlineStr">
        <is>
          <t>Output</t>
        </is>
      </c>
      <c r="F34" t="inlineStr">
        <is>
          <t>'=IFERROR(MonthlyPayments*LoanYears*12, "")</t>
        </is>
      </c>
      <c r="G34" t="n">
        <v>12675.04912400567</v>
      </c>
      <c r="H34" t="inlineStr"/>
      <c r="I34" t="inlineStr">
        <is>
          <t>"$"#,##0.00_);[Red]\("$"#,##0.00\)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n">
        <v/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>
        <f>IFERROR(MonthlyPayments*LoanYears*12, "")</f>
        <v/>
      </c>
    </row>
    <row r="35">
      <c r="A35" t="inlineStr">
        <is>
          <t>Loan analysis</t>
        </is>
      </c>
      <c r="B35" t="inlineStr">
        <is>
          <t>J4</t>
        </is>
      </c>
      <c r="C35" t="n">
        <v>4</v>
      </c>
      <c r="D35" t="n">
        <v>10</v>
      </c>
      <c r="E35" t="inlineStr">
        <is>
          <t>Input</t>
        </is>
      </c>
      <c r="F35" t="n">
        <v/>
      </c>
      <c r="H35" t="inlineStr"/>
      <c r="I35" t="inlineStr">
        <is>
          <t>"$"#,##0.00_);[Red]\("$"#,##0.00\)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Loan analysis</t>
        </is>
      </c>
      <c r="B36" t="inlineStr">
        <is>
          <t>K4</t>
        </is>
      </c>
      <c r="C36" t="n">
        <v>4</v>
      </c>
      <c r="D36" t="n">
        <v>11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n">
        <v/>
      </c>
      <c r="P36" t="n">
        <v/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Loan analysis</t>
        </is>
      </c>
      <c r="B37" t="inlineStr">
        <is>
          <t>A5</t>
        </is>
      </c>
      <c r="C37" t="n">
        <v>5</v>
      </c>
      <c r="D37" t="n">
        <v>1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Loan analysis</t>
        </is>
      </c>
      <c r="B38" t="inlineStr">
        <is>
          <t>B5</t>
        </is>
      </c>
      <c r="C38" t="n">
        <v>5</v>
      </c>
      <c r="D38" t="n">
        <v>2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12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right</t>
        </is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Loan analysis</t>
        </is>
      </c>
      <c r="B39" t="inlineStr">
        <is>
          <t>C5</t>
        </is>
      </c>
      <c r="C39" t="n">
        <v>5</v>
      </c>
      <c r="D39" t="n">
        <v>3</v>
      </c>
      <c r="E39" t="inlineStr">
        <is>
          <t>Input</t>
        </is>
      </c>
      <c r="F39" t="n">
        <v/>
      </c>
      <c r="G39" t="inlineStr">
        <is>
          <t>LOAN AMOUNT</t>
        </is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12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right</t>
        </is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Loan analysis</t>
        </is>
      </c>
      <c r="B40" t="inlineStr">
        <is>
          <t>D5</t>
        </is>
      </c>
      <c r="C40" t="n">
        <v>5</v>
      </c>
      <c r="D40" t="n">
        <v>4</v>
      </c>
      <c r="E40" t="inlineStr">
        <is>
          <t>Input</t>
        </is>
      </c>
      <c r="F40" t="n">
        <v/>
      </c>
      <c r="G40" t="n">
        <v>10000</v>
      </c>
      <c r="H40" t="inlineStr"/>
      <c r="I40" t="inlineStr">
        <is>
          <t>"$"#,##0.00_);[Red]\("$"#,##0.00\)</t>
        </is>
      </c>
      <c r="J40" t="b">
        <v>0</v>
      </c>
      <c r="K40" t="b">
        <v>0</v>
      </c>
      <c r="L40" t="n">
        <v>12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right</t>
        </is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Loan analysis</t>
        </is>
      </c>
      <c r="B41" t="inlineStr">
        <is>
          <t>E5</t>
        </is>
      </c>
      <c r="C41" t="n">
        <v>5</v>
      </c>
      <c r="D41" t="n">
        <v>5</v>
      </c>
      <c r="E41" t="inlineStr">
        <is>
          <t>Input</t>
        </is>
      </c>
      <c r="F41" t="n">
        <v/>
      </c>
      <c r="H41" t="inlineStr"/>
      <c r="I41" t="inlineStr">
        <is>
          <t>"$"#,##0.00_);[Red]\("$"#,##0.00\)</t>
        </is>
      </c>
      <c r="J41" t="b">
        <v>0</v>
      </c>
      <c r="K41" t="b">
        <v>0</v>
      </c>
      <c r="L41" t="n">
        <v>12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right</t>
        </is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Loan analysis</t>
        </is>
      </c>
      <c r="B42" t="inlineStr">
        <is>
          <t>F5</t>
        </is>
      </c>
      <c r="C42" t="n">
        <v>5</v>
      </c>
      <c r="D42" t="n">
        <v>6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12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n">
        <v/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Loan analysis</t>
        </is>
      </c>
      <c r="B43" t="inlineStr">
        <is>
          <t>G5</t>
        </is>
      </c>
      <c r="C43" t="n">
        <v>5</v>
      </c>
      <c r="D43" t="n">
        <v>7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12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n">
        <v/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Loan analysis</t>
        </is>
      </c>
      <c r="B44" t="inlineStr">
        <is>
          <t>H5</t>
        </is>
      </c>
      <c r="C44" t="n">
        <v>5</v>
      </c>
      <c r="D44" t="n">
        <v>8</v>
      </c>
      <c r="E44" t="inlineStr">
        <is>
          <t>Input</t>
        </is>
      </c>
      <c r="F44" t="n">
        <v/>
      </c>
      <c r="G44" t="inlineStr">
        <is>
          <t>TOTAL INTEREST</t>
        </is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12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right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Loan analysis</t>
        </is>
      </c>
      <c r="B45" t="inlineStr">
        <is>
          <t>I5</t>
        </is>
      </c>
      <c r="C45" t="n">
        <v>5</v>
      </c>
      <c r="D45" t="n">
        <v>9</v>
      </c>
      <c r="E45" t="inlineStr">
        <is>
          <t>Output</t>
        </is>
      </c>
      <c r="F45" t="inlineStr">
        <is>
          <t>'=IFERROR(TotalPayments-LoanAmount, "")</t>
        </is>
      </c>
      <c r="G45" t="n">
        <v>2675.049124005669</v>
      </c>
      <c r="H45" t="inlineStr"/>
      <c r="I45" t="inlineStr">
        <is>
          <t>"$"#,##0.00_);[Red]\("$"#,##0.00\)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>
        <f>IFERROR(TotalPayments-LoanAmount, "")</f>
        <v/>
      </c>
    </row>
    <row r="46">
      <c r="A46" t="inlineStr">
        <is>
          <t>Loan analysis</t>
        </is>
      </c>
      <c r="B46" t="inlineStr">
        <is>
          <t>J5</t>
        </is>
      </c>
      <c r="C46" t="n">
        <v>5</v>
      </c>
      <c r="D46" t="n">
        <v>10</v>
      </c>
      <c r="E46" t="inlineStr">
        <is>
          <t>Input</t>
        </is>
      </c>
      <c r="F46" t="n">
        <v/>
      </c>
      <c r="H46" t="inlineStr"/>
      <c r="I46" t="inlineStr">
        <is>
          <t>"$"#,##0.00_);[Red]\("$"#,##0.00\)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n">
        <v/>
      </c>
      <c r="P46" t="n">
        <v/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Loan analysis</t>
        </is>
      </c>
      <c r="B47" t="inlineStr">
        <is>
          <t>K5</t>
        </is>
      </c>
      <c r="C47" t="n">
        <v>5</v>
      </c>
      <c r="D47" t="n">
        <v>11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n">
        <v/>
      </c>
      <c r="P47" t="n">
        <v/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Loan analysis</t>
        </is>
      </c>
      <c r="B48" t="inlineStr">
        <is>
          <t>A6</t>
        </is>
      </c>
      <c r="C48" t="n">
        <v>6</v>
      </c>
      <c r="D48" t="n">
        <v>1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n">
        <v/>
      </c>
      <c r="P48" t="n">
        <v/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Loan analysis</t>
        </is>
      </c>
      <c r="B49" t="inlineStr">
        <is>
          <t>B6</t>
        </is>
      </c>
      <c r="C49" t="n">
        <v>6</v>
      </c>
      <c r="D49" t="n">
        <v>2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12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right</t>
        </is>
      </c>
      <c r="P49" t="n">
        <v/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Loan analysis</t>
        </is>
      </c>
      <c r="B50" t="inlineStr">
        <is>
          <t>C6</t>
        </is>
      </c>
      <c r="C50" t="n">
        <v>6</v>
      </c>
      <c r="D50" t="n">
        <v>3</v>
      </c>
      <c r="E50" t="inlineStr">
        <is>
          <t>Input</t>
        </is>
      </c>
      <c r="F50" t="n">
        <v/>
      </c>
      <c r="G50" t="inlineStr">
        <is>
          <t>PAYMENTS DUE</t>
        </is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12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right</t>
        </is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Loan analysis</t>
        </is>
      </c>
      <c r="B51" t="inlineStr">
        <is>
          <t>D6</t>
        </is>
      </c>
      <c r="C51" t="n">
        <v>6</v>
      </c>
      <c r="D51" t="n">
        <v>4</v>
      </c>
      <c r="E51" t="inlineStr">
        <is>
          <t>Input</t>
        </is>
      </c>
      <c r="F51" t="n">
        <v/>
      </c>
      <c r="G51" t="inlineStr">
        <is>
          <t>Start of period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12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right</t>
        </is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Loan analysis</t>
        </is>
      </c>
      <c r="B52" t="inlineStr">
        <is>
          <t>E6</t>
        </is>
      </c>
      <c r="C52" t="n">
        <v>6</v>
      </c>
      <c r="D52" t="n">
        <v>5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12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right</t>
        </is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Loan analysis</t>
        </is>
      </c>
      <c r="B53" t="inlineStr">
        <is>
          <t>F6</t>
        </is>
      </c>
      <c r="C53" t="n">
        <v>6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n">
        <v/>
      </c>
      <c r="P53" t="n">
        <v/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Loan analysis</t>
        </is>
      </c>
      <c r="B54" t="inlineStr">
        <is>
          <t>G6</t>
        </is>
      </c>
      <c r="C54" t="n">
        <v>6</v>
      </c>
      <c r="D54" t="n">
        <v>7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n">
        <v/>
      </c>
      <c r="P54" t="n">
        <v/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Loan analysis</t>
        </is>
      </c>
      <c r="B55" t="inlineStr">
        <is>
          <t>H6</t>
        </is>
      </c>
      <c r="C55" t="n">
        <v>6</v>
      </c>
      <c r="D55" t="n">
        <v>8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Loan analysis</t>
        </is>
      </c>
      <c r="B56" t="inlineStr">
        <is>
          <t>I6</t>
        </is>
      </c>
      <c r="C56" t="n">
        <v>6</v>
      </c>
      <c r="D56" t="n">
        <v>9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Loan analysis</t>
        </is>
      </c>
      <c r="B57" t="inlineStr">
        <is>
          <t>J6</t>
        </is>
      </c>
      <c r="C57" t="n">
        <v>6</v>
      </c>
      <c r="D57" t="n">
        <v>10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Loan analysis</t>
        </is>
      </c>
      <c r="B58" t="inlineStr">
        <is>
          <t>K6</t>
        </is>
      </c>
      <c r="C58" t="n">
        <v>6</v>
      </c>
      <c r="D58" t="n">
        <v>11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n">
        <v/>
      </c>
      <c r="P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Loan analysis</t>
        </is>
      </c>
      <c r="B59" t="inlineStr">
        <is>
          <t>A7</t>
        </is>
      </c>
      <c r="C59" t="n">
        <v>7</v>
      </c>
      <c r="D59" t="n">
        <v>1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Loan analysis</t>
        </is>
      </c>
      <c r="B60" t="inlineStr">
        <is>
          <t>B7</t>
        </is>
      </c>
      <c r="C60" t="n">
        <v>7</v>
      </c>
      <c r="D60" t="n">
        <v>2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12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n">
        <v/>
      </c>
      <c r="P60" t="inlineStr">
        <is>
          <t>center</t>
        </is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Loan analysis</t>
        </is>
      </c>
      <c r="B61" t="inlineStr">
        <is>
          <t>C7</t>
        </is>
      </c>
      <c r="C61" t="n">
        <v>7</v>
      </c>
      <c r="D61" t="n">
        <v>3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12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n">
        <v/>
      </c>
      <c r="P61" t="inlineStr">
        <is>
          <t>center</t>
        </is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Loan analysis</t>
        </is>
      </c>
      <c r="B62" t="inlineStr">
        <is>
          <t>D7</t>
        </is>
      </c>
      <c r="C62" t="n">
        <v>7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12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right</t>
        </is>
      </c>
      <c r="P62" t="inlineStr">
        <is>
          <t>center</t>
        </is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Loan analysis</t>
        </is>
      </c>
      <c r="B63" t="inlineStr">
        <is>
          <t>E7</t>
        </is>
      </c>
      <c r="C63" t="n">
        <v>7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12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right</t>
        </is>
      </c>
      <c r="P63" t="inlineStr">
        <is>
          <t>center</t>
        </is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Loan analysis</t>
        </is>
      </c>
      <c r="B64" t="inlineStr">
        <is>
          <t>F7</t>
        </is>
      </c>
      <c r="C64" t="n">
        <v>7</v>
      </c>
      <c r="D64" t="n">
        <v>6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n">
        <v/>
      </c>
      <c r="P64" t="inlineStr">
        <is>
          <t>center</t>
        </is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Loan analysis</t>
        </is>
      </c>
      <c r="B65" t="inlineStr">
        <is>
          <t>G7</t>
        </is>
      </c>
      <c r="C65" t="n">
        <v>7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n">
        <v/>
      </c>
      <c r="P65" t="inlineStr">
        <is>
          <t>center</t>
        </is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Loan analysis</t>
        </is>
      </c>
      <c r="B66" t="inlineStr">
        <is>
          <t>H7</t>
        </is>
      </c>
      <c r="C66" t="n">
        <v>7</v>
      </c>
      <c r="D66" t="n">
        <v>8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n">
        <v/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Loan analysis</t>
        </is>
      </c>
      <c r="B67" t="inlineStr">
        <is>
          <t>I7</t>
        </is>
      </c>
      <c r="C67" t="n">
        <v>7</v>
      </c>
      <c r="D67" t="n">
        <v>9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n">
        <v/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Loan analysis</t>
        </is>
      </c>
      <c r="B68" t="inlineStr">
        <is>
          <t>J7</t>
        </is>
      </c>
      <c r="C68" t="n">
        <v>7</v>
      </c>
      <c r="D68" t="n">
        <v>10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n">
        <v/>
      </c>
      <c r="P68" t="n">
        <v/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Loan analysis</t>
        </is>
      </c>
      <c r="B69" t="inlineStr">
        <is>
          <t>K7</t>
        </is>
      </c>
      <c r="C69" t="n">
        <v>7</v>
      </c>
      <c r="D69" t="n">
        <v>11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n">
        <v/>
      </c>
      <c r="P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Loan analysis</t>
        </is>
      </c>
      <c r="B70" t="inlineStr">
        <is>
          <t>A8</t>
        </is>
      </c>
      <c r="C70" t="n">
        <v>8</v>
      </c>
      <c r="D70" t="n">
        <v>1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n">
        <v/>
      </c>
      <c r="P70" t="n">
        <v/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Loan analysis</t>
        </is>
      </c>
      <c r="B71" t="inlineStr">
        <is>
          <t>B8</t>
        </is>
      </c>
      <c r="C71" t="n">
        <v>8</v>
      </c>
      <c r="D71" t="n">
        <v>2</v>
      </c>
      <c r="E71" t="inlineStr">
        <is>
          <t>Input</t>
        </is>
      </c>
      <c r="F71" t="n">
        <v/>
      </c>
      <c r="G71" t="inlineStr">
        <is>
          <t>YEARS</t>
        </is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18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center</t>
        </is>
      </c>
      <c r="P71" t="inlineStr">
        <is>
          <t>center</t>
        </is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Loan analysis</t>
        </is>
      </c>
      <c r="B72" t="inlineStr">
        <is>
          <t>C8</t>
        </is>
      </c>
      <c r="C72" t="n">
        <v>8</v>
      </c>
      <c r="D72" t="n">
        <v>3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P72" t="n">
        <v/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Loan analysis</t>
        </is>
      </c>
      <c r="B73" t="inlineStr">
        <is>
          <t>D8</t>
        </is>
      </c>
      <c r="C73" t="n">
        <v>8</v>
      </c>
      <c r="D73" t="n">
        <v>4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P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Loan analysis</t>
        </is>
      </c>
      <c r="B74" t="inlineStr">
        <is>
          <t>E8</t>
        </is>
      </c>
      <c r="C74" t="n">
        <v>8</v>
      </c>
      <c r="D74" t="n">
        <v>5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P74" t="n">
        <v/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Loan analysis</t>
        </is>
      </c>
      <c r="B75" t="inlineStr">
        <is>
          <t>F8</t>
        </is>
      </c>
      <c r="C75" t="n">
        <v>8</v>
      </c>
      <c r="D75" t="n">
        <v>6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P75" t="n">
        <v/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Loan analysis</t>
        </is>
      </c>
      <c r="B76" t="inlineStr">
        <is>
          <t>G8</t>
        </is>
      </c>
      <c r="C76" t="n">
        <v>8</v>
      </c>
      <c r="D76" t="n">
        <v>7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P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Loan analysis</t>
        </is>
      </c>
      <c r="B77" t="inlineStr">
        <is>
          <t>H8</t>
        </is>
      </c>
      <c r="C77" t="n">
        <v>8</v>
      </c>
      <c r="D77" t="n">
        <v>8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P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Loan analysis</t>
        </is>
      </c>
      <c r="B78" t="inlineStr">
        <is>
          <t>I8</t>
        </is>
      </c>
      <c r="C78" t="n">
        <v>8</v>
      </c>
      <c r="D78" t="n">
        <v>9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P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Loan analysis</t>
        </is>
      </c>
      <c r="B79" t="inlineStr">
        <is>
          <t>J8</t>
        </is>
      </c>
      <c r="C79" t="n">
        <v>8</v>
      </c>
      <c r="D79" t="n">
        <v>10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P79" t="n">
        <v/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Loan analysis</t>
        </is>
      </c>
      <c r="B80" t="inlineStr">
        <is>
          <t>K8</t>
        </is>
      </c>
      <c r="C80" t="n">
        <v>8</v>
      </c>
      <c r="D80" t="n">
        <v>11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n">
        <v/>
      </c>
      <c r="P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Loan analysis</t>
        </is>
      </c>
      <c r="B81" t="inlineStr">
        <is>
          <t>A9</t>
        </is>
      </c>
      <c r="C81" t="n">
        <v>9</v>
      </c>
      <c r="D81" t="n">
        <v>1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n">
        <v/>
      </c>
      <c r="P81" t="n">
        <v/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Loan analysis</t>
        </is>
      </c>
      <c r="B82" t="inlineStr">
        <is>
          <t>B9</t>
        </is>
      </c>
      <c r="C82" t="n">
        <v>9</v>
      </c>
      <c r="D82" t="n">
        <v>2</v>
      </c>
      <c r="E82" t="inlineStr">
        <is>
          <t>Input</t>
        </is>
      </c>
      <c r="F82" t="n">
        <v/>
      </c>
      <c r="G82" t="inlineStr">
        <is>
          <t>RATE</t>
        </is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14</v>
      </c>
      <c r="M82" t="inlineStr">
        <is>
          <t>Values must be of type &lt;class 'str'&gt;</t>
        </is>
      </c>
      <c r="N82" t="inlineStr">
        <is>
          <t>00000000</t>
        </is>
      </c>
      <c r="O82" t="inlineStr">
        <is>
          <t>center</t>
        </is>
      </c>
      <c r="P82" t="inlineStr">
        <is>
          <t>center</t>
        </is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Loan analysis</t>
        </is>
      </c>
      <c r="B83" t="inlineStr">
        <is>
          <t>C9</t>
        </is>
      </c>
      <c r="C83" t="n">
        <v>9</v>
      </c>
      <c r="D83" t="n">
        <v>3</v>
      </c>
      <c r="E83" t="inlineStr">
        <is>
          <t>Input</t>
        </is>
      </c>
      <c r="F83" t="n">
        <v/>
      </c>
      <c r="G83" t="inlineStr">
        <is>
          <t>3</t>
        </is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14</v>
      </c>
      <c r="M83" t="inlineStr">
        <is>
          <t>Values must be of type &lt;class 'str'&gt;</t>
        </is>
      </c>
      <c r="N83" t="inlineStr">
        <is>
          <t>00000000</t>
        </is>
      </c>
      <c r="O83" t="inlineStr">
        <is>
          <t>center</t>
        </is>
      </c>
      <c r="P83" t="inlineStr">
        <is>
          <t>center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Loan analysis</t>
        </is>
      </c>
      <c r="B84" t="inlineStr">
        <is>
          <t>D9</t>
        </is>
      </c>
      <c r="C84" t="n">
        <v>9</v>
      </c>
      <c r="D84" t="n">
        <v>4</v>
      </c>
      <c r="E84" t="inlineStr">
        <is>
          <t>Input</t>
        </is>
      </c>
      <c r="F84" t="n">
        <v/>
      </c>
      <c r="G84" t="inlineStr">
        <is>
          <t>5</t>
        </is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14</v>
      </c>
      <c r="M84" t="inlineStr">
        <is>
          <t>Values must be of type &lt;class 'str'&gt;</t>
        </is>
      </c>
      <c r="N84" t="inlineStr">
        <is>
          <t>00000000</t>
        </is>
      </c>
      <c r="O84" t="inlineStr">
        <is>
          <t>center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Loan analysis</t>
        </is>
      </c>
      <c r="B85" t="inlineStr">
        <is>
          <t>E9</t>
        </is>
      </c>
      <c r="C85" t="n">
        <v>9</v>
      </c>
      <c r="D85" t="n">
        <v>5</v>
      </c>
      <c r="E85" t="inlineStr">
        <is>
          <t>Input</t>
        </is>
      </c>
      <c r="F85" t="n">
        <v/>
      </c>
      <c r="G85" t="inlineStr">
        <is>
          <t>10</t>
        </is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14</v>
      </c>
      <c r="M85" t="inlineStr">
        <is>
          <t>Values must be of type &lt;class 'str'&gt;</t>
        </is>
      </c>
      <c r="N85" t="inlineStr">
        <is>
          <t>00000000</t>
        </is>
      </c>
      <c r="O85" t="inlineStr">
        <is>
          <t>center</t>
        </is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Loan analysis</t>
        </is>
      </c>
      <c r="B86" t="inlineStr">
        <is>
          <t>F9</t>
        </is>
      </c>
      <c r="C86" t="n">
        <v>9</v>
      </c>
      <c r="D86" t="n">
        <v>6</v>
      </c>
      <c r="E86" t="inlineStr">
        <is>
          <t>Input</t>
        </is>
      </c>
      <c r="F86" t="n">
        <v/>
      </c>
      <c r="G86" t="inlineStr">
        <is>
          <t>12</t>
        </is>
      </c>
      <c r="H86" t="inlineStr"/>
      <c r="I86" t="inlineStr">
        <is>
          <t>General</t>
        </is>
      </c>
      <c r="J86" t="b">
        <v>1</v>
      </c>
      <c r="K86" t="b">
        <v>0</v>
      </c>
      <c r="L86" t="n">
        <v>14</v>
      </c>
      <c r="M86" t="inlineStr">
        <is>
          <t>Values must be of type &lt;class 'str'&gt;</t>
        </is>
      </c>
      <c r="N86" t="inlineStr">
        <is>
          <t>00000000</t>
        </is>
      </c>
      <c r="O86" t="inlineStr">
        <is>
          <t>center</t>
        </is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Loan analysis</t>
        </is>
      </c>
      <c r="B87" t="inlineStr">
        <is>
          <t>G9</t>
        </is>
      </c>
      <c r="C87" t="n">
        <v>9</v>
      </c>
      <c r="D87" t="n">
        <v>7</v>
      </c>
      <c r="E87" t="inlineStr">
        <is>
          <t>Input</t>
        </is>
      </c>
      <c r="F87" t="n">
        <v/>
      </c>
      <c r="G87" t="inlineStr">
        <is>
          <t>15</t>
        </is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14</v>
      </c>
      <c r="M87" t="inlineStr">
        <is>
          <t>Values must be of type &lt;class 'str'&gt;</t>
        </is>
      </c>
      <c r="N87" t="inlineStr">
        <is>
          <t>00000000</t>
        </is>
      </c>
      <c r="O87" t="inlineStr">
        <is>
          <t>center</t>
        </is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Loan analysis</t>
        </is>
      </c>
      <c r="B88" t="inlineStr">
        <is>
          <t>H9</t>
        </is>
      </c>
      <c r="C88" t="n">
        <v>9</v>
      </c>
      <c r="D88" t="n">
        <v>8</v>
      </c>
      <c r="E88" t="inlineStr">
        <is>
          <t>Input</t>
        </is>
      </c>
      <c r="F88" t="n">
        <v/>
      </c>
      <c r="G88" t="inlineStr">
        <is>
          <t>20</t>
        </is>
      </c>
      <c r="H88" t="inlineStr"/>
      <c r="I88" t="inlineStr">
        <is>
          <t>General</t>
        </is>
      </c>
      <c r="J88" t="b">
        <v>1</v>
      </c>
      <c r="K88" t="b">
        <v>0</v>
      </c>
      <c r="L88" t="n">
        <v>14</v>
      </c>
      <c r="M88" t="inlineStr">
        <is>
          <t>Values must be of type &lt;class 'str'&gt;</t>
        </is>
      </c>
      <c r="N88" t="inlineStr">
        <is>
          <t>00000000</t>
        </is>
      </c>
      <c r="O88" t="inlineStr">
        <is>
          <t>center</t>
        </is>
      </c>
      <c r="P88" t="inlineStr">
        <is>
          <t>center</t>
        </is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Loan analysis</t>
        </is>
      </c>
      <c r="B89" t="inlineStr">
        <is>
          <t>I9</t>
        </is>
      </c>
      <c r="C89" t="n">
        <v>9</v>
      </c>
      <c r="D89" t="n">
        <v>9</v>
      </c>
      <c r="E89" t="inlineStr">
        <is>
          <t>Input</t>
        </is>
      </c>
      <c r="F89" t="n">
        <v/>
      </c>
      <c r="G89" t="inlineStr">
        <is>
          <t>25</t>
        </is>
      </c>
      <c r="H89" t="inlineStr"/>
      <c r="I89" t="inlineStr">
        <is>
          <t>General</t>
        </is>
      </c>
      <c r="J89" t="b">
        <v>1</v>
      </c>
      <c r="K89" t="b">
        <v>0</v>
      </c>
      <c r="L89" t="n">
        <v>14</v>
      </c>
      <c r="M89" t="inlineStr">
        <is>
          <t>Values must be of type &lt;class 'str'&gt;</t>
        </is>
      </c>
      <c r="N89" t="inlineStr">
        <is>
          <t>00000000</t>
        </is>
      </c>
      <c r="O89" t="inlineStr">
        <is>
          <t>center</t>
        </is>
      </c>
      <c r="P89" t="inlineStr">
        <is>
          <t>center</t>
        </is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Loan analysis</t>
        </is>
      </c>
      <c r="B90" t="inlineStr">
        <is>
          <t>J9</t>
        </is>
      </c>
      <c r="C90" t="n">
        <v>9</v>
      </c>
      <c r="D90" t="n">
        <v>10</v>
      </c>
      <c r="E90" t="inlineStr">
        <is>
          <t>Input</t>
        </is>
      </c>
      <c r="F90" t="n">
        <v/>
      </c>
      <c r="G90" t="inlineStr">
        <is>
          <t>30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14</v>
      </c>
      <c r="M90" t="inlineStr">
        <is>
          <t>Values must be of type &lt;class 'str'&gt;</t>
        </is>
      </c>
      <c r="N90" t="inlineStr">
        <is>
          <t>00000000</t>
        </is>
      </c>
      <c r="O90" t="inlineStr">
        <is>
          <t>center</t>
        </is>
      </c>
      <c r="P90" t="inlineStr">
        <is>
          <t>center</t>
        </is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Loan analysis</t>
        </is>
      </c>
      <c r="B91" t="inlineStr">
        <is>
          <t>K9</t>
        </is>
      </c>
      <c r="C91" t="n">
        <v>9</v>
      </c>
      <c r="D91" t="n">
        <v>11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n">
        <v/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Loan analysis</t>
        </is>
      </c>
      <c r="B92" t="inlineStr">
        <is>
          <t>A10</t>
        </is>
      </c>
      <c r="C92" t="n">
        <v>10</v>
      </c>
      <c r="D92" t="n">
        <v>1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Loan analysis</t>
        </is>
      </c>
      <c r="B93" t="inlineStr">
        <is>
          <t>B10</t>
        </is>
      </c>
      <c r="C93" t="n">
        <v>10</v>
      </c>
      <c r="D93" t="n">
        <v>2</v>
      </c>
      <c r="E93" t="inlineStr">
        <is>
          <t>Output</t>
        </is>
      </c>
      <c r="F93" t="inlineStr">
        <is>
          <t>'=IFERROR(MAX((ROW()-ROW(Data[[#Headers],[RATE]]))*0.0025+0.0175,0.0025), "")</t>
        </is>
      </c>
      <c r="G93" t="n">
        <v>0.02</v>
      </c>
      <c r="H93" t="inlineStr"/>
      <c r="I93" t="inlineStr">
        <is>
          <t>0.00%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inlineStr">
        <is>
          <t>center</t>
        </is>
      </c>
      <c r="P93" t="inlineStr">
        <is>
          <t>center</t>
        </is>
      </c>
      <c r="R93" t="b">
        <v>1</v>
      </c>
      <c r="S93" t="inlineStr">
        <is>
          <t>G000001</t>
        </is>
      </c>
      <c r="T93" t="inlineStr">
        <is>
          <t>Vertical</t>
        </is>
      </c>
      <c r="U93" t="n">
        <v>57</v>
      </c>
      <c r="V93" t="b">
        <v>1</v>
      </c>
      <c r="W93" t="inlineStr">
        <is>
          <t>Loan analysis!B10:B66</t>
        </is>
      </c>
      <c r="X93">
        <f>IFERROR(MAX((ROW()-ROW(Data[[#Headers],[RATE]]))*0.0025+0.0175,0.0025), "")</f>
        <v/>
      </c>
    </row>
    <row r="94">
      <c r="A94" t="inlineStr">
        <is>
          <t>Loan analysis</t>
        </is>
      </c>
      <c r="B94" t="inlineStr">
        <is>
          <t>C10</t>
        </is>
      </c>
      <c r="C94" t="n">
        <v>10</v>
      </c>
      <c r="D94" t="n">
        <v>3</v>
      </c>
      <c r="E94" t="inlineStr">
        <is>
          <t>Output</t>
        </is>
      </c>
      <c r="F94" t="inlineStr">
        <is>
          <t>'=IFERROR(PMT(INDEX(Data[],ROW()-ROW(Data[[#Headers],[3]]),1)/12,Data[[#Headers],[3]]*12,-LoanAmount,0,IF(PaymentsDue="End of Period",0,1)), "")</t>
        </is>
      </c>
      <c r="G94" t="n">
        <v>285.9492053157043</v>
      </c>
      <c r="H94" t="inlineStr"/>
      <c r="I94" t="inlineStr">
        <is>
          <t>"$"#,##0.00_);[Red]\("$"#,##0.00\)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inlineStr">
        <is>
          <t>center</t>
        </is>
      </c>
      <c r="P94" t="inlineStr">
        <is>
          <t>center</t>
        </is>
      </c>
      <c r="R94" t="b">
        <v>1</v>
      </c>
      <c r="S94" t="inlineStr">
        <is>
          <t>G000002</t>
        </is>
      </c>
      <c r="T94" t="inlineStr">
        <is>
          <t>Vertical</t>
        </is>
      </c>
      <c r="U94" t="n">
        <v>57</v>
      </c>
      <c r="V94" t="b">
        <v>1</v>
      </c>
      <c r="W94" t="inlineStr">
        <is>
          <t>Loan analysis!C10:C66</t>
        </is>
      </c>
      <c r="X94">
        <f>IFERROR(PMT(INDEX(Data[],ROW()-ROW(Data[[#Headers],[3]]),1)/12,Data[[#Headers],[3]]*12,-LoanAmount,0,IF(PaymentsDue="End of Period",0,1)), "")</f>
        <v/>
      </c>
    </row>
    <row r="95">
      <c r="A95" t="inlineStr">
        <is>
          <t>Loan analysis</t>
        </is>
      </c>
      <c r="B95" t="inlineStr">
        <is>
          <t>D10</t>
        </is>
      </c>
      <c r="C95" t="n">
        <v>10</v>
      </c>
      <c r="D95" t="n">
        <v>4</v>
      </c>
      <c r="E95" t="inlineStr">
        <is>
          <t>Output</t>
        </is>
      </c>
      <c r="F95" t="inlineStr">
        <is>
          <t>'=IFERROR(PMT(INDEX(Data[],ROW()-ROW(Data[[#Headers],[5]]),1)/12,Data[[#Headers],[5]]*12,-LoanAmount,0,IF(PaymentsDue="End of Period",0,1)), "")</t>
        </is>
      </c>
      <c r="G95" t="n">
        <v>174.9859572703266</v>
      </c>
      <c r="H95" t="inlineStr"/>
      <c r="I95" t="inlineStr">
        <is>
          <t>"$"#,##0.00_);[Red]\("$"#,##0.00\)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inlineStr">
        <is>
          <t>center</t>
        </is>
      </c>
      <c r="P95" t="inlineStr">
        <is>
          <t>center</t>
        </is>
      </c>
      <c r="R95" t="b">
        <v>1</v>
      </c>
      <c r="S95" t="inlineStr">
        <is>
          <t>G000003</t>
        </is>
      </c>
      <c r="T95" t="inlineStr">
        <is>
          <t>Vertical</t>
        </is>
      </c>
      <c r="U95" t="n">
        <v>57</v>
      </c>
      <c r="V95" t="b">
        <v>1</v>
      </c>
      <c r="W95" t="inlineStr">
        <is>
          <t>Loan analysis!D10:D66</t>
        </is>
      </c>
      <c r="X95">
        <f>IFERROR(PMT(INDEX(Data[],ROW()-ROW(Data[[#Headers],[5]]),1)/12,Data[[#Headers],[5]]*12,-LoanAmount,0,IF(PaymentsDue="End of Period",0,1)), "")</f>
        <v/>
      </c>
    </row>
    <row r="96">
      <c r="A96" t="inlineStr">
        <is>
          <t>Loan analysis</t>
        </is>
      </c>
      <c r="B96" t="inlineStr">
        <is>
          <t>E10</t>
        </is>
      </c>
      <c r="C96" t="n">
        <v>10</v>
      </c>
      <c r="D96" t="n">
        <v>5</v>
      </c>
      <c r="E96" t="inlineStr">
        <is>
          <t>Output</t>
        </is>
      </c>
      <c r="F96" t="inlineStr">
        <is>
          <t>'=IFERROR(PMT(INDEX(Data[],ROW()-ROW(Data[[#Headers],[10]]),1)/12,Data[[#Headers],[10]]*12,-LoanAmount,0,IF(PaymentsDue="End of Period",0,1)), "")</t>
        </is>
      </c>
      <c r="G96" t="n">
        <v>91.86035325380436</v>
      </c>
      <c r="H96" t="inlineStr"/>
      <c r="I96" t="inlineStr">
        <is>
          <t>"$"#,##0.00_);[Red]\("$"#,##0.00\)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inlineStr">
        <is>
          <t>center</t>
        </is>
      </c>
      <c r="P96" t="inlineStr">
        <is>
          <t>center</t>
        </is>
      </c>
      <c r="R96" t="b">
        <v>1</v>
      </c>
      <c r="S96" t="inlineStr">
        <is>
          <t>G000004</t>
        </is>
      </c>
      <c r="T96" t="inlineStr">
        <is>
          <t>Vertical</t>
        </is>
      </c>
      <c r="U96" t="n">
        <v>57</v>
      </c>
      <c r="V96" t="b">
        <v>1</v>
      </c>
      <c r="W96" t="inlineStr">
        <is>
          <t>Loan analysis!E10:E66</t>
        </is>
      </c>
      <c r="X96">
        <f>IFERROR(PMT(INDEX(Data[],ROW()-ROW(Data[[#Headers],[10]]),1)/12,Data[[#Headers],[10]]*12,-LoanAmount,0,IF(PaymentsDue="End of Period",0,1)), "")</f>
        <v/>
      </c>
    </row>
    <row r="97">
      <c r="A97" t="inlineStr">
        <is>
          <t>Loan analysis</t>
        </is>
      </c>
      <c r="B97" t="inlineStr">
        <is>
          <t>F10</t>
        </is>
      </c>
      <c r="C97" t="n">
        <v>10</v>
      </c>
      <c r="D97" t="n">
        <v>6</v>
      </c>
      <c r="E97" t="inlineStr">
        <is>
          <t>Output</t>
        </is>
      </c>
      <c r="F97" t="inlineStr">
        <is>
          <t>'=IFERROR(PMT(INDEX(Data[],ROW()-ROW(Data[[#Headers],[12]]),1)/12,Data[[#Headers],[12]]*12,-LoanAmount,0,IF(PaymentsDue="End of Period",0,1)), "")</t>
        </is>
      </c>
      <c r="G97" t="n">
        <v>78.0383053428547</v>
      </c>
      <c r="H97" t="inlineStr"/>
      <c r="I97" t="inlineStr">
        <is>
          <t>"$"#,##0.00_);[Red]\("$"#,##0.00\)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inlineStr">
        <is>
          <t>center</t>
        </is>
      </c>
      <c r="P97" t="inlineStr">
        <is>
          <t>center</t>
        </is>
      </c>
      <c r="R97" t="b">
        <v>1</v>
      </c>
      <c r="S97" t="inlineStr">
        <is>
          <t>G000005</t>
        </is>
      </c>
      <c r="T97" t="inlineStr">
        <is>
          <t>Vertical</t>
        </is>
      </c>
      <c r="U97" t="n">
        <v>57</v>
      </c>
      <c r="V97" t="b">
        <v>1</v>
      </c>
      <c r="W97" t="inlineStr">
        <is>
          <t>Loan analysis!F10:F66</t>
        </is>
      </c>
      <c r="X97">
        <f>IFERROR(PMT(INDEX(Data[],ROW()-ROW(Data[[#Headers],[12]]),1)/12,Data[[#Headers],[12]]*12,-LoanAmount,0,IF(PaymentsDue="End of Period",0,1)), "")</f>
        <v/>
      </c>
    </row>
    <row r="98">
      <c r="A98" t="inlineStr">
        <is>
          <t>Loan analysis</t>
        </is>
      </c>
      <c r="B98" t="inlineStr">
        <is>
          <t>G10</t>
        </is>
      </c>
      <c r="C98" t="n">
        <v>10</v>
      </c>
      <c r="D98" t="n">
        <v>7</v>
      </c>
      <c r="E98" t="inlineStr">
        <is>
          <t>Output</t>
        </is>
      </c>
      <c r="F98" t="inlineStr">
        <is>
          <t>'=IFERROR(PMT(INDEX(Data[],ROW()-ROW(Data[[#Headers],[15]]),1)/12,Data[[#Headers],[15]]*12,-LoanAmount,0,IF(PaymentsDue="End of Period",0,1)), "")</t>
        </is>
      </c>
      <c r="G98" t="n">
        <v>64.24379706067144</v>
      </c>
      <c r="H98" t="inlineStr"/>
      <c r="I98" t="inlineStr">
        <is>
          <t>"$"#,##0.00_);[Red]\("$"#,##0.00\)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inlineStr">
        <is>
          <t>center</t>
        </is>
      </c>
      <c r="P98" t="inlineStr">
        <is>
          <t>center</t>
        </is>
      </c>
      <c r="R98" t="b">
        <v>1</v>
      </c>
      <c r="S98" t="inlineStr">
        <is>
          <t>G000006</t>
        </is>
      </c>
      <c r="T98" t="inlineStr">
        <is>
          <t>Vertical</t>
        </is>
      </c>
      <c r="U98" t="n">
        <v>57</v>
      </c>
      <c r="V98" t="b">
        <v>1</v>
      </c>
      <c r="W98" t="inlineStr">
        <is>
          <t>Loan analysis!G10:G66</t>
        </is>
      </c>
      <c r="X98">
        <f>IFERROR(PMT(INDEX(Data[],ROW()-ROW(Data[[#Headers],[15]]),1)/12,Data[[#Headers],[15]]*12,-LoanAmount,0,IF(PaymentsDue="End of Period",0,1)), "")</f>
        <v/>
      </c>
    </row>
    <row r="99">
      <c r="A99" t="inlineStr">
        <is>
          <t>Loan analysis</t>
        </is>
      </c>
      <c r="B99" t="inlineStr">
        <is>
          <t>H10</t>
        </is>
      </c>
      <c r="C99" t="n">
        <v>10</v>
      </c>
      <c r="D99" t="n">
        <v>8</v>
      </c>
      <c r="E99" t="inlineStr">
        <is>
          <t>Output</t>
        </is>
      </c>
      <c r="F99" t="inlineStr">
        <is>
          <t>'=IFERROR(PMT(INDEX(Data[],ROW()-ROW(Data[[#Headers],[20]]),1)/12,Data[[#Headers],[20]]*12,-LoanAmount,0,IF(PaymentsDue="End of Period",0,1)), "")</t>
        </is>
      </c>
      <c r="G99" t="n">
        <v>50.5041599046706</v>
      </c>
      <c r="H99" t="inlineStr"/>
      <c r="I99" t="inlineStr">
        <is>
          <t>"$"#,##0.00_);[Red]\("$"#,##0.00\)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inlineStr">
        <is>
          <t>center</t>
        </is>
      </c>
      <c r="P99" t="inlineStr">
        <is>
          <t>center</t>
        </is>
      </c>
      <c r="R99" t="b">
        <v>1</v>
      </c>
      <c r="S99" t="inlineStr">
        <is>
          <t>G000007</t>
        </is>
      </c>
      <c r="T99" t="inlineStr">
        <is>
          <t>Vertical</t>
        </is>
      </c>
      <c r="U99" t="n">
        <v>57</v>
      </c>
      <c r="V99" t="b">
        <v>1</v>
      </c>
      <c r="W99" t="inlineStr">
        <is>
          <t>Loan analysis!H10:H66</t>
        </is>
      </c>
      <c r="X99">
        <f>IFERROR(PMT(INDEX(Data[],ROW()-ROW(Data[[#Headers],[20]]),1)/12,Data[[#Headers],[20]]*12,-LoanAmount,0,IF(PaymentsDue="End of Period",0,1)), "")</f>
        <v/>
      </c>
    </row>
    <row r="100">
      <c r="A100" t="inlineStr">
        <is>
          <t>Loan analysis</t>
        </is>
      </c>
      <c r="B100" t="inlineStr">
        <is>
          <t>I10</t>
        </is>
      </c>
      <c r="C100" t="n">
        <v>10</v>
      </c>
      <c r="D100" t="n">
        <v>9</v>
      </c>
      <c r="E100" t="inlineStr">
        <is>
          <t>Output</t>
        </is>
      </c>
      <c r="F100" t="inlineStr">
        <is>
          <t>'=IFERROR(PMT(INDEX(Data[],ROW()-ROW(Data[[#Headers],[25]]),1)/12,Data[[#Headers],[25]]*12,-LoanAmount,0,IF(PaymentsDue="End of Period",0,1)), "")</t>
        </is>
      </c>
      <c r="G100" t="n">
        <v>42.31490901604726</v>
      </c>
      <c r="H100" t="inlineStr"/>
      <c r="I100" t="inlineStr">
        <is>
          <t>"$"#,##0.00_);[Red]\("$"#,##0.00\)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inlineStr">
        <is>
          <t>center</t>
        </is>
      </c>
      <c r="P100" t="inlineStr">
        <is>
          <t>center</t>
        </is>
      </c>
      <c r="R100" t="b">
        <v>1</v>
      </c>
      <c r="S100" t="inlineStr">
        <is>
          <t>G000008</t>
        </is>
      </c>
      <c r="T100" t="inlineStr">
        <is>
          <t>Vertical</t>
        </is>
      </c>
      <c r="U100" t="n">
        <v>57</v>
      </c>
      <c r="V100" t="b">
        <v>1</v>
      </c>
      <c r="W100" t="inlineStr">
        <is>
          <t>Loan analysis!I10:I66</t>
        </is>
      </c>
      <c r="X100">
        <f>IFERROR(PMT(INDEX(Data[],ROW()-ROW(Data[[#Headers],[25]]),1)/12,Data[[#Headers],[25]]*12,-LoanAmount,0,IF(PaymentsDue="End of Period",0,1)), "")</f>
        <v/>
      </c>
    </row>
    <row r="101">
      <c r="A101" t="inlineStr">
        <is>
          <t>Loan analysis</t>
        </is>
      </c>
      <c r="B101" t="inlineStr">
        <is>
          <t>J10</t>
        </is>
      </c>
      <c r="C101" t="n">
        <v>10</v>
      </c>
      <c r="D101" t="n">
        <v>10</v>
      </c>
      <c r="E101" t="inlineStr">
        <is>
          <t>Output</t>
        </is>
      </c>
      <c r="F101" t="inlineStr">
        <is>
          <t>'=IFERROR(PMT(INDEX(Data[],ROW()-ROW(Data[[#Headers],[30]]),1)/12,Data[[#Headers],[30]]*12,-LoanAmount,0,IF(PaymentsDue="End of Period",0,1)), "")</t>
        </is>
      </c>
      <c r="G101" t="n">
        <v>36.90044652467426</v>
      </c>
      <c r="H101" t="inlineStr"/>
      <c r="I101" t="inlineStr">
        <is>
          <t>"$"#,##0.00_);[Red]\("$"#,##0.00\)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inlineStr">
        <is>
          <t>center</t>
        </is>
      </c>
      <c r="P101" t="inlineStr">
        <is>
          <t>center</t>
        </is>
      </c>
      <c r="R101" t="b">
        <v>1</v>
      </c>
      <c r="S101" t="inlineStr">
        <is>
          <t>G000009</t>
        </is>
      </c>
      <c r="T101" t="inlineStr">
        <is>
          <t>Vertical</t>
        </is>
      </c>
      <c r="U101" t="n">
        <v>57</v>
      </c>
      <c r="V101" t="b">
        <v>1</v>
      </c>
      <c r="W101" t="inlineStr">
        <is>
          <t>Loan analysis!J10:J66</t>
        </is>
      </c>
      <c r="X101">
        <f>IFERROR(PMT(INDEX(Data[],ROW()-ROW(Data[[#Headers],[30]]),1)/12,Data[[#Headers],[30]]*12,-LoanAmount,0,IF(PaymentsDue="End of Period",0,1)), "")</f>
        <v/>
      </c>
    </row>
    <row r="102">
      <c r="A102" t="inlineStr">
        <is>
          <t>Loan analysis</t>
        </is>
      </c>
      <c r="B102" t="inlineStr">
        <is>
          <t>K10</t>
        </is>
      </c>
      <c r="C102" t="n">
        <v>10</v>
      </c>
      <c r="D102" t="n">
        <v>11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n">
        <v/>
      </c>
      <c r="P102" t="n">
        <v/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Loan analysis</t>
        </is>
      </c>
      <c r="B103" t="inlineStr">
        <is>
          <t>A11</t>
        </is>
      </c>
      <c r="C103" t="n">
        <v>11</v>
      </c>
      <c r="D103" t="n">
        <v>1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n">
        <v/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Loan analysis</t>
        </is>
      </c>
      <c r="B104" t="inlineStr">
        <is>
          <t>B11</t>
        </is>
      </c>
      <c r="C104" t="n">
        <v>11</v>
      </c>
      <c r="D104" t="n">
        <v>2</v>
      </c>
      <c r="E104" t="inlineStr">
        <is>
          <t>Output</t>
        </is>
      </c>
      <c r="F104" t="inlineStr">
        <is>
          <t>'=IFERROR(MAX((ROW()-ROW(Data[[#Headers],[RATE]]))*0.0025+0.0175,0.0025), "")</t>
        </is>
      </c>
      <c r="G104" t="n">
        <v>0.0225</v>
      </c>
      <c r="H104" t="inlineStr"/>
      <c r="I104" t="inlineStr">
        <is>
          <t>0.00%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00000000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inlineStr">
        <is>
          <t>G000001</t>
        </is>
      </c>
      <c r="T104" t="inlineStr">
        <is>
          <t>Vertical</t>
        </is>
      </c>
      <c r="U104" t="n">
        <v>57</v>
      </c>
      <c r="V104" t="b">
        <v>1</v>
      </c>
      <c r="W104" t="inlineStr">
        <is>
          <t>Loan analysis!B10:B66</t>
        </is>
      </c>
      <c r="X104">
        <f>IFERROR(MAX((ROW()-ROW(Data[[#Headers],[RATE]]))*0.0025+0.0175,0.0025), "")</f>
        <v/>
      </c>
    </row>
    <row r="105">
      <c r="A105" t="inlineStr">
        <is>
          <t>Loan analysis</t>
        </is>
      </c>
      <c r="B105" t="inlineStr">
        <is>
          <t>C11</t>
        </is>
      </c>
      <c r="C105" t="n">
        <v>11</v>
      </c>
      <c r="D105" t="n">
        <v>3</v>
      </c>
      <c r="E105" t="inlineStr">
        <is>
          <t>Output</t>
        </is>
      </c>
      <c r="F105" t="inlineStr">
        <is>
          <t>'=IFERROR(PMT(INDEX(Data[],ROW()-ROW(Data[[#Headers],[3]]),1)/12,Data[[#Headers],[3]]*12,-LoanAmount,0,IF(PaymentsDue="End of Period",0,1)), "")</t>
        </is>
      </c>
      <c r="G105" t="n">
        <v>286.9803869257311</v>
      </c>
      <c r="H105" t="inlineStr"/>
      <c r="I105" t="inlineStr">
        <is>
          <t>"$"#,##0.00_);[Red]\("$"#,##0.00\)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inlineStr">
        <is>
          <t>G000002</t>
        </is>
      </c>
      <c r="T105" t="inlineStr">
        <is>
          <t>Vertical</t>
        </is>
      </c>
      <c r="U105" t="n">
        <v>57</v>
      </c>
      <c r="V105" t="b">
        <v>1</v>
      </c>
      <c r="W105" t="inlineStr">
        <is>
          <t>Loan analysis!C10:C66</t>
        </is>
      </c>
      <c r="X105">
        <f>IFERROR(PMT(INDEX(Data[],ROW()-ROW(Data[[#Headers],[3]]),1)/12,Data[[#Headers],[3]]*12,-LoanAmount,0,IF(PaymentsDue="End of Period",0,1)), "")</f>
        <v/>
      </c>
    </row>
    <row r="106">
      <c r="A106" t="inlineStr">
        <is>
          <t>Loan analysis</t>
        </is>
      </c>
      <c r="B106" t="inlineStr">
        <is>
          <t>D11</t>
        </is>
      </c>
      <c r="C106" t="n">
        <v>11</v>
      </c>
      <c r="D106" t="n">
        <v>4</v>
      </c>
      <c r="E106" t="inlineStr">
        <is>
          <t>Output</t>
        </is>
      </c>
      <c r="F106" t="inlineStr">
        <is>
          <t>'=IFERROR(PMT(INDEX(Data[],ROW()-ROW(Data[[#Headers],[5]]),1)/12,Data[[#Headers],[5]]*12,-LoanAmount,0,IF(PaymentsDue="End of Period",0,1)), "")</t>
        </is>
      </c>
      <c r="G106" t="n">
        <v>176.0433662696076</v>
      </c>
      <c r="H106" t="inlineStr"/>
      <c r="I106" t="inlineStr">
        <is>
          <t>"$"#,##0.00_);[Red]\("$"#,##0.00\)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inlineStr">
        <is>
          <t>G000003</t>
        </is>
      </c>
      <c r="T106" t="inlineStr">
        <is>
          <t>Vertical</t>
        </is>
      </c>
      <c r="U106" t="n">
        <v>57</v>
      </c>
      <c r="V106" t="b">
        <v>1</v>
      </c>
      <c r="W106" t="inlineStr">
        <is>
          <t>Loan analysis!D10:D66</t>
        </is>
      </c>
      <c r="X106">
        <f>IFERROR(PMT(INDEX(Data[],ROW()-ROW(Data[[#Headers],[5]]),1)/12,Data[[#Headers],[5]]*12,-LoanAmount,0,IF(PaymentsDue="End of Period",0,1)), "")</f>
        <v/>
      </c>
    </row>
    <row r="107">
      <c r="A107" t="inlineStr">
        <is>
          <t>Loan analysis</t>
        </is>
      </c>
      <c r="B107" t="inlineStr">
        <is>
          <t>E11</t>
        </is>
      </c>
      <c r="C107" t="n">
        <v>11</v>
      </c>
      <c r="D107" t="n">
        <v>5</v>
      </c>
      <c r="E107" t="inlineStr">
        <is>
          <t>Output</t>
        </is>
      </c>
      <c r="F107" t="inlineStr">
        <is>
          <t>'=IFERROR(PMT(INDEX(Data[],ROW()-ROW(Data[[#Headers],[10]]),1)/12,Data[[#Headers],[10]]*12,-LoanAmount,0,IF(PaymentsDue="End of Period",0,1)), "")</t>
        </is>
      </c>
      <c r="G107" t="n">
        <v>92.96306607183222</v>
      </c>
      <c r="H107" t="inlineStr"/>
      <c r="I107" t="inlineStr">
        <is>
          <t>"$"#,##0.00_);[Red]\("$"#,##0.00\)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inlineStr">
        <is>
          <t>G000004</t>
        </is>
      </c>
      <c r="T107" t="inlineStr">
        <is>
          <t>Vertical</t>
        </is>
      </c>
      <c r="U107" t="n">
        <v>57</v>
      </c>
      <c r="V107" t="b">
        <v>1</v>
      </c>
      <c r="W107" t="inlineStr">
        <is>
          <t>Loan analysis!E10:E66</t>
        </is>
      </c>
      <c r="X107">
        <f>IFERROR(PMT(INDEX(Data[],ROW()-ROW(Data[[#Headers],[10]]),1)/12,Data[[#Headers],[10]]*12,-LoanAmount,0,IF(PaymentsDue="End of Period",0,1)), "")</f>
        <v/>
      </c>
    </row>
    <row r="108">
      <c r="A108" t="inlineStr">
        <is>
          <t>Loan analysis</t>
        </is>
      </c>
      <c r="B108" t="inlineStr">
        <is>
          <t>F11</t>
        </is>
      </c>
      <c r="C108" t="n">
        <v>11</v>
      </c>
      <c r="D108" t="n">
        <v>6</v>
      </c>
      <c r="E108" t="inlineStr">
        <is>
          <t>Output</t>
        </is>
      </c>
      <c r="F108" t="inlineStr">
        <is>
          <t>'=IFERROR(PMT(INDEX(Data[],ROW()-ROW(Data[[#Headers],[12]]),1)/12,Data[[#Headers],[12]]*12,-LoanAmount,0,IF(PaymentsDue="End of Period",0,1)), "")</t>
        </is>
      </c>
      <c r="G108" t="n">
        <v>79.15707849309105</v>
      </c>
      <c r="H108" t="inlineStr"/>
      <c r="I108" t="inlineStr">
        <is>
          <t>"$"#,##0.00_);[Red]\("$"#,##0.00\)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inlineStr">
        <is>
          <t>G000005</t>
        </is>
      </c>
      <c r="T108" t="inlineStr">
        <is>
          <t>Vertical</t>
        </is>
      </c>
      <c r="U108" t="n">
        <v>57</v>
      </c>
      <c r="V108" t="b">
        <v>1</v>
      </c>
      <c r="W108" t="inlineStr">
        <is>
          <t>Loan analysis!F10:F66</t>
        </is>
      </c>
      <c r="X108">
        <f>IFERROR(PMT(INDEX(Data[],ROW()-ROW(Data[[#Headers],[12]]),1)/12,Data[[#Headers],[12]]*12,-LoanAmount,0,IF(PaymentsDue="End of Period",0,1)), "")</f>
        <v/>
      </c>
    </row>
    <row r="109">
      <c r="A109" t="inlineStr">
        <is>
          <t>Loan analysis</t>
        </is>
      </c>
      <c r="B109" t="inlineStr">
        <is>
          <t>G11</t>
        </is>
      </c>
      <c r="C109" t="n">
        <v>11</v>
      </c>
      <c r="D109" t="n">
        <v>7</v>
      </c>
      <c r="E109" t="inlineStr">
        <is>
          <t>Output</t>
        </is>
      </c>
      <c r="F109" t="inlineStr">
        <is>
          <t>'=IFERROR(PMT(INDEX(Data[],ROW()-ROW(Data[[#Headers],[15]]),1)/12,Data[[#Headers],[15]]*12,-LoanAmount,0,IF(PaymentsDue="End of Period",0,1)), "")</t>
        </is>
      </c>
      <c r="G109" t="n">
        <v>65.38587846346418</v>
      </c>
      <c r="H109" t="inlineStr"/>
      <c r="I109" t="inlineStr">
        <is>
          <t>"$"#,##0.00_);[Red]\("$"#,##0.00\)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inlineStr">
        <is>
          <t>G000006</t>
        </is>
      </c>
      <c r="T109" t="inlineStr">
        <is>
          <t>Vertical</t>
        </is>
      </c>
      <c r="U109" t="n">
        <v>57</v>
      </c>
      <c r="V109" t="b">
        <v>1</v>
      </c>
      <c r="W109" t="inlineStr">
        <is>
          <t>Loan analysis!G10:G66</t>
        </is>
      </c>
      <c r="X109">
        <f>IFERROR(PMT(INDEX(Data[],ROW()-ROW(Data[[#Headers],[15]]),1)/12,Data[[#Headers],[15]]*12,-LoanAmount,0,IF(PaymentsDue="End of Period",0,1)), "")</f>
        <v/>
      </c>
    </row>
    <row r="110">
      <c r="A110" t="inlineStr">
        <is>
          <t>Loan analysis</t>
        </is>
      </c>
      <c r="B110" t="inlineStr">
        <is>
          <t>H11</t>
        </is>
      </c>
      <c r="C110" t="n">
        <v>11</v>
      </c>
      <c r="D110" t="n">
        <v>8</v>
      </c>
      <c r="E110" t="inlineStr">
        <is>
          <t>Output</t>
        </is>
      </c>
      <c r="F110" t="inlineStr">
        <is>
          <t>'=IFERROR(PMT(INDEX(Data[],ROW()-ROW(Data[[#Headers],[20]]),1)/12,Data[[#Headers],[20]]*12,-LoanAmount,0,IF(PaymentsDue="End of Period",0,1)), "")</t>
        </is>
      </c>
      <c r="G110" t="n">
        <v>51.68392120544424</v>
      </c>
      <c r="H110" t="inlineStr"/>
      <c r="I110" t="inlineStr">
        <is>
          <t>"$"#,##0.00_);[Red]\("$"#,##0.00\)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inlineStr">
        <is>
          <t>G000007</t>
        </is>
      </c>
      <c r="T110" t="inlineStr">
        <is>
          <t>Vertical</t>
        </is>
      </c>
      <c r="U110" t="n">
        <v>57</v>
      </c>
      <c r="V110" t="b">
        <v>1</v>
      </c>
      <c r="W110" t="inlineStr">
        <is>
          <t>Loan analysis!H10:H66</t>
        </is>
      </c>
      <c r="X110">
        <f>IFERROR(PMT(INDEX(Data[],ROW()-ROW(Data[[#Headers],[20]]),1)/12,Data[[#Headers],[20]]*12,-LoanAmount,0,IF(PaymentsDue="End of Period",0,1)), "")</f>
        <v/>
      </c>
    </row>
    <row r="111">
      <c r="A111" t="inlineStr">
        <is>
          <t>Loan analysis</t>
        </is>
      </c>
      <c r="B111" t="inlineStr">
        <is>
          <t>I11</t>
        </is>
      </c>
      <c r="C111" t="n">
        <v>11</v>
      </c>
      <c r="D111" t="n">
        <v>9</v>
      </c>
      <c r="E111" t="inlineStr">
        <is>
          <t>Output</t>
        </is>
      </c>
      <c r="F111" t="inlineStr">
        <is>
          <t>'=IFERROR(PMT(INDEX(Data[],ROW()-ROW(Data[[#Headers],[25]]),1)/12,Data[[#Headers],[25]]*12,-LoanAmount,0,IF(PaymentsDue="End of Period",0,1)), "")</t>
        </is>
      </c>
      <c r="G111" t="n">
        <v>43.53144804681021</v>
      </c>
      <c r="H111" t="inlineStr"/>
      <c r="I111" t="inlineStr">
        <is>
          <t>"$"#,##0.00_);[Red]\("$"#,##0.00\)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inlineStr">
        <is>
          <t>G000008</t>
        </is>
      </c>
      <c r="T111" t="inlineStr">
        <is>
          <t>Vertical</t>
        </is>
      </c>
      <c r="U111" t="n">
        <v>57</v>
      </c>
      <c r="V111" t="b">
        <v>1</v>
      </c>
      <c r="W111" t="inlineStr">
        <is>
          <t>Loan analysis!I10:I66</t>
        </is>
      </c>
      <c r="X111">
        <f>IFERROR(PMT(INDEX(Data[],ROW()-ROW(Data[[#Headers],[25]]),1)/12,Data[[#Headers],[25]]*12,-LoanAmount,0,IF(PaymentsDue="End of Period",0,1)), "")</f>
        <v/>
      </c>
    </row>
    <row r="112">
      <c r="A112" t="inlineStr">
        <is>
          <t>Loan analysis</t>
        </is>
      </c>
      <c r="B112" t="inlineStr">
        <is>
          <t>J11</t>
        </is>
      </c>
      <c r="C112" t="n">
        <v>11</v>
      </c>
      <c r="D112" t="n">
        <v>10</v>
      </c>
      <c r="E112" t="inlineStr">
        <is>
          <t>Output</t>
        </is>
      </c>
      <c r="F112" t="inlineStr">
        <is>
          <t>'=IFERROR(PMT(INDEX(Data[],ROW()-ROW(Data[[#Headers],[30]]),1)/12,Data[[#Headers],[30]]*12,-LoanAmount,0,IF(PaymentsDue="End of Period",0,1)), "")</t>
        </is>
      </c>
      <c r="G112" t="n">
        <v>38.15307321516957</v>
      </c>
      <c r="H112" t="inlineStr"/>
      <c r="I112" t="inlineStr">
        <is>
          <t>"$"#,##0.00_);[Red]\("$"#,##0.00\)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inlineStr">
        <is>
          <t>G000009</t>
        </is>
      </c>
      <c r="T112" t="inlineStr">
        <is>
          <t>Vertical</t>
        </is>
      </c>
      <c r="U112" t="n">
        <v>57</v>
      </c>
      <c r="V112" t="b">
        <v>1</v>
      </c>
      <c r="W112" t="inlineStr">
        <is>
          <t>Loan analysis!J10:J66</t>
        </is>
      </c>
      <c r="X112">
        <f>IFERROR(PMT(INDEX(Data[],ROW()-ROW(Data[[#Headers],[30]]),1)/12,Data[[#Headers],[30]]*12,-LoanAmount,0,IF(PaymentsDue="End of Period",0,1)), "")</f>
        <v/>
      </c>
    </row>
    <row r="113">
      <c r="A113" t="inlineStr">
        <is>
          <t>Loan analysis</t>
        </is>
      </c>
      <c r="B113" t="inlineStr">
        <is>
          <t>K11</t>
        </is>
      </c>
      <c r="C113" t="n">
        <v>11</v>
      </c>
      <c r="D113" t="n">
        <v>11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n">
        <v/>
      </c>
      <c r="P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Loan analysis</t>
        </is>
      </c>
      <c r="B114" t="inlineStr">
        <is>
          <t>A12</t>
        </is>
      </c>
      <c r="C114" t="n">
        <v>12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Loan analysis</t>
        </is>
      </c>
      <c r="B115" t="inlineStr">
        <is>
          <t>B12</t>
        </is>
      </c>
      <c r="C115" t="n">
        <v>12</v>
      </c>
      <c r="D115" t="n">
        <v>2</v>
      </c>
      <c r="E115" t="inlineStr">
        <is>
          <t>Output</t>
        </is>
      </c>
      <c r="F115" t="inlineStr">
        <is>
          <t>'=IFERROR(MAX((ROW()-ROW(Data[[#Headers],[RATE]]))*0.0025+0.0175,0.0025), "")</t>
        </is>
      </c>
      <c r="G115" t="n">
        <v>0.025</v>
      </c>
      <c r="H115" t="inlineStr"/>
      <c r="I115" t="inlineStr">
        <is>
          <t>0.00%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inlineStr">
        <is>
          <t>center</t>
        </is>
      </c>
      <c r="P115" t="inlineStr">
        <is>
          <t>center</t>
        </is>
      </c>
      <c r="R115" t="b">
        <v>1</v>
      </c>
      <c r="S115" t="inlineStr">
        <is>
          <t>G000001</t>
        </is>
      </c>
      <c r="T115" t="inlineStr">
        <is>
          <t>Vertical</t>
        </is>
      </c>
      <c r="U115" t="n">
        <v>57</v>
      </c>
      <c r="V115" t="b">
        <v>1</v>
      </c>
      <c r="W115" t="inlineStr">
        <is>
          <t>Loan analysis!B10:B66</t>
        </is>
      </c>
      <c r="X115">
        <f>IFERROR(MAX((ROW()-ROW(Data[[#Headers],[RATE]]))*0.0025+0.0175,0.0025), "")</f>
        <v/>
      </c>
    </row>
    <row r="116">
      <c r="A116" t="inlineStr">
        <is>
          <t>Loan analysis</t>
        </is>
      </c>
      <c r="B116" t="inlineStr">
        <is>
          <t>C12</t>
        </is>
      </c>
      <c r="C116" t="n">
        <v>12</v>
      </c>
      <c r="D116" t="n">
        <v>3</v>
      </c>
      <c r="E116" t="inlineStr">
        <is>
          <t>Output</t>
        </is>
      </c>
      <c r="F116" t="inlineStr">
        <is>
          <t>'=IFERROR(PMT(INDEX(Data[],ROW()-ROW(Data[[#Headers],[3]]),1)/12,Data[[#Headers],[3]]*12,-LoanAmount,0,IF(PaymentsDue="End of Period",0,1)), "")</t>
        </is>
      </c>
      <c r="G116" t="n">
        <v>288.0137280517017</v>
      </c>
      <c r="H116" t="inlineStr"/>
      <c r="I116" t="inlineStr">
        <is>
          <t>"$"#,##0.00_);[Red]\("$"#,##0.00\)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inlineStr">
        <is>
          <t>center</t>
        </is>
      </c>
      <c r="P116" t="inlineStr">
        <is>
          <t>center</t>
        </is>
      </c>
      <c r="R116" t="b">
        <v>1</v>
      </c>
      <c r="S116" t="inlineStr">
        <is>
          <t>G000002</t>
        </is>
      </c>
      <c r="T116" t="inlineStr">
        <is>
          <t>Vertical</t>
        </is>
      </c>
      <c r="U116" t="n">
        <v>57</v>
      </c>
      <c r="V116" t="b">
        <v>1</v>
      </c>
      <c r="W116" t="inlineStr">
        <is>
          <t>Loan analysis!C10:C66</t>
        </is>
      </c>
      <c r="X116">
        <f>IFERROR(PMT(INDEX(Data[],ROW()-ROW(Data[[#Headers],[3]]),1)/12,Data[[#Headers],[3]]*12,-LoanAmount,0,IF(PaymentsDue="End of Period",0,1)), "")</f>
        <v/>
      </c>
    </row>
    <row r="117">
      <c r="A117" t="inlineStr">
        <is>
          <t>Loan analysis</t>
        </is>
      </c>
      <c r="B117" t="inlineStr">
        <is>
          <t>D12</t>
        </is>
      </c>
      <c r="C117" t="n">
        <v>12</v>
      </c>
      <c r="D117" t="n">
        <v>4</v>
      </c>
      <c r="E117" t="inlineStr">
        <is>
          <t>Output</t>
        </is>
      </c>
      <c r="F117" t="inlineStr">
        <is>
          <t>'=IFERROR(PMT(INDEX(Data[],ROW()-ROW(Data[[#Headers],[5]]),1)/12,Data[[#Headers],[5]]*12,-LoanAmount,0,IF(PaymentsDue="End of Period",0,1)), "")</t>
        </is>
      </c>
      <c r="G117" t="n">
        <v>177.1046480380568</v>
      </c>
      <c r="H117" t="inlineStr"/>
      <c r="I117" t="inlineStr">
        <is>
          <t>"$"#,##0.00_);[Red]\("$"#,##0.00\)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inlineStr">
        <is>
          <t>center</t>
        </is>
      </c>
      <c r="P117" t="inlineStr">
        <is>
          <t>center</t>
        </is>
      </c>
      <c r="R117" t="b">
        <v>1</v>
      </c>
      <c r="S117" t="inlineStr">
        <is>
          <t>G000003</t>
        </is>
      </c>
      <c r="T117" t="inlineStr">
        <is>
          <t>Vertical</t>
        </is>
      </c>
      <c r="U117" t="n">
        <v>57</v>
      </c>
      <c r="V117" t="b">
        <v>1</v>
      </c>
      <c r="W117" t="inlineStr">
        <is>
          <t>Loan analysis!D10:D66</t>
        </is>
      </c>
      <c r="X117">
        <f>IFERROR(PMT(INDEX(Data[],ROW()-ROW(Data[[#Headers],[5]]),1)/12,Data[[#Headers],[5]]*12,-LoanAmount,0,IF(PaymentsDue="End of Period",0,1)), "")</f>
        <v/>
      </c>
    </row>
    <row r="118">
      <c r="A118" t="inlineStr">
        <is>
          <t>Loan analysis</t>
        </is>
      </c>
      <c r="B118" t="inlineStr">
        <is>
          <t>E12</t>
        </is>
      </c>
      <c r="C118" t="n">
        <v>12</v>
      </c>
      <c r="D118" t="n">
        <v>5</v>
      </c>
      <c r="E118" t="inlineStr">
        <is>
          <t>Output</t>
        </is>
      </c>
      <c r="F118" t="inlineStr">
        <is>
          <t>'=IFERROR(PMT(INDEX(Data[],ROW()-ROW(Data[[#Headers],[10]]),1)/12,Data[[#Headers],[10]]*12,-LoanAmount,0,IF(PaymentsDue="End of Period",0,1)), "")</t>
        </is>
      </c>
      <c r="G118" t="n">
        <v>94.07391438233471</v>
      </c>
      <c r="H118" t="inlineStr"/>
      <c r="I118" t="inlineStr">
        <is>
          <t>"$"#,##0.00_);[Red]\("$"#,##0.00\)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P118" t="inlineStr">
        <is>
          <t>center</t>
        </is>
      </c>
      <c r="R118" t="b">
        <v>1</v>
      </c>
      <c r="S118" t="inlineStr">
        <is>
          <t>G000004</t>
        </is>
      </c>
      <c r="T118" t="inlineStr">
        <is>
          <t>Vertical</t>
        </is>
      </c>
      <c r="U118" t="n">
        <v>57</v>
      </c>
      <c r="V118" t="b">
        <v>1</v>
      </c>
      <c r="W118" t="inlineStr">
        <is>
          <t>Loan analysis!E10:E66</t>
        </is>
      </c>
      <c r="X118">
        <f>IFERROR(PMT(INDEX(Data[],ROW()-ROW(Data[[#Headers],[10]]),1)/12,Data[[#Headers],[10]]*12,-LoanAmount,0,IF(PaymentsDue="End of Period",0,1)), "")</f>
        <v/>
      </c>
    </row>
    <row r="119">
      <c r="A119" t="inlineStr">
        <is>
          <t>Loan analysis</t>
        </is>
      </c>
      <c r="B119" t="inlineStr">
        <is>
          <t>F12</t>
        </is>
      </c>
      <c r="C119" t="n">
        <v>12</v>
      </c>
      <c r="D119" t="n">
        <v>6</v>
      </c>
      <c r="E119" t="inlineStr">
        <is>
          <t>Output</t>
        </is>
      </c>
      <c r="F119" t="inlineStr">
        <is>
          <t>'=IFERROR(PMT(INDEX(Data[],ROW()-ROW(Data[[#Headers],[12]]),1)/12,Data[[#Headers],[12]]*12,-LoanAmount,0,IF(PaymentsDue="End of Period",0,1)), "")</t>
        </is>
      </c>
      <c r="G119" t="n">
        <v>80.28567655482807</v>
      </c>
      <c r="H119" t="inlineStr"/>
      <c r="I119" t="inlineStr">
        <is>
          <t>"$"#,##0.00_);[Red]\("$"#,##0.00\)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inlineStr">
        <is>
          <t>center</t>
        </is>
      </c>
      <c r="P119" t="inlineStr">
        <is>
          <t>center</t>
        </is>
      </c>
      <c r="R119" t="b">
        <v>1</v>
      </c>
      <c r="S119" t="inlineStr">
        <is>
          <t>G000005</t>
        </is>
      </c>
      <c r="T119" t="inlineStr">
        <is>
          <t>Vertical</t>
        </is>
      </c>
      <c r="U119" t="n">
        <v>57</v>
      </c>
      <c r="V119" t="b">
        <v>1</v>
      </c>
      <c r="W119" t="inlineStr">
        <is>
          <t>Loan analysis!F10:F66</t>
        </is>
      </c>
      <c r="X119">
        <f>IFERROR(PMT(INDEX(Data[],ROW()-ROW(Data[[#Headers],[12]]),1)/12,Data[[#Headers],[12]]*12,-LoanAmount,0,IF(PaymentsDue="End of Period",0,1)), "")</f>
        <v/>
      </c>
    </row>
    <row r="120">
      <c r="A120" t="inlineStr">
        <is>
          <t>Loan analysis</t>
        </is>
      </c>
      <c r="B120" t="inlineStr">
        <is>
          <t>G12</t>
        </is>
      </c>
      <c r="C120" t="n">
        <v>12</v>
      </c>
      <c r="D120" t="n">
        <v>7</v>
      </c>
      <c r="E120" t="inlineStr">
        <is>
          <t>Output</t>
        </is>
      </c>
      <c r="F120" t="inlineStr">
        <is>
          <t>'=IFERROR(PMT(INDEX(Data[],ROW()-ROW(Data[[#Headers],[15]]),1)/12,Data[[#Headers],[15]]*12,-LoanAmount,0,IF(PaymentsDue="End of Period",0,1)), "")</t>
        </is>
      </c>
      <c r="G120" t="n">
        <v>66.54029528572006</v>
      </c>
      <c r="H120" t="inlineStr"/>
      <c r="I120" t="inlineStr">
        <is>
          <t>"$"#,##0.00_);[Red]\("$"#,##0.00\)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inlineStr">
        <is>
          <t>center</t>
        </is>
      </c>
      <c r="P120" t="inlineStr">
        <is>
          <t>center</t>
        </is>
      </c>
      <c r="R120" t="b">
        <v>1</v>
      </c>
      <c r="S120" t="inlineStr">
        <is>
          <t>G000006</t>
        </is>
      </c>
      <c r="T120" t="inlineStr">
        <is>
          <t>Vertical</t>
        </is>
      </c>
      <c r="U120" t="n">
        <v>57</v>
      </c>
      <c r="V120" t="b">
        <v>1</v>
      </c>
      <c r="W120" t="inlineStr">
        <is>
          <t>Loan analysis!G10:G66</t>
        </is>
      </c>
      <c r="X120">
        <f>IFERROR(PMT(INDEX(Data[],ROW()-ROW(Data[[#Headers],[15]]),1)/12,Data[[#Headers],[15]]*12,-LoanAmount,0,IF(PaymentsDue="End of Period",0,1)), "")</f>
        <v/>
      </c>
    </row>
    <row r="121">
      <c r="A121" t="inlineStr">
        <is>
          <t>Loan analysis</t>
        </is>
      </c>
      <c r="B121" t="inlineStr">
        <is>
          <t>H12</t>
        </is>
      </c>
      <c r="C121" t="n">
        <v>12</v>
      </c>
      <c r="D121" t="n">
        <v>8</v>
      </c>
      <c r="E121" t="inlineStr">
        <is>
          <t>Output</t>
        </is>
      </c>
      <c r="F121" t="inlineStr">
        <is>
          <t>'=IFERROR(PMT(INDEX(Data[],ROW()-ROW(Data[[#Headers],[20]]),1)/12,Data[[#Headers],[20]]*12,-LoanAmount,0,IF(PaymentsDue="End of Period",0,1)), "")</t>
        </is>
      </c>
      <c r="G121" t="n">
        <v>52.88012238159467</v>
      </c>
      <c r="H121" t="inlineStr"/>
      <c r="I121" t="inlineStr">
        <is>
          <t>"$"#,##0.00_);[Red]\("$"#,##0.00\)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inlineStr">
        <is>
          <t>center</t>
        </is>
      </c>
      <c r="P121" t="inlineStr">
        <is>
          <t>center</t>
        </is>
      </c>
      <c r="R121" t="b">
        <v>1</v>
      </c>
      <c r="S121" t="inlineStr">
        <is>
          <t>G000007</t>
        </is>
      </c>
      <c r="T121" t="inlineStr">
        <is>
          <t>Vertical</t>
        </is>
      </c>
      <c r="U121" t="n">
        <v>57</v>
      </c>
      <c r="V121" t="b">
        <v>1</v>
      </c>
      <c r="W121" t="inlineStr">
        <is>
          <t>Loan analysis!H10:H66</t>
        </is>
      </c>
      <c r="X121">
        <f>IFERROR(PMT(INDEX(Data[],ROW()-ROW(Data[[#Headers],[20]]),1)/12,Data[[#Headers],[20]]*12,-LoanAmount,0,IF(PaymentsDue="End of Period",0,1)), "")</f>
        <v/>
      </c>
    </row>
    <row r="122">
      <c r="A122" t="inlineStr">
        <is>
          <t>Loan analysis</t>
        </is>
      </c>
      <c r="B122" t="inlineStr">
        <is>
          <t>I12</t>
        </is>
      </c>
      <c r="C122" t="n">
        <v>12</v>
      </c>
      <c r="D122" t="n">
        <v>9</v>
      </c>
      <c r="E122" t="inlineStr">
        <is>
          <t>Output</t>
        </is>
      </c>
      <c r="F122" t="inlineStr">
        <is>
          <t>'=IFERROR(PMT(INDEX(Data[],ROW()-ROW(Data[[#Headers],[25]]),1)/12,Data[[#Headers],[25]]*12,-LoanAmount,0,IF(PaymentsDue="End of Period",0,1)), "")</t>
        </is>
      </c>
      <c r="G122" t="n">
        <v>44.76840589537997</v>
      </c>
      <c r="H122" t="inlineStr"/>
      <c r="I122" t="inlineStr">
        <is>
          <t>"$"#,##0.00_);[Red]\("$"#,##0.00\)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inlineStr">
        <is>
          <t>center</t>
        </is>
      </c>
      <c r="P122" t="inlineStr">
        <is>
          <t>center</t>
        </is>
      </c>
      <c r="R122" t="b">
        <v>1</v>
      </c>
      <c r="S122" t="inlineStr">
        <is>
          <t>G000008</t>
        </is>
      </c>
      <c r="T122" t="inlineStr">
        <is>
          <t>Vertical</t>
        </is>
      </c>
      <c r="U122" t="n">
        <v>57</v>
      </c>
      <c r="V122" t="b">
        <v>1</v>
      </c>
      <c r="W122" t="inlineStr">
        <is>
          <t>Loan analysis!I10:I66</t>
        </is>
      </c>
      <c r="X122">
        <f>IFERROR(PMT(INDEX(Data[],ROW()-ROW(Data[[#Headers],[25]]),1)/12,Data[[#Headers],[25]]*12,-LoanAmount,0,IF(PaymentsDue="End of Period",0,1)), "")</f>
        <v/>
      </c>
    </row>
    <row r="123">
      <c r="A123" t="inlineStr">
        <is>
          <t>Loan analysis</t>
        </is>
      </c>
      <c r="B123" t="inlineStr">
        <is>
          <t>J12</t>
        </is>
      </c>
      <c r="C123" t="n">
        <v>12</v>
      </c>
      <c r="D123" t="n">
        <v>10</v>
      </c>
      <c r="E123" t="inlineStr">
        <is>
          <t>Output</t>
        </is>
      </c>
      <c r="F123" t="inlineStr">
        <is>
          <t>'=IFERROR(PMT(INDEX(Data[],ROW()-ROW(Data[[#Headers],[30]]),1)/12,Data[[#Headers],[30]]*12,-LoanAmount,0,IF(PaymentsDue="End of Period",0,1)), "")</t>
        </is>
      </c>
      <c r="G123" t="n">
        <v>39.42994416476328</v>
      </c>
      <c r="H123" t="inlineStr"/>
      <c r="I123" t="inlineStr">
        <is>
          <t>"$"#,##0.00_);[Red]\("$"#,##0.00\)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inlineStr">
        <is>
          <t>center</t>
        </is>
      </c>
      <c r="P123" t="inlineStr">
        <is>
          <t>center</t>
        </is>
      </c>
      <c r="R123" t="b">
        <v>1</v>
      </c>
      <c r="S123" t="inlineStr">
        <is>
          <t>G000009</t>
        </is>
      </c>
      <c r="T123" t="inlineStr">
        <is>
          <t>Vertical</t>
        </is>
      </c>
      <c r="U123" t="n">
        <v>57</v>
      </c>
      <c r="V123" t="b">
        <v>1</v>
      </c>
      <c r="W123" t="inlineStr">
        <is>
          <t>Loan analysis!J10:J66</t>
        </is>
      </c>
      <c r="X123">
        <f>IFERROR(PMT(INDEX(Data[],ROW()-ROW(Data[[#Headers],[30]]),1)/12,Data[[#Headers],[30]]*12,-LoanAmount,0,IF(PaymentsDue="End of Period",0,1)), "")</f>
        <v/>
      </c>
    </row>
    <row r="124">
      <c r="A124" t="inlineStr">
        <is>
          <t>Loan analysis</t>
        </is>
      </c>
      <c r="B124" t="inlineStr">
        <is>
          <t>K12</t>
        </is>
      </c>
      <c r="C124" t="n">
        <v>12</v>
      </c>
      <c r="D124" t="n">
        <v>11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n">
        <v/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Loan analysis</t>
        </is>
      </c>
      <c r="B125" t="inlineStr">
        <is>
          <t>A13</t>
        </is>
      </c>
      <c r="C125" t="n">
        <v>13</v>
      </c>
      <c r="D125" t="n">
        <v>1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Loan analysis</t>
        </is>
      </c>
      <c r="B126" t="inlineStr">
        <is>
          <t>B13</t>
        </is>
      </c>
      <c r="C126" t="n">
        <v>13</v>
      </c>
      <c r="D126" t="n">
        <v>2</v>
      </c>
      <c r="E126" t="inlineStr">
        <is>
          <t>Output</t>
        </is>
      </c>
      <c r="F126" t="inlineStr">
        <is>
          <t>'=IFERROR(MAX((ROW()-ROW(Data[[#Headers],[RATE]]))*0.0025+0.0175,0.0025), "")</t>
        </is>
      </c>
      <c r="G126" t="n">
        <v>0.0275</v>
      </c>
      <c r="H126" t="inlineStr"/>
      <c r="I126" t="inlineStr">
        <is>
          <t>0.00%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inlineStr">
        <is>
          <t>center</t>
        </is>
      </c>
      <c r="P126" t="inlineStr">
        <is>
          <t>center</t>
        </is>
      </c>
      <c r="R126" t="b">
        <v>1</v>
      </c>
      <c r="S126" t="inlineStr">
        <is>
          <t>G000001</t>
        </is>
      </c>
      <c r="T126" t="inlineStr">
        <is>
          <t>Vertical</t>
        </is>
      </c>
      <c r="U126" t="n">
        <v>57</v>
      </c>
      <c r="V126" t="b">
        <v>1</v>
      </c>
      <c r="W126" t="inlineStr">
        <is>
          <t>Loan analysis!B10:B66</t>
        </is>
      </c>
      <c r="X126">
        <f>IFERROR(MAX((ROW()-ROW(Data[[#Headers],[RATE]]))*0.0025+0.0175,0.0025), "")</f>
        <v/>
      </c>
    </row>
    <row r="127">
      <c r="A127" t="inlineStr">
        <is>
          <t>Loan analysis</t>
        </is>
      </c>
      <c r="B127" t="inlineStr">
        <is>
          <t>C13</t>
        </is>
      </c>
      <c r="C127" t="n">
        <v>13</v>
      </c>
      <c r="D127" t="n">
        <v>3</v>
      </c>
      <c r="E127" t="inlineStr">
        <is>
          <t>Output</t>
        </is>
      </c>
      <c r="F127" t="inlineStr">
        <is>
          <t>'=IFERROR(PMT(INDEX(Data[],ROW()-ROW(Data[[#Headers],[3]]),1)/12,Data[[#Headers],[3]]*12,-LoanAmount,0,IF(PaymentsDue="End of Period",0,1)), "")</t>
        </is>
      </c>
      <c r="G127" t="n">
        <v>289.049226264497</v>
      </c>
      <c r="H127" t="inlineStr"/>
      <c r="I127" t="inlineStr">
        <is>
          <t>"$"#,##0.00_);[Red]\("$"#,##0.00\)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inlineStr">
        <is>
          <t>center</t>
        </is>
      </c>
      <c r="P127" t="inlineStr">
        <is>
          <t>center</t>
        </is>
      </c>
      <c r="R127" t="b">
        <v>1</v>
      </c>
      <c r="S127" t="inlineStr">
        <is>
          <t>G000002</t>
        </is>
      </c>
      <c r="T127" t="inlineStr">
        <is>
          <t>Vertical</t>
        </is>
      </c>
      <c r="U127" t="n">
        <v>57</v>
      </c>
      <c r="V127" t="b">
        <v>1</v>
      </c>
      <c r="W127" t="inlineStr">
        <is>
          <t>Loan analysis!C10:C66</t>
        </is>
      </c>
      <c r="X127">
        <f>IFERROR(PMT(INDEX(Data[],ROW()-ROW(Data[[#Headers],[3]]),1)/12,Data[[#Headers],[3]]*12,-LoanAmount,0,IF(PaymentsDue="End of Period",0,1)), "")</f>
        <v/>
      </c>
    </row>
    <row r="128">
      <c r="A128" t="inlineStr">
        <is>
          <t>Loan analysis</t>
        </is>
      </c>
      <c r="B128" t="inlineStr">
        <is>
          <t>D13</t>
        </is>
      </c>
      <c r="C128" t="n">
        <v>13</v>
      </c>
      <c r="D128" t="n">
        <v>4</v>
      </c>
      <c r="E128" t="inlineStr">
        <is>
          <t>Output</t>
        </is>
      </c>
      <c r="F128" t="inlineStr">
        <is>
          <t>'=IFERROR(PMT(INDEX(Data[],ROW()-ROW(Data[[#Headers],[5]]),1)/12,Data[[#Headers],[5]]*12,-LoanAmount,0,IF(PaymentsDue="End of Period",0,1)), "")</t>
        </is>
      </c>
      <c r="G128" t="n">
        <v>178.1697975410867</v>
      </c>
      <c r="H128" t="inlineStr"/>
      <c r="I128" t="inlineStr">
        <is>
          <t>"$"#,##0.00_);[Red]\("$"#,##0.00\)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inlineStr">
        <is>
          <t>center</t>
        </is>
      </c>
      <c r="P128" t="inlineStr">
        <is>
          <t>center</t>
        </is>
      </c>
      <c r="R128" t="b">
        <v>1</v>
      </c>
      <c r="S128" t="inlineStr">
        <is>
          <t>G000003</t>
        </is>
      </c>
      <c r="T128" t="inlineStr">
        <is>
          <t>Vertical</t>
        </is>
      </c>
      <c r="U128" t="n">
        <v>57</v>
      </c>
      <c r="V128" t="b">
        <v>1</v>
      </c>
      <c r="W128" t="inlineStr">
        <is>
          <t>Loan analysis!D10:D66</t>
        </is>
      </c>
      <c r="X128">
        <f>IFERROR(PMT(INDEX(Data[],ROW()-ROW(Data[[#Headers],[5]]),1)/12,Data[[#Headers],[5]]*12,-LoanAmount,0,IF(PaymentsDue="End of Period",0,1)), "")</f>
        <v/>
      </c>
    </row>
    <row r="129">
      <c r="A129" t="inlineStr">
        <is>
          <t>Loan analysis</t>
        </is>
      </c>
      <c r="B129" t="inlineStr">
        <is>
          <t>E13</t>
        </is>
      </c>
      <c r="C129" t="n">
        <v>13</v>
      </c>
      <c r="D129" t="n">
        <v>5</v>
      </c>
      <c r="E129" t="inlineStr">
        <is>
          <t>Output</t>
        </is>
      </c>
      <c r="F129" t="inlineStr">
        <is>
          <t>'=IFERROR(PMT(INDEX(Data[],ROW()-ROW(Data[[#Headers],[10]]),1)/12,Data[[#Headers],[10]]*12,-LoanAmount,0,IF(PaymentsDue="End of Period",0,1)), "")</t>
        </is>
      </c>
      <c r="G129" t="n">
        <v>95.1928802805532</v>
      </c>
      <c r="H129" t="inlineStr"/>
      <c r="I129" t="inlineStr">
        <is>
          <t>"$"#,##0.00_);[Red]\("$"#,##0.00\)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inlineStr">
        <is>
          <t>center</t>
        </is>
      </c>
      <c r="P129" t="inlineStr">
        <is>
          <t>center</t>
        </is>
      </c>
      <c r="R129" t="b">
        <v>1</v>
      </c>
      <c r="S129" t="inlineStr">
        <is>
          <t>G000004</t>
        </is>
      </c>
      <c r="T129" t="inlineStr">
        <is>
          <t>Vertical</t>
        </is>
      </c>
      <c r="U129" t="n">
        <v>57</v>
      </c>
      <c r="V129" t="b">
        <v>1</v>
      </c>
      <c r="W129" t="inlineStr">
        <is>
          <t>Loan analysis!E10:E66</t>
        </is>
      </c>
      <c r="X129">
        <f>IFERROR(PMT(INDEX(Data[],ROW()-ROW(Data[[#Headers],[10]]),1)/12,Data[[#Headers],[10]]*12,-LoanAmount,0,IF(PaymentsDue="End of Period",0,1)), "")</f>
        <v/>
      </c>
    </row>
    <row r="130">
      <c r="A130" t="inlineStr">
        <is>
          <t>Loan analysis</t>
        </is>
      </c>
      <c r="B130" t="inlineStr">
        <is>
          <t>F13</t>
        </is>
      </c>
      <c r="C130" t="n">
        <v>13</v>
      </c>
      <c r="D130" t="n">
        <v>6</v>
      </c>
      <c r="E130" t="inlineStr">
        <is>
          <t>Output</t>
        </is>
      </c>
      <c r="F130" t="inlineStr">
        <is>
          <t>'=IFERROR(PMT(INDEX(Data[],ROW()-ROW(Data[[#Headers],[12]]),1)/12,Data[[#Headers],[12]]*12,-LoanAmount,0,IF(PaymentsDue="End of Period",0,1)), "")</t>
        </is>
      </c>
      <c r="G130" t="n">
        <v>81.42407270166504</v>
      </c>
      <c r="H130" t="inlineStr"/>
      <c r="I130" t="inlineStr">
        <is>
          <t>"$"#,##0.00_);[Red]\("$"#,##0.00\)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inlineStr">
        <is>
          <t>center</t>
        </is>
      </c>
      <c r="P130" t="inlineStr">
        <is>
          <t>center</t>
        </is>
      </c>
      <c r="R130" t="b">
        <v>1</v>
      </c>
      <c r="S130" t="inlineStr">
        <is>
          <t>G000005</t>
        </is>
      </c>
      <c r="T130" t="inlineStr">
        <is>
          <t>Vertical</t>
        </is>
      </c>
      <c r="U130" t="n">
        <v>57</v>
      </c>
      <c r="V130" t="b">
        <v>1</v>
      </c>
      <c r="W130" t="inlineStr">
        <is>
          <t>Loan analysis!F10:F66</t>
        </is>
      </c>
      <c r="X130">
        <f>IFERROR(PMT(INDEX(Data[],ROW()-ROW(Data[[#Headers],[12]]),1)/12,Data[[#Headers],[12]]*12,-LoanAmount,0,IF(PaymentsDue="End of Period",0,1)), "")</f>
        <v/>
      </c>
    </row>
    <row r="131">
      <c r="A131" t="inlineStr">
        <is>
          <t>Loan analysis</t>
        </is>
      </c>
      <c r="B131" t="inlineStr">
        <is>
          <t>G13</t>
        </is>
      </c>
      <c r="C131" t="n">
        <v>13</v>
      </c>
      <c r="D131" t="n">
        <v>7</v>
      </c>
      <c r="E131" t="inlineStr">
        <is>
          <t>Output</t>
        </is>
      </c>
      <c r="F131" t="inlineStr">
        <is>
          <t>'=IFERROR(PMT(INDEX(Data[],ROW()-ROW(Data[[#Headers],[15]]),1)/12,Data[[#Headers],[15]]*12,-LoanAmount,0,IF(PaymentsDue="End of Period",0,1)), "")</t>
        </is>
      </c>
      <c r="G131" t="n">
        <v>67.7070018633307</v>
      </c>
      <c r="H131" t="inlineStr"/>
      <c r="I131" t="inlineStr">
        <is>
          <t>"$"#,##0.00_);[Red]\("$"#,##0.00\)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inlineStr">
        <is>
          <t>center</t>
        </is>
      </c>
      <c r="P131" t="inlineStr">
        <is>
          <t>center</t>
        </is>
      </c>
      <c r="R131" t="b">
        <v>1</v>
      </c>
      <c r="S131" t="inlineStr">
        <is>
          <t>G000006</t>
        </is>
      </c>
      <c r="T131" t="inlineStr">
        <is>
          <t>Vertical</t>
        </is>
      </c>
      <c r="U131" t="n">
        <v>57</v>
      </c>
      <c r="V131" t="b">
        <v>1</v>
      </c>
      <c r="W131" t="inlineStr">
        <is>
          <t>Loan analysis!G10:G66</t>
        </is>
      </c>
      <c r="X131">
        <f>IFERROR(PMT(INDEX(Data[],ROW()-ROW(Data[[#Headers],[15]]),1)/12,Data[[#Headers],[15]]*12,-LoanAmount,0,IF(PaymentsDue="End of Period",0,1)), "")</f>
        <v/>
      </c>
    </row>
    <row r="132">
      <c r="A132" t="inlineStr">
        <is>
          <t>Loan analysis</t>
        </is>
      </c>
      <c r="B132" t="inlineStr">
        <is>
          <t>H13</t>
        </is>
      </c>
      <c r="C132" t="n">
        <v>13</v>
      </c>
      <c r="D132" t="n">
        <v>8</v>
      </c>
      <c r="E132" t="inlineStr">
        <is>
          <t>Output</t>
        </is>
      </c>
      <c r="F132" t="inlineStr">
        <is>
          <t>'=IFERROR(PMT(INDEX(Data[],ROW()-ROW(Data[[#Headers],[20]]),1)/12,Data[[#Headers],[20]]*12,-LoanAmount,0,IF(PaymentsDue="End of Period",0,1)), "")</t>
        </is>
      </c>
      <c r="G132" t="n">
        <v>54.09266830400493</v>
      </c>
      <c r="H132" t="inlineStr"/>
      <c r="I132" t="inlineStr">
        <is>
          <t>"$"#,##0.00_);[Red]\("$"#,##0.00\)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00000000</t>
        </is>
      </c>
      <c r="O132" t="inlineStr">
        <is>
          <t>center</t>
        </is>
      </c>
      <c r="P132" t="inlineStr">
        <is>
          <t>center</t>
        </is>
      </c>
      <c r="R132" t="b">
        <v>1</v>
      </c>
      <c r="S132" t="inlineStr">
        <is>
          <t>G000007</t>
        </is>
      </c>
      <c r="T132" t="inlineStr">
        <is>
          <t>Vertical</t>
        </is>
      </c>
      <c r="U132" t="n">
        <v>57</v>
      </c>
      <c r="V132" t="b">
        <v>1</v>
      </c>
      <c r="W132" t="inlineStr">
        <is>
          <t>Loan analysis!H10:H66</t>
        </is>
      </c>
      <c r="X132">
        <f>IFERROR(PMT(INDEX(Data[],ROW()-ROW(Data[[#Headers],[20]]),1)/12,Data[[#Headers],[20]]*12,-LoanAmount,0,IF(PaymentsDue="End of Period",0,1)), "")</f>
        <v/>
      </c>
    </row>
    <row r="133">
      <c r="A133" t="inlineStr">
        <is>
          <t>Loan analysis</t>
        </is>
      </c>
      <c r="B133" t="inlineStr">
        <is>
          <t>I13</t>
        </is>
      </c>
      <c r="C133" t="n">
        <v>13</v>
      </c>
      <c r="D133" t="n">
        <v>9</v>
      </c>
      <c r="E133" t="inlineStr">
        <is>
          <t>Output</t>
        </is>
      </c>
      <c r="F133" t="inlineStr">
        <is>
          <t>'=IFERROR(PMT(INDEX(Data[],ROW()-ROW(Data[[#Headers],[25]]),1)/12,Data[[#Headers],[25]]*12,-LoanAmount,0,IF(PaymentsDue="End of Period",0,1)), "")</t>
        </is>
      </c>
      <c r="G133" t="n">
        <v>46.0256101676169</v>
      </c>
      <c r="H133" t="inlineStr"/>
      <c r="I133" t="inlineStr">
        <is>
          <t>"$"#,##0.00_);[Red]\("$"#,##0.00\)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inlineStr">
        <is>
          <t>center</t>
        </is>
      </c>
      <c r="P133" t="inlineStr">
        <is>
          <t>center</t>
        </is>
      </c>
      <c r="R133" t="b">
        <v>1</v>
      </c>
      <c r="S133" t="inlineStr">
        <is>
          <t>G000008</t>
        </is>
      </c>
      <c r="T133" t="inlineStr">
        <is>
          <t>Vertical</t>
        </is>
      </c>
      <c r="U133" t="n">
        <v>57</v>
      </c>
      <c r="V133" t="b">
        <v>1</v>
      </c>
      <c r="W133" t="inlineStr">
        <is>
          <t>Loan analysis!I10:I66</t>
        </is>
      </c>
      <c r="X133">
        <f>IFERROR(PMT(INDEX(Data[],ROW()-ROW(Data[[#Headers],[25]]),1)/12,Data[[#Headers],[25]]*12,-LoanAmount,0,IF(PaymentsDue="End of Period",0,1)), "")</f>
        <v/>
      </c>
    </row>
    <row r="134">
      <c r="A134" t="inlineStr">
        <is>
          <t>Loan analysis</t>
        </is>
      </c>
      <c r="B134" t="inlineStr">
        <is>
          <t>J13</t>
        </is>
      </c>
      <c r="C134" t="n">
        <v>13</v>
      </c>
      <c r="D134" t="n">
        <v>10</v>
      </c>
      <c r="E134" t="inlineStr">
        <is>
          <t>Output</t>
        </is>
      </c>
      <c r="F134" t="inlineStr">
        <is>
          <t>'=IFERROR(PMT(INDEX(Data[],ROW()-ROW(Data[[#Headers],[30]]),1)/12,Data[[#Headers],[30]]*12,-LoanAmount,0,IF(PaymentsDue="End of Period",0,1)), "")</t>
        </is>
      </c>
      <c r="G134" t="n">
        <v>40.73077673652979</v>
      </c>
      <c r="H134" t="inlineStr"/>
      <c r="I134" t="inlineStr">
        <is>
          <t>"$"#,##0.00_);[Red]\("$"#,##0.00\)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inlineStr">
        <is>
          <t>center</t>
        </is>
      </c>
      <c r="P134" t="inlineStr">
        <is>
          <t>center</t>
        </is>
      </c>
      <c r="R134" t="b">
        <v>1</v>
      </c>
      <c r="S134" t="inlineStr">
        <is>
          <t>G000009</t>
        </is>
      </c>
      <c r="T134" t="inlineStr">
        <is>
          <t>Vertical</t>
        </is>
      </c>
      <c r="U134" t="n">
        <v>57</v>
      </c>
      <c r="V134" t="b">
        <v>1</v>
      </c>
      <c r="W134" t="inlineStr">
        <is>
          <t>Loan analysis!J10:J66</t>
        </is>
      </c>
      <c r="X134">
        <f>IFERROR(PMT(INDEX(Data[],ROW()-ROW(Data[[#Headers],[30]]),1)/12,Data[[#Headers],[30]]*12,-LoanAmount,0,IF(PaymentsDue="End of Period",0,1)), "")</f>
        <v/>
      </c>
    </row>
    <row r="135">
      <c r="A135" t="inlineStr">
        <is>
          <t>Loan analysis</t>
        </is>
      </c>
      <c r="B135" t="inlineStr">
        <is>
          <t>K13</t>
        </is>
      </c>
      <c r="C135" t="n">
        <v>13</v>
      </c>
      <c r="D135" t="n">
        <v>11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n">
        <v/>
      </c>
      <c r="P135" t="n">
        <v/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Loan analysis</t>
        </is>
      </c>
      <c r="B136" t="inlineStr">
        <is>
          <t>A14</t>
        </is>
      </c>
      <c r="C136" t="n">
        <v>14</v>
      </c>
      <c r="D136" t="n">
        <v>1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P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Loan analysis</t>
        </is>
      </c>
      <c r="B137" t="inlineStr">
        <is>
          <t>B14</t>
        </is>
      </c>
      <c r="C137" t="n">
        <v>14</v>
      </c>
      <c r="D137" t="n">
        <v>2</v>
      </c>
      <c r="E137" t="inlineStr">
        <is>
          <t>Output</t>
        </is>
      </c>
      <c r="F137" t="inlineStr">
        <is>
          <t>'=IFERROR(MAX((ROW()-ROW(Data[[#Headers],[RATE]]))*0.0025+0.0175,0.0025), "")</t>
        </is>
      </c>
      <c r="G137" t="n">
        <v>0.03</v>
      </c>
      <c r="H137" t="inlineStr"/>
      <c r="I137" t="inlineStr">
        <is>
          <t>0.00%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inlineStr">
        <is>
          <t>center</t>
        </is>
      </c>
      <c r="P137" t="inlineStr">
        <is>
          <t>center</t>
        </is>
      </c>
      <c r="R137" t="b">
        <v>1</v>
      </c>
      <c r="S137" t="inlineStr">
        <is>
          <t>G000001</t>
        </is>
      </c>
      <c r="T137" t="inlineStr">
        <is>
          <t>Vertical</t>
        </is>
      </c>
      <c r="U137" t="n">
        <v>57</v>
      </c>
      <c r="V137" t="b">
        <v>1</v>
      </c>
      <c r="W137" t="inlineStr">
        <is>
          <t>Loan analysis!B10:B66</t>
        </is>
      </c>
      <c r="X137">
        <f>IFERROR(MAX((ROW()-ROW(Data[[#Headers],[RATE]]))*0.0025+0.0175,0.0025), "")</f>
        <v/>
      </c>
    </row>
    <row r="138">
      <c r="A138" t="inlineStr">
        <is>
          <t>Loan analysis</t>
        </is>
      </c>
      <c r="B138" t="inlineStr">
        <is>
          <t>C14</t>
        </is>
      </c>
      <c r="C138" t="n">
        <v>14</v>
      </c>
      <c r="D138" t="n">
        <v>3</v>
      </c>
      <c r="E138" t="inlineStr">
        <is>
          <t>Output</t>
        </is>
      </c>
      <c r="F138" t="inlineStr">
        <is>
          <t>'=IFERROR(PMT(INDEX(Data[],ROW()-ROW(Data[[#Headers],[3]]),1)/12,Data[[#Headers],[3]]*12,-LoanAmount,0,IF(PaymentsDue="End of Period",0,1)), "")</t>
        </is>
      </c>
      <c r="G138" t="n">
        <v>290.0868791087514</v>
      </c>
      <c r="H138" t="inlineStr"/>
      <c r="I138" t="inlineStr">
        <is>
          <t>"$"#,##0.00_);[Red]\("$"#,##0.00\)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inlineStr">
        <is>
          <t>center</t>
        </is>
      </c>
      <c r="P138" t="inlineStr">
        <is>
          <t>center</t>
        </is>
      </c>
      <c r="R138" t="b">
        <v>1</v>
      </c>
      <c r="S138" t="inlineStr">
        <is>
          <t>G000002</t>
        </is>
      </c>
      <c r="T138" t="inlineStr">
        <is>
          <t>Vertical</t>
        </is>
      </c>
      <c r="U138" t="n">
        <v>57</v>
      </c>
      <c r="V138" t="b">
        <v>1</v>
      </c>
      <c r="W138" t="inlineStr">
        <is>
          <t>Loan analysis!C10:C66</t>
        </is>
      </c>
      <c r="X138">
        <f>IFERROR(PMT(INDEX(Data[],ROW()-ROW(Data[[#Headers],[3]]),1)/12,Data[[#Headers],[3]]*12,-LoanAmount,0,IF(PaymentsDue="End of Period",0,1)), "")</f>
        <v/>
      </c>
    </row>
    <row r="139">
      <c r="A139" t="inlineStr">
        <is>
          <t>Loan analysis</t>
        </is>
      </c>
      <c r="B139" t="inlineStr">
        <is>
          <t>D14</t>
        </is>
      </c>
      <c r="C139" t="n">
        <v>14</v>
      </c>
      <c r="D139" t="n">
        <v>4</v>
      </c>
      <c r="E139" t="inlineStr">
        <is>
          <t>Output</t>
        </is>
      </c>
      <c r="F139" t="inlineStr">
        <is>
          <t>'=IFERROR(PMT(INDEX(Data[],ROW()-ROW(Data[[#Headers],[5]]),1)/12,Data[[#Headers],[5]]*12,-LoanAmount,0,IF(PaymentsDue="End of Period",0,1)), "")</t>
        </is>
      </c>
      <c r="G139" t="n">
        <v>179.2388096165899</v>
      </c>
      <c r="H139" t="inlineStr"/>
      <c r="I139" t="inlineStr">
        <is>
          <t>"$"#,##0.00_);[Red]\("$"#,##0.00\)</t>
        </is>
      </c>
      <c r="J139" t="b">
        <v>0</v>
      </c>
      <c r="K139" t="b">
        <v>0</v>
      </c>
      <c r="L139" t="n">
        <v>11</v>
      </c>
      <c r="M139" t="inlineStr">
        <is>
          <t>Values must be of type &lt;class 'str'&gt;</t>
        </is>
      </c>
      <c r="N139" t="inlineStr">
        <is>
          <t>00000000</t>
        </is>
      </c>
      <c r="O139" t="inlineStr">
        <is>
          <t>center</t>
        </is>
      </c>
      <c r="P139" t="inlineStr">
        <is>
          <t>center</t>
        </is>
      </c>
      <c r="R139" t="b">
        <v>1</v>
      </c>
      <c r="S139" t="inlineStr">
        <is>
          <t>G000003</t>
        </is>
      </c>
      <c r="T139" t="inlineStr">
        <is>
          <t>Vertical</t>
        </is>
      </c>
      <c r="U139" t="n">
        <v>57</v>
      </c>
      <c r="V139" t="b">
        <v>1</v>
      </c>
      <c r="W139" t="inlineStr">
        <is>
          <t>Loan analysis!D10:D66</t>
        </is>
      </c>
      <c r="X139">
        <f>IFERROR(PMT(INDEX(Data[],ROW()-ROW(Data[[#Headers],[5]]),1)/12,Data[[#Headers],[5]]*12,-LoanAmount,0,IF(PaymentsDue="End of Period",0,1)), "")</f>
        <v/>
      </c>
    </row>
    <row r="140">
      <c r="A140" t="inlineStr">
        <is>
          <t>Loan analysis</t>
        </is>
      </c>
      <c r="B140" t="inlineStr">
        <is>
          <t>E14</t>
        </is>
      </c>
      <c r="C140" t="n">
        <v>14</v>
      </c>
      <c r="D140" t="n">
        <v>5</v>
      </c>
      <c r="E140" t="inlineStr">
        <is>
          <t>Output</t>
        </is>
      </c>
      <c r="F140" t="inlineStr">
        <is>
          <t>'=IFERROR(PMT(INDEX(Data[],ROW()-ROW(Data[[#Headers],[10]]),1)/12,Data[[#Headers],[10]]*12,-LoanAmount,0,IF(PaymentsDue="End of Period",0,1)), "")</t>
        </is>
      </c>
      <c r="G140" t="n">
        <v>96.31994483629877</v>
      </c>
      <c r="H140" t="inlineStr"/>
      <c r="I140" t="inlineStr">
        <is>
          <t>"$"#,##0.00_);[Red]\("$"#,##0.00\)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inlineStr">
        <is>
          <t>center</t>
        </is>
      </c>
      <c r="P140" t="inlineStr">
        <is>
          <t>center</t>
        </is>
      </c>
      <c r="R140" t="b">
        <v>1</v>
      </c>
      <c r="S140" t="inlineStr">
        <is>
          <t>G000004</t>
        </is>
      </c>
      <c r="T140" t="inlineStr">
        <is>
          <t>Vertical</t>
        </is>
      </c>
      <c r="U140" t="n">
        <v>57</v>
      </c>
      <c r="V140" t="b">
        <v>1</v>
      </c>
      <c r="W140" t="inlineStr">
        <is>
          <t>Loan analysis!E10:E66</t>
        </is>
      </c>
      <c r="X140">
        <f>IFERROR(PMT(INDEX(Data[],ROW()-ROW(Data[[#Headers],[10]]),1)/12,Data[[#Headers],[10]]*12,-LoanAmount,0,IF(PaymentsDue="End of Period",0,1)), "")</f>
        <v/>
      </c>
    </row>
    <row r="141">
      <c r="A141" t="inlineStr">
        <is>
          <t>Loan analysis</t>
        </is>
      </c>
      <c r="B141" t="inlineStr">
        <is>
          <t>F14</t>
        </is>
      </c>
      <c r="C141" t="n">
        <v>14</v>
      </c>
      <c r="D141" t="n">
        <v>6</v>
      </c>
      <c r="E141" t="inlineStr">
        <is>
          <t>Output</t>
        </is>
      </c>
      <c r="F141" t="inlineStr">
        <is>
          <t>'=IFERROR(PMT(INDEX(Data[],ROW()-ROW(Data[[#Headers],[12]]),1)/12,Data[[#Headers],[12]]*12,-LoanAmount,0,IF(PaymentsDue="End of Period",0,1)), "")</t>
        </is>
      </c>
      <c r="G141" t="n">
        <v>82.57223834893161</v>
      </c>
      <c r="H141" t="inlineStr"/>
      <c r="I141" t="inlineStr">
        <is>
          <t>"$"#,##0.00_);[Red]\("$"#,##0.00\)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inlineStr">
        <is>
          <t>center</t>
        </is>
      </c>
      <c r="P141" t="inlineStr">
        <is>
          <t>center</t>
        </is>
      </c>
      <c r="R141" t="b">
        <v>1</v>
      </c>
      <c r="S141" t="inlineStr">
        <is>
          <t>G000005</t>
        </is>
      </c>
      <c r="T141" t="inlineStr">
        <is>
          <t>Vertical</t>
        </is>
      </c>
      <c r="U141" t="n">
        <v>57</v>
      </c>
      <c r="V141" t="b">
        <v>1</v>
      </c>
      <c r="W141" t="inlineStr">
        <is>
          <t>Loan analysis!F10:F66</t>
        </is>
      </c>
      <c r="X141">
        <f>IFERROR(PMT(INDEX(Data[],ROW()-ROW(Data[[#Headers],[12]]),1)/12,Data[[#Headers],[12]]*12,-LoanAmount,0,IF(PaymentsDue="End of Period",0,1)), "")</f>
        <v/>
      </c>
    </row>
    <row r="142">
      <c r="A142" t="inlineStr">
        <is>
          <t>Loan analysis</t>
        </is>
      </c>
      <c r="B142" t="inlineStr">
        <is>
          <t>G14</t>
        </is>
      </c>
      <c r="C142" t="n">
        <v>14</v>
      </c>
      <c r="D142" t="n">
        <v>7</v>
      </c>
      <c r="E142" t="inlineStr">
        <is>
          <t>Output</t>
        </is>
      </c>
      <c r="F142" t="inlineStr">
        <is>
          <t>'=IFERROR(PMT(INDEX(Data[],ROW()-ROW(Data[[#Headers],[15]]),1)/12,Data[[#Headers],[15]]*12,-LoanAmount,0,IF(PaymentsDue="End of Period",0,1)), "")</t>
        </is>
      </c>
      <c r="G142" t="n">
        <v>68.88594915491173</v>
      </c>
      <c r="H142" t="inlineStr"/>
      <c r="I142" t="inlineStr">
        <is>
          <t>"$"#,##0.00_);[Red]\("$"#,##0.00\)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inlineStr">
        <is>
          <t>center</t>
        </is>
      </c>
      <c r="P142" t="inlineStr">
        <is>
          <t>center</t>
        </is>
      </c>
      <c r="R142" t="b">
        <v>1</v>
      </c>
      <c r="S142" t="inlineStr">
        <is>
          <t>G000006</t>
        </is>
      </c>
      <c r="T142" t="inlineStr">
        <is>
          <t>Vertical</t>
        </is>
      </c>
      <c r="U142" t="n">
        <v>57</v>
      </c>
      <c r="V142" t="b">
        <v>1</v>
      </c>
      <c r="W142" t="inlineStr">
        <is>
          <t>Loan analysis!G10:G66</t>
        </is>
      </c>
      <c r="X142">
        <f>IFERROR(PMT(INDEX(Data[],ROW()-ROW(Data[[#Headers],[15]]),1)/12,Data[[#Headers],[15]]*12,-LoanAmount,0,IF(PaymentsDue="End of Period",0,1)), "")</f>
        <v/>
      </c>
    </row>
    <row r="143">
      <c r="A143" t="inlineStr">
        <is>
          <t>Loan analysis</t>
        </is>
      </c>
      <c r="B143" t="inlineStr">
        <is>
          <t>H14</t>
        </is>
      </c>
      <c r="C143" t="n">
        <v>14</v>
      </c>
      <c r="D143" t="n">
        <v>8</v>
      </c>
      <c r="E143" t="inlineStr">
        <is>
          <t>Output</t>
        </is>
      </c>
      <c r="F143" t="inlineStr">
        <is>
          <t>'=IFERROR(PMT(INDEX(Data[],ROW()-ROW(Data[[#Headers],[20]]),1)/12,Data[[#Headers],[20]]*12,-LoanAmount,0,IF(PaymentsDue="End of Period",0,1)), "")</t>
        </is>
      </c>
      <c r="G143" t="n">
        <v>55.32145614502863</v>
      </c>
      <c r="H143" t="inlineStr"/>
      <c r="I143" t="inlineStr">
        <is>
          <t>"$"#,##0.00_);[Red]\("$"#,##0.00\)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inlineStr">
        <is>
          <t>center</t>
        </is>
      </c>
      <c r="P143" t="inlineStr">
        <is>
          <t>center</t>
        </is>
      </c>
      <c r="R143" t="b">
        <v>1</v>
      </c>
      <c r="S143" t="inlineStr">
        <is>
          <t>G000007</t>
        </is>
      </c>
      <c r="T143" t="inlineStr">
        <is>
          <t>Vertical</t>
        </is>
      </c>
      <c r="U143" t="n">
        <v>57</v>
      </c>
      <c r="V143" t="b">
        <v>1</v>
      </c>
      <c r="W143" t="inlineStr">
        <is>
          <t>Loan analysis!H10:H66</t>
        </is>
      </c>
      <c r="X143">
        <f>IFERROR(PMT(INDEX(Data[],ROW()-ROW(Data[[#Headers],[20]]),1)/12,Data[[#Headers],[20]]*12,-LoanAmount,0,IF(PaymentsDue="End of Period",0,1)), "")</f>
        <v/>
      </c>
    </row>
    <row r="144">
      <c r="A144" t="inlineStr">
        <is>
          <t>Loan analysis</t>
        </is>
      </c>
      <c r="B144" t="inlineStr">
        <is>
          <t>I14</t>
        </is>
      </c>
      <c r="C144" t="n">
        <v>14</v>
      </c>
      <c r="D144" t="n">
        <v>9</v>
      </c>
      <c r="E144" t="inlineStr">
        <is>
          <t>Output</t>
        </is>
      </c>
      <c r="F144" t="inlineStr">
        <is>
          <t>'=IFERROR(PMT(INDEX(Data[],ROW()-ROW(Data[[#Headers],[25]]),1)/12,Data[[#Headers],[25]]*12,-LoanAmount,0,IF(PaymentsDue="End of Period",0,1)), "")</t>
        </is>
      </c>
      <c r="G144" t="n">
        <v>47.30287420026664</v>
      </c>
      <c r="H144" t="inlineStr"/>
      <c r="I144" t="inlineStr">
        <is>
          <t>"$"#,##0.00_);[Red]\("$"#,##0.00\)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inlineStr">
        <is>
          <t>center</t>
        </is>
      </c>
      <c r="P144" t="inlineStr">
        <is>
          <t>center</t>
        </is>
      </c>
      <c r="R144" t="b">
        <v>1</v>
      </c>
      <c r="S144" t="inlineStr">
        <is>
          <t>G000008</t>
        </is>
      </c>
      <c r="T144" t="inlineStr">
        <is>
          <t>Vertical</t>
        </is>
      </c>
      <c r="U144" t="n">
        <v>57</v>
      </c>
      <c r="V144" t="b">
        <v>1</v>
      </c>
      <c r="W144" t="inlineStr">
        <is>
          <t>Loan analysis!I10:I66</t>
        </is>
      </c>
      <c r="X144">
        <f>IFERROR(PMT(INDEX(Data[],ROW()-ROW(Data[[#Headers],[25]]),1)/12,Data[[#Headers],[25]]*12,-LoanAmount,0,IF(PaymentsDue="End of Period",0,1)), "")</f>
        <v/>
      </c>
    </row>
    <row r="145">
      <c r="A145" t="inlineStr">
        <is>
          <t>Loan analysis</t>
        </is>
      </c>
      <c r="B145" t="inlineStr">
        <is>
          <t>J14</t>
        </is>
      </c>
      <c r="C145" t="n">
        <v>14</v>
      </c>
      <c r="D145" t="n">
        <v>10</v>
      </c>
      <c r="E145" t="inlineStr">
        <is>
          <t>Output</t>
        </is>
      </c>
      <c r="F145" t="inlineStr">
        <is>
          <t>'=IFERROR(PMT(INDEX(Data[],ROW()-ROW(Data[[#Headers],[30]]),1)/12,Data[[#Headers],[30]]*12,-LoanAmount,0,IF(PaymentsDue="End of Period",0,1)), "")</t>
        </is>
      </c>
      <c r="G145" t="n">
        <v>42.05526520992024</v>
      </c>
      <c r="H145" t="inlineStr"/>
      <c r="I145" t="inlineStr">
        <is>
          <t>"$"#,##0.00_);[Red]\("$"#,##0.00\)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inlineStr">
        <is>
          <t>center</t>
        </is>
      </c>
      <c r="P145" t="inlineStr">
        <is>
          <t>center</t>
        </is>
      </c>
      <c r="R145" t="b">
        <v>1</v>
      </c>
      <c r="S145" t="inlineStr">
        <is>
          <t>G000009</t>
        </is>
      </c>
      <c r="T145" t="inlineStr">
        <is>
          <t>Vertical</t>
        </is>
      </c>
      <c r="U145" t="n">
        <v>57</v>
      </c>
      <c r="V145" t="b">
        <v>1</v>
      </c>
      <c r="W145" t="inlineStr">
        <is>
          <t>Loan analysis!J10:J66</t>
        </is>
      </c>
      <c r="X145">
        <f>IFERROR(PMT(INDEX(Data[],ROW()-ROW(Data[[#Headers],[30]]),1)/12,Data[[#Headers],[30]]*12,-LoanAmount,0,IF(PaymentsDue="End of Period",0,1)), "")</f>
        <v/>
      </c>
    </row>
    <row r="146">
      <c r="A146" t="inlineStr">
        <is>
          <t>Loan analysis</t>
        </is>
      </c>
      <c r="B146" t="inlineStr">
        <is>
          <t>K14</t>
        </is>
      </c>
      <c r="C146" t="n">
        <v>14</v>
      </c>
      <c r="D146" t="n">
        <v>11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P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Loan analysis</t>
        </is>
      </c>
      <c r="B147" t="inlineStr">
        <is>
          <t>A15</t>
        </is>
      </c>
      <c r="C147" t="n">
        <v>15</v>
      </c>
      <c r="D147" t="n">
        <v>1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n">
        <v/>
      </c>
      <c r="P147" t="n">
        <v/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Loan analysis</t>
        </is>
      </c>
      <c r="B148" t="inlineStr">
        <is>
          <t>B15</t>
        </is>
      </c>
      <c r="C148" t="n">
        <v>15</v>
      </c>
      <c r="D148" t="n">
        <v>2</v>
      </c>
      <c r="E148" t="inlineStr">
        <is>
          <t>Output</t>
        </is>
      </c>
      <c r="F148" t="inlineStr">
        <is>
          <t>'=IFERROR(MAX((ROW()-ROW(Data[[#Headers],[RATE]]))*0.0025+0.0175,0.0025), "")</t>
        </is>
      </c>
      <c r="G148" t="n">
        <v>0.0325</v>
      </c>
      <c r="H148" t="inlineStr"/>
      <c r="I148" t="inlineStr">
        <is>
          <t>0.00%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inlineStr">
        <is>
          <t>center</t>
        </is>
      </c>
      <c r="P148" t="inlineStr">
        <is>
          <t>center</t>
        </is>
      </c>
      <c r="R148" t="b">
        <v>1</v>
      </c>
      <c r="S148" t="inlineStr">
        <is>
          <t>G000001</t>
        </is>
      </c>
      <c r="T148" t="inlineStr">
        <is>
          <t>Vertical</t>
        </is>
      </c>
      <c r="U148" t="n">
        <v>57</v>
      </c>
      <c r="V148" t="b">
        <v>1</v>
      </c>
      <c r="W148" t="inlineStr">
        <is>
          <t>Loan analysis!B10:B66</t>
        </is>
      </c>
      <c r="X148">
        <f>IFERROR(MAX((ROW()-ROW(Data[[#Headers],[RATE]]))*0.0025+0.0175,0.0025), "")</f>
        <v/>
      </c>
    </row>
    <row r="149">
      <c r="A149" t="inlineStr">
        <is>
          <t>Loan analysis</t>
        </is>
      </c>
      <c r="B149" t="inlineStr">
        <is>
          <t>C15</t>
        </is>
      </c>
      <c r="C149" t="n">
        <v>15</v>
      </c>
      <c r="D149" t="n">
        <v>3</v>
      </c>
      <c r="E149" t="inlineStr">
        <is>
          <t>Output</t>
        </is>
      </c>
      <c r="F149" t="inlineStr">
        <is>
          <t>'=IFERROR(PMT(INDEX(Data[],ROW()-ROW(Data[[#Headers],[3]]),1)/12,Data[[#Headers],[3]]*12,-LoanAmount,0,IF(PaymentsDue="End of Period",0,1)), "")</t>
        </is>
      </c>
      <c r="G149" t="n">
        <v>291.1266841029378</v>
      </c>
      <c r="H149" t="inlineStr"/>
      <c r="I149" t="inlineStr">
        <is>
          <t>"$"#,##0.00_);[Red]\("$"#,##0.00\)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inlineStr">
        <is>
          <t>center</t>
        </is>
      </c>
      <c r="P149" t="inlineStr">
        <is>
          <t>center</t>
        </is>
      </c>
      <c r="R149" t="b">
        <v>1</v>
      </c>
      <c r="S149" t="inlineStr">
        <is>
          <t>G000002</t>
        </is>
      </c>
      <c r="T149" t="inlineStr">
        <is>
          <t>Vertical</t>
        </is>
      </c>
      <c r="U149" t="n">
        <v>57</v>
      </c>
      <c r="V149" t="b">
        <v>1</v>
      </c>
      <c r="W149" t="inlineStr">
        <is>
          <t>Loan analysis!C10:C66</t>
        </is>
      </c>
      <c r="X149">
        <f>IFERROR(PMT(INDEX(Data[],ROW()-ROW(Data[[#Headers],[3]]),1)/12,Data[[#Headers],[3]]*12,-LoanAmount,0,IF(PaymentsDue="End of Period",0,1)), "")</f>
        <v/>
      </c>
    </row>
    <row r="150">
      <c r="A150" t="inlineStr">
        <is>
          <t>Loan analysis</t>
        </is>
      </c>
      <c r="B150" t="inlineStr">
        <is>
          <t>D15</t>
        </is>
      </c>
      <c r="C150" t="n">
        <v>15</v>
      </c>
      <c r="D150" t="n">
        <v>4</v>
      </c>
      <c r="E150" t="inlineStr">
        <is>
          <t>Output</t>
        </is>
      </c>
      <c r="F150" t="inlineStr">
        <is>
          <t>'=IFERROR(PMT(INDEX(Data[],ROW()-ROW(Data[[#Headers],[5]]),1)/12,Data[[#Headers],[5]]*12,-LoanAmount,0,IF(PaymentsDue="End of Period",0,1)), "")</t>
        </is>
      </c>
      <c r="G150" t="n">
        <v>180.3116789754352</v>
      </c>
      <c r="H150" t="inlineStr"/>
      <c r="I150" t="inlineStr">
        <is>
          <t>"$"#,##0.00_);[Red]\("$"#,##0.00\)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inlineStr">
        <is>
          <t>center</t>
        </is>
      </c>
      <c r="P150" t="inlineStr">
        <is>
          <t>center</t>
        </is>
      </c>
      <c r="R150" t="b">
        <v>1</v>
      </c>
      <c r="S150" t="inlineStr">
        <is>
          <t>G000003</t>
        </is>
      </c>
      <c r="T150" t="inlineStr">
        <is>
          <t>Vertical</t>
        </is>
      </c>
      <c r="U150" t="n">
        <v>57</v>
      </c>
      <c r="V150" t="b">
        <v>1</v>
      </c>
      <c r="W150" t="inlineStr">
        <is>
          <t>Loan analysis!D10:D66</t>
        </is>
      </c>
      <c r="X150">
        <f>IFERROR(PMT(INDEX(Data[],ROW()-ROW(Data[[#Headers],[5]]),1)/12,Data[[#Headers],[5]]*12,-LoanAmount,0,IF(PaymentsDue="End of Period",0,1)), "")</f>
        <v/>
      </c>
    </row>
    <row r="151">
      <c r="A151" t="inlineStr">
        <is>
          <t>Loan analysis</t>
        </is>
      </c>
      <c r="B151" t="inlineStr">
        <is>
          <t>E15</t>
        </is>
      </c>
      <c r="C151" t="n">
        <v>15</v>
      </c>
      <c r="D151" t="n">
        <v>5</v>
      </c>
      <c r="E151" t="inlineStr">
        <is>
          <t>Output</t>
        </is>
      </c>
      <c r="F151" t="inlineStr">
        <is>
          <t>'=IFERROR(PMT(INDEX(Data[],ROW()-ROW(Data[[#Headers],[10]]),1)/12,Data[[#Headers],[10]]*12,-LoanAmount,0,IF(PaymentsDue="End of Period",0,1)), "")</t>
        </is>
      </c>
      <c r="G151" t="n">
        <v>97.45508810157712</v>
      </c>
      <c r="H151" t="inlineStr"/>
      <c r="I151" t="inlineStr">
        <is>
          <t>"$"#,##0.00_);[Red]\("$"#,##0.00\)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inlineStr">
        <is>
          <t>center</t>
        </is>
      </c>
      <c r="P151" t="inlineStr">
        <is>
          <t>center</t>
        </is>
      </c>
      <c r="R151" t="b">
        <v>1</v>
      </c>
      <c r="S151" t="inlineStr">
        <is>
          <t>G000004</t>
        </is>
      </c>
      <c r="T151" t="inlineStr">
        <is>
          <t>Vertical</t>
        </is>
      </c>
      <c r="U151" t="n">
        <v>57</v>
      </c>
      <c r="V151" t="b">
        <v>1</v>
      </c>
      <c r="W151" t="inlineStr">
        <is>
          <t>Loan analysis!E10:E66</t>
        </is>
      </c>
      <c r="X151">
        <f>IFERROR(PMT(INDEX(Data[],ROW()-ROW(Data[[#Headers],[10]]),1)/12,Data[[#Headers],[10]]*12,-LoanAmount,0,IF(PaymentsDue="End of Period",0,1)), "")</f>
        <v/>
      </c>
    </row>
    <row r="152">
      <c r="A152" t="inlineStr">
        <is>
          <t>Loan analysis</t>
        </is>
      </c>
      <c r="B152" t="inlineStr">
        <is>
          <t>F15</t>
        </is>
      </c>
      <c r="C152" t="n">
        <v>15</v>
      </c>
      <c r="D152" t="n">
        <v>6</v>
      </c>
      <c r="E152" t="inlineStr">
        <is>
          <t>Output</t>
        </is>
      </c>
      <c r="F152" t="inlineStr">
        <is>
          <t>'=IFERROR(PMT(INDEX(Data[],ROW()-ROW(Data[[#Headers],[12]]),1)/12,Data[[#Headers],[12]]*12,-LoanAmount,0,IF(PaymentsDue="End of Period",0,1)), "")</t>
        </is>
      </c>
      <c r="G152" t="n">
        <v>83.73014317048559</v>
      </c>
      <c r="H152" t="inlineStr"/>
      <c r="I152" t="inlineStr">
        <is>
          <t>"$"#,##0.00_);[Red]\("$"#,##0.00\)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inlineStr">
        <is>
          <t>center</t>
        </is>
      </c>
      <c r="P152" t="inlineStr">
        <is>
          <t>center</t>
        </is>
      </c>
      <c r="R152" t="b">
        <v>1</v>
      </c>
      <c r="S152" t="inlineStr">
        <is>
          <t>G000005</t>
        </is>
      </c>
      <c r="T152" t="inlineStr">
        <is>
          <t>Vertical</t>
        </is>
      </c>
      <c r="U152" t="n">
        <v>57</v>
      </c>
      <c r="V152" t="b">
        <v>1</v>
      </c>
      <c r="W152" t="inlineStr">
        <is>
          <t>Loan analysis!F10:F66</t>
        </is>
      </c>
      <c r="X152">
        <f>IFERROR(PMT(INDEX(Data[],ROW()-ROW(Data[[#Headers],[12]]),1)/12,Data[[#Headers],[12]]*12,-LoanAmount,0,IF(PaymentsDue="End of Period",0,1)), "")</f>
        <v/>
      </c>
    </row>
    <row r="153">
      <c r="A153" t="inlineStr">
        <is>
          <t>Loan analysis</t>
        </is>
      </c>
      <c r="B153" t="inlineStr">
        <is>
          <t>G15</t>
        </is>
      </c>
      <c r="C153" t="n">
        <v>15</v>
      </c>
      <c r="D153" t="n">
        <v>7</v>
      </c>
      <c r="E153" t="inlineStr">
        <is>
          <t>Output</t>
        </is>
      </c>
      <c r="F153" t="inlineStr">
        <is>
          <t>'=IFERROR(PMT(INDEX(Data[],ROW()-ROW(Data[[#Headers],[15]]),1)/12,Data[[#Headers],[15]]*12,-LoanAmount,0,IF(PaymentsDue="End of Period",0,1)), "")</t>
        </is>
      </c>
      <c r="G153" t="n">
        <v>70.07708478735586</v>
      </c>
      <c r="H153" t="inlineStr"/>
      <c r="I153" t="inlineStr">
        <is>
          <t>"$"#,##0.00_);[Red]\("$"#,##0.00\)</t>
        </is>
      </c>
      <c r="J153" t="b">
        <v>0</v>
      </c>
      <c r="K153" t="b">
        <v>0</v>
      </c>
      <c r="L153" t="n">
        <v>11</v>
      </c>
      <c r="M153" t="inlineStr">
        <is>
          <t>Values must be of type &lt;class 'str'&gt;</t>
        </is>
      </c>
      <c r="N153" t="inlineStr">
        <is>
          <t>00000000</t>
        </is>
      </c>
      <c r="O153" t="inlineStr">
        <is>
          <t>center</t>
        </is>
      </c>
      <c r="P153" t="inlineStr">
        <is>
          <t>center</t>
        </is>
      </c>
      <c r="R153" t="b">
        <v>1</v>
      </c>
      <c r="S153" t="inlineStr">
        <is>
          <t>G000006</t>
        </is>
      </c>
      <c r="T153" t="inlineStr">
        <is>
          <t>Vertical</t>
        </is>
      </c>
      <c r="U153" t="n">
        <v>57</v>
      </c>
      <c r="V153" t="b">
        <v>1</v>
      </c>
      <c r="W153" t="inlineStr">
        <is>
          <t>Loan analysis!G10:G66</t>
        </is>
      </c>
      <c r="X153">
        <f>IFERROR(PMT(INDEX(Data[],ROW()-ROW(Data[[#Headers],[15]]),1)/12,Data[[#Headers],[15]]*12,-LoanAmount,0,IF(PaymentsDue="End of Period",0,1)), "")</f>
        <v/>
      </c>
    </row>
    <row r="154">
      <c r="A154" t="inlineStr">
        <is>
          <t>Loan analysis</t>
        </is>
      </c>
      <c r="B154" t="inlineStr">
        <is>
          <t>H15</t>
        </is>
      </c>
      <c r="C154" t="n">
        <v>15</v>
      </c>
      <c r="D154" t="n">
        <v>8</v>
      </c>
      <c r="E154" t="inlineStr">
        <is>
          <t>Output</t>
        </is>
      </c>
      <c r="F154" t="inlineStr">
        <is>
          <t>'=IFERROR(PMT(INDEX(Data[],ROW()-ROW(Data[[#Headers],[20]]),1)/12,Data[[#Headers],[20]]*12,-LoanAmount,0,IF(PaymentsDue="End of Period",0,1)), "")</t>
        </is>
      </c>
      <c r="G154" t="n">
        <v>56.5663755489894</v>
      </c>
      <c r="H154" t="inlineStr"/>
      <c r="I154" t="inlineStr">
        <is>
          <t>"$"#,##0.00_);[Red]\("$"#,##0.00\)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inlineStr">
        <is>
          <t>center</t>
        </is>
      </c>
      <c r="P154" t="inlineStr">
        <is>
          <t>center</t>
        </is>
      </c>
      <c r="R154" t="b">
        <v>1</v>
      </c>
      <c r="S154" t="inlineStr">
        <is>
          <t>G000007</t>
        </is>
      </c>
      <c r="T154" t="inlineStr">
        <is>
          <t>Vertical</t>
        </is>
      </c>
      <c r="U154" t="n">
        <v>57</v>
      </c>
      <c r="V154" t="b">
        <v>1</v>
      </c>
      <c r="W154" t="inlineStr">
        <is>
          <t>Loan analysis!H10:H66</t>
        </is>
      </c>
      <c r="X154">
        <f>IFERROR(PMT(INDEX(Data[],ROW()-ROW(Data[[#Headers],[20]]),1)/12,Data[[#Headers],[20]]*12,-LoanAmount,0,IF(PaymentsDue="End of Period",0,1)), "")</f>
        <v/>
      </c>
    </row>
    <row r="155">
      <c r="A155" t="inlineStr">
        <is>
          <t>Loan analysis</t>
        </is>
      </c>
      <c r="B155" t="inlineStr">
        <is>
          <t>I15</t>
        </is>
      </c>
      <c r="C155" t="n">
        <v>15</v>
      </c>
      <c r="D155" t="n">
        <v>9</v>
      </c>
      <c r="E155" t="inlineStr">
        <is>
          <t>Output</t>
        </is>
      </c>
      <c r="F155" t="inlineStr">
        <is>
          <t>'=IFERROR(PMT(INDEX(Data[],ROW()-ROW(Data[[#Headers],[25]]),1)/12,Data[[#Headers],[25]]*12,-LoanAmount,0,IF(PaymentsDue="End of Period",0,1)), "")</t>
        </is>
      </c>
      <c r="G155" t="n">
        <v>48.59999754066054</v>
      </c>
      <c r="H155" t="inlineStr"/>
      <c r="I155" t="inlineStr">
        <is>
          <t>"$"#,##0.00_);[Red]\("$"#,##0.00\)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inlineStr">
        <is>
          <t>center</t>
        </is>
      </c>
      <c r="P155" t="inlineStr">
        <is>
          <t>center</t>
        </is>
      </c>
      <c r="R155" t="b">
        <v>1</v>
      </c>
      <c r="S155" t="inlineStr">
        <is>
          <t>G000008</t>
        </is>
      </c>
      <c r="T155" t="inlineStr">
        <is>
          <t>Vertical</t>
        </is>
      </c>
      <c r="U155" t="n">
        <v>57</v>
      </c>
      <c r="V155" t="b">
        <v>1</v>
      </c>
      <c r="W155" t="inlineStr">
        <is>
          <t>Loan analysis!I10:I66</t>
        </is>
      </c>
      <c r="X155">
        <f>IFERROR(PMT(INDEX(Data[],ROW()-ROW(Data[[#Headers],[25]]),1)/12,Data[[#Headers],[25]]*12,-LoanAmount,0,IF(PaymentsDue="End of Period",0,1)), "")</f>
        <v/>
      </c>
    </row>
    <row r="156">
      <c r="A156" t="inlineStr">
        <is>
          <t>Loan analysis</t>
        </is>
      </c>
      <c r="B156" t="inlineStr">
        <is>
          <t>J15</t>
        </is>
      </c>
      <c r="C156" t="n">
        <v>15</v>
      </c>
      <c r="D156" t="n">
        <v>10</v>
      </c>
      <c r="E156" t="inlineStr">
        <is>
          <t>Output</t>
        </is>
      </c>
      <c r="F156" t="inlineStr">
        <is>
          <t>'=IFERROR(PMT(INDEX(Data[],ROW()-ROW(Data[[#Headers],[30]]),1)/12,Data[[#Headers],[30]]*12,-LoanAmount,0,IF(PaymentsDue="End of Period",0,1)), "")</t>
        </is>
      </c>
      <c r="G156" t="n">
        <v>43.40308189377575</v>
      </c>
      <c r="H156" t="inlineStr"/>
      <c r="I156" t="inlineStr">
        <is>
          <t>"$"#,##0.00_);[Red]\("$"#,##0.00\)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inlineStr">
        <is>
          <t>center</t>
        </is>
      </c>
      <c r="P156" t="inlineStr">
        <is>
          <t>center</t>
        </is>
      </c>
      <c r="R156" t="b">
        <v>1</v>
      </c>
      <c r="S156" t="inlineStr">
        <is>
          <t>G000009</t>
        </is>
      </c>
      <c r="T156" t="inlineStr">
        <is>
          <t>Vertical</t>
        </is>
      </c>
      <c r="U156" t="n">
        <v>57</v>
      </c>
      <c r="V156" t="b">
        <v>1</v>
      </c>
      <c r="W156" t="inlineStr">
        <is>
          <t>Loan analysis!J10:J66</t>
        </is>
      </c>
      <c r="X156">
        <f>IFERROR(PMT(INDEX(Data[],ROW()-ROW(Data[[#Headers],[30]]),1)/12,Data[[#Headers],[30]]*12,-LoanAmount,0,IF(PaymentsDue="End of Period",0,1)), "")</f>
        <v/>
      </c>
    </row>
    <row r="157">
      <c r="A157" t="inlineStr">
        <is>
          <t>Loan analysis</t>
        </is>
      </c>
      <c r="B157" t="inlineStr">
        <is>
          <t>K15</t>
        </is>
      </c>
      <c r="C157" t="n">
        <v>15</v>
      </c>
      <c r="D157" t="n">
        <v>11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Loan analysis</t>
        </is>
      </c>
      <c r="B158" t="inlineStr">
        <is>
          <t>A16</t>
        </is>
      </c>
      <c r="C158" t="n">
        <v>16</v>
      </c>
      <c r="D158" t="n">
        <v>1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Loan analysis</t>
        </is>
      </c>
      <c r="B159" t="inlineStr">
        <is>
          <t>B16</t>
        </is>
      </c>
      <c r="C159" t="n">
        <v>16</v>
      </c>
      <c r="D159" t="n">
        <v>2</v>
      </c>
      <c r="E159" t="inlineStr">
        <is>
          <t>Output</t>
        </is>
      </c>
      <c r="F159" t="inlineStr">
        <is>
          <t>'=IFERROR(MAX((ROW()-ROW(Data[[#Headers],[RATE]]))*0.0025+0.0175,0.0025), "")</t>
        </is>
      </c>
      <c r="G159" t="n">
        <v>0.035</v>
      </c>
      <c r="H159" t="inlineStr"/>
      <c r="I159" t="inlineStr">
        <is>
          <t>0.00%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inlineStr">
        <is>
          <t>center</t>
        </is>
      </c>
      <c r="P159" t="inlineStr">
        <is>
          <t>center</t>
        </is>
      </c>
      <c r="R159" t="b">
        <v>1</v>
      </c>
      <c r="S159" t="inlineStr">
        <is>
          <t>G000001</t>
        </is>
      </c>
      <c r="T159" t="inlineStr">
        <is>
          <t>Vertical</t>
        </is>
      </c>
      <c r="U159" t="n">
        <v>57</v>
      </c>
      <c r="V159" t="b">
        <v>1</v>
      </c>
      <c r="W159" t="inlineStr">
        <is>
          <t>Loan analysis!B10:B66</t>
        </is>
      </c>
      <c r="X159">
        <f>IFERROR(MAX((ROW()-ROW(Data[[#Headers],[RATE]]))*0.0025+0.0175,0.0025), "")</f>
        <v/>
      </c>
    </row>
    <row r="160">
      <c r="A160" t="inlineStr">
        <is>
          <t>Loan analysis</t>
        </is>
      </c>
      <c r="B160" t="inlineStr">
        <is>
          <t>C16</t>
        </is>
      </c>
      <c r="C160" t="n">
        <v>16</v>
      </c>
      <c r="D160" t="n">
        <v>3</v>
      </c>
      <c r="E160" t="inlineStr">
        <is>
          <t>Output</t>
        </is>
      </c>
      <c r="F160" t="inlineStr">
        <is>
          <t>'=IFERROR(PMT(INDEX(Data[],ROW()-ROW(Data[[#Headers],[3]]),1)/12,Data[[#Headers],[3]]*12,-LoanAmount,0,IF(PaymentsDue="End of Period",0,1)), "")</t>
        </is>
      </c>
      <c r="G160" t="n">
        <v>292.1686387394514</v>
      </c>
      <c r="H160" t="inlineStr"/>
      <c r="I160" t="inlineStr">
        <is>
          <t>"$"#,##0.00_);[Red]\("$"#,##0.00\)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inlineStr">
        <is>
          <t>center</t>
        </is>
      </c>
      <c r="P160" t="inlineStr">
        <is>
          <t>center</t>
        </is>
      </c>
      <c r="R160" t="b">
        <v>1</v>
      </c>
      <c r="S160" t="inlineStr">
        <is>
          <t>G000002</t>
        </is>
      </c>
      <c r="T160" t="inlineStr">
        <is>
          <t>Vertical</t>
        </is>
      </c>
      <c r="U160" t="n">
        <v>57</v>
      </c>
      <c r="V160" t="b">
        <v>1</v>
      </c>
      <c r="W160" t="inlineStr">
        <is>
          <t>Loan analysis!C10:C66</t>
        </is>
      </c>
      <c r="X160">
        <f>IFERROR(PMT(INDEX(Data[],ROW()-ROW(Data[[#Headers],[3]]),1)/12,Data[[#Headers],[3]]*12,-LoanAmount,0,IF(PaymentsDue="End of Period",0,1)), "")</f>
        <v/>
      </c>
    </row>
    <row r="161">
      <c r="A161" t="inlineStr">
        <is>
          <t>Loan analysis</t>
        </is>
      </c>
      <c r="B161" t="inlineStr">
        <is>
          <t>D16</t>
        </is>
      </c>
      <c r="C161" t="n">
        <v>16</v>
      </c>
      <c r="D161" t="n">
        <v>4</v>
      </c>
      <c r="E161" t="inlineStr">
        <is>
          <t>Output</t>
        </is>
      </c>
      <c r="F161" t="inlineStr">
        <is>
          <t>'=IFERROR(PMT(INDEX(Data[],ROW()-ROW(Data[[#Headers],[5]]),1)/12,Data[[#Headers],[5]]*12,-LoanAmount,0,IF(PaymentsDue="End of Period",0,1)), "")</t>
        </is>
      </c>
      <c r="G161" t="n">
        <v>181.3884002019749</v>
      </c>
      <c r="H161" t="inlineStr"/>
      <c r="I161" t="inlineStr">
        <is>
          <t>"$"#,##0.00_);[Red]\("$"#,##0.00\)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inlineStr">
        <is>
          <t>center</t>
        </is>
      </c>
      <c r="P161" t="inlineStr">
        <is>
          <t>center</t>
        </is>
      </c>
      <c r="R161" t="b">
        <v>1</v>
      </c>
      <c r="S161" t="inlineStr">
        <is>
          <t>G000003</t>
        </is>
      </c>
      <c r="T161" t="inlineStr">
        <is>
          <t>Vertical</t>
        </is>
      </c>
      <c r="U161" t="n">
        <v>57</v>
      </c>
      <c r="V161" t="b">
        <v>1</v>
      </c>
      <c r="W161" t="inlineStr">
        <is>
          <t>Loan analysis!D10:D66</t>
        </is>
      </c>
      <c r="X161">
        <f>IFERROR(PMT(INDEX(Data[],ROW()-ROW(Data[[#Headers],[5]]),1)/12,Data[[#Headers],[5]]*12,-LoanAmount,0,IF(PaymentsDue="End of Period",0,1)), "")</f>
        <v/>
      </c>
    </row>
    <row r="162">
      <c r="A162" t="inlineStr">
        <is>
          <t>Loan analysis</t>
        </is>
      </c>
      <c r="B162" t="inlineStr">
        <is>
          <t>E16</t>
        </is>
      </c>
      <c r="C162" t="n">
        <v>16</v>
      </c>
      <c r="D162" t="n">
        <v>5</v>
      </c>
      <c r="E162" t="inlineStr">
        <is>
          <t>Output</t>
        </is>
      </c>
      <c r="F162" t="inlineStr">
        <is>
          <t>'=IFERROR(PMT(INDEX(Data[],ROW()-ROW(Data[[#Headers],[10]]),1)/12,Data[[#Headers],[10]]*12,-LoanAmount,0,IF(PaymentsDue="End of Period",0,1)), "")</t>
        </is>
      </c>
      <c r="G162" t="n">
        <v>98.59828911864064</v>
      </c>
      <c r="H162" t="inlineStr"/>
      <c r="I162" t="inlineStr">
        <is>
          <t>"$"#,##0.00_);[Red]\("$"#,##0.00\)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inlineStr">
        <is>
          <t>center</t>
        </is>
      </c>
      <c r="P162" t="inlineStr">
        <is>
          <t>center</t>
        </is>
      </c>
      <c r="R162" t="b">
        <v>1</v>
      </c>
      <c r="S162" t="inlineStr">
        <is>
          <t>G000004</t>
        </is>
      </c>
      <c r="T162" t="inlineStr">
        <is>
          <t>Vertical</t>
        </is>
      </c>
      <c r="U162" t="n">
        <v>57</v>
      </c>
      <c r="V162" t="b">
        <v>1</v>
      </c>
      <c r="W162" t="inlineStr">
        <is>
          <t>Loan analysis!E10:E66</t>
        </is>
      </c>
      <c r="X162">
        <f>IFERROR(PMT(INDEX(Data[],ROW()-ROW(Data[[#Headers],[10]]),1)/12,Data[[#Headers],[10]]*12,-LoanAmount,0,IF(PaymentsDue="End of Period",0,1)), "")</f>
        <v/>
      </c>
    </row>
    <row r="163">
      <c r="A163" t="inlineStr">
        <is>
          <t>Loan analysis</t>
        </is>
      </c>
      <c r="B163" t="inlineStr">
        <is>
          <t>F16</t>
        </is>
      </c>
      <c r="C163" t="n">
        <v>16</v>
      </c>
      <c r="D163" t="n">
        <v>6</v>
      </c>
      <c r="E163" t="inlineStr">
        <is>
          <t>Output</t>
        </is>
      </c>
      <c r="F163" t="inlineStr">
        <is>
          <t>'=IFERROR(PMT(INDEX(Data[],ROW()-ROW(Data[[#Headers],[12]]),1)/12,Data[[#Headers],[12]]*12,-LoanAmount,0,IF(PaymentsDue="End of Period",0,1)), "")</t>
        </is>
      </c>
      <c r="G163" t="n">
        <v>84.89775511655137</v>
      </c>
      <c r="H163" t="inlineStr"/>
      <c r="I163" t="inlineStr">
        <is>
          <t>"$"#,##0.00_);[Red]\("$"#,##0.00\)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inlineStr">
        <is>
          <t>center</t>
        </is>
      </c>
      <c r="P163" t="inlineStr">
        <is>
          <t>center</t>
        </is>
      </c>
      <c r="R163" t="b">
        <v>1</v>
      </c>
      <c r="S163" t="inlineStr">
        <is>
          <t>G000005</t>
        </is>
      </c>
      <c r="T163" t="inlineStr">
        <is>
          <t>Vertical</t>
        </is>
      </c>
      <c r="U163" t="n">
        <v>57</v>
      </c>
      <c r="V163" t="b">
        <v>1</v>
      </c>
      <c r="W163" t="inlineStr">
        <is>
          <t>Loan analysis!F10:F66</t>
        </is>
      </c>
      <c r="X163">
        <f>IFERROR(PMT(INDEX(Data[],ROW()-ROW(Data[[#Headers],[12]]),1)/12,Data[[#Headers],[12]]*12,-LoanAmount,0,IF(PaymentsDue="End of Period",0,1)), "")</f>
        <v/>
      </c>
    </row>
    <row r="164">
      <c r="A164" t="inlineStr">
        <is>
          <t>Loan analysis</t>
        </is>
      </c>
      <c r="B164" t="inlineStr">
        <is>
          <t>G16</t>
        </is>
      </c>
      <c r="C164" t="n">
        <v>16</v>
      </c>
      <c r="D164" t="n">
        <v>7</v>
      </c>
      <c r="E164" t="inlineStr">
        <is>
          <t>Output</t>
        </is>
      </c>
      <c r="F164" t="inlineStr">
        <is>
          <t>'=IFERROR(PMT(INDEX(Data[],ROW()-ROW(Data[[#Headers],[15]]),1)/12,Data[[#Headers],[15]]*12,-LoanAmount,0,IF(PaymentsDue="End of Period",0,1)), "")</t>
        </is>
      </c>
      <c r="G164" t="n">
        <v>71.28035310442959</v>
      </c>
      <c r="H164" t="inlineStr"/>
      <c r="I164" t="inlineStr">
        <is>
          <t>"$"#,##0.00_);[Red]\("$"#,##0.00\)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00000000</t>
        </is>
      </c>
      <c r="O164" t="inlineStr">
        <is>
          <t>center</t>
        </is>
      </c>
      <c r="P164" t="inlineStr">
        <is>
          <t>center</t>
        </is>
      </c>
      <c r="R164" t="b">
        <v>1</v>
      </c>
      <c r="S164" t="inlineStr">
        <is>
          <t>G000006</t>
        </is>
      </c>
      <c r="T164" t="inlineStr">
        <is>
          <t>Vertical</t>
        </is>
      </c>
      <c r="U164" t="n">
        <v>57</v>
      </c>
      <c r="V164" t="b">
        <v>1</v>
      </c>
      <c r="W164" t="inlineStr">
        <is>
          <t>Loan analysis!G10:G66</t>
        </is>
      </c>
      <c r="X164">
        <f>IFERROR(PMT(INDEX(Data[],ROW()-ROW(Data[[#Headers],[15]]),1)/12,Data[[#Headers],[15]]*12,-LoanAmount,0,IF(PaymentsDue="End of Period",0,1)), "")</f>
        <v/>
      </c>
    </row>
    <row r="165">
      <c r="A165" t="inlineStr">
        <is>
          <t>Loan analysis</t>
        </is>
      </c>
      <c r="B165" t="inlineStr">
        <is>
          <t>H16</t>
        </is>
      </c>
      <c r="C165" t="n">
        <v>16</v>
      </c>
      <c r="D165" t="n">
        <v>8</v>
      </c>
      <c r="E165" t="inlineStr">
        <is>
          <t>Output</t>
        </is>
      </c>
      <c r="F165" t="inlineStr">
        <is>
          <t>'=IFERROR(PMT(INDEX(Data[],ROW()-ROW(Data[[#Headers],[20]]),1)/12,Data[[#Headers],[20]]*12,-LoanAmount,0,IF(PaymentsDue="End of Period",0,1)), "")</t>
        </is>
      </c>
      <c r="G165" t="n">
        <v>57.82730881426772</v>
      </c>
      <c r="H165" t="inlineStr"/>
      <c r="I165" t="inlineStr">
        <is>
          <t>"$"#,##0.00_);[Red]\("$"#,##0.00\)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00000000</t>
        </is>
      </c>
      <c r="O165" t="inlineStr">
        <is>
          <t>center</t>
        </is>
      </c>
      <c r="P165" t="inlineStr">
        <is>
          <t>center</t>
        </is>
      </c>
      <c r="R165" t="b">
        <v>1</v>
      </c>
      <c r="S165" t="inlineStr">
        <is>
          <t>G000007</t>
        </is>
      </c>
      <c r="T165" t="inlineStr">
        <is>
          <t>Vertical</t>
        </is>
      </c>
      <c r="U165" t="n">
        <v>57</v>
      </c>
      <c r="V165" t="b">
        <v>1</v>
      </c>
      <c r="W165" t="inlineStr">
        <is>
          <t>Loan analysis!H10:H66</t>
        </is>
      </c>
      <c r="X165">
        <f>IFERROR(PMT(INDEX(Data[],ROW()-ROW(Data[[#Headers],[20]]),1)/12,Data[[#Headers],[20]]*12,-LoanAmount,0,IF(PaymentsDue="End of Period",0,1)), "")</f>
        <v/>
      </c>
    </row>
    <row r="166">
      <c r="A166" t="inlineStr">
        <is>
          <t>Loan analysis</t>
        </is>
      </c>
      <c r="B166" t="inlineStr">
        <is>
          <t>I16</t>
        </is>
      </c>
      <c r="C166" t="n">
        <v>16</v>
      </c>
      <c r="D166" t="n">
        <v>9</v>
      </c>
      <c r="E166" t="inlineStr">
        <is>
          <t>Output</t>
        </is>
      </c>
      <c r="F166" t="inlineStr">
        <is>
          <t>'=IFERROR(PMT(INDEX(Data[],ROW()-ROW(Data[[#Headers],[25]]),1)/12,Data[[#Headers],[25]]*12,-LoanAmount,0,IF(PaymentsDue="End of Period",0,1)), "")</t>
        </is>
      </c>
      <c r="G166" t="n">
        <v>49.91676645711603</v>
      </c>
      <c r="H166" t="inlineStr"/>
      <c r="I166" t="inlineStr">
        <is>
          <t>"$"#,##0.00_);[Red]\("$"#,##0.00\)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00000000</t>
        </is>
      </c>
      <c r="O166" t="inlineStr">
        <is>
          <t>center</t>
        </is>
      </c>
      <c r="P166" t="inlineStr">
        <is>
          <t>center</t>
        </is>
      </c>
      <c r="R166" t="b">
        <v>1</v>
      </c>
      <c r="S166" t="inlineStr">
        <is>
          <t>G000008</t>
        </is>
      </c>
      <c r="T166" t="inlineStr">
        <is>
          <t>Vertical</t>
        </is>
      </c>
      <c r="U166" t="n">
        <v>57</v>
      </c>
      <c r="V166" t="b">
        <v>1</v>
      </c>
      <c r="W166" t="inlineStr">
        <is>
          <t>Loan analysis!I10:I66</t>
        </is>
      </c>
      <c r="X166">
        <f>IFERROR(PMT(INDEX(Data[],ROW()-ROW(Data[[#Headers],[25]]),1)/12,Data[[#Headers],[25]]*12,-LoanAmount,0,IF(PaymentsDue="End of Period",0,1)), "")</f>
        <v/>
      </c>
    </row>
    <row r="167">
      <c r="A167" t="inlineStr">
        <is>
          <t>Loan analysis</t>
        </is>
      </c>
      <c r="B167" t="inlineStr">
        <is>
          <t>J16</t>
        </is>
      </c>
      <c r="C167" t="n">
        <v>16</v>
      </c>
      <c r="D167" t="n">
        <v>10</v>
      </c>
      <c r="E167" t="inlineStr">
        <is>
          <t>Output</t>
        </is>
      </c>
      <c r="F167" t="inlineStr">
        <is>
          <t>'=IFERROR(PMT(INDEX(Data[],ROW()-ROW(Data[[#Headers],[30]]),1)/12,Data[[#Headers],[30]]*12,-LoanAmount,0,IF(PaymentsDue="End of Period",0,1)), "")</t>
        </is>
      </c>
      <c r="G167" t="n">
        <v>44.77387830250016</v>
      </c>
      <c r="H167" t="inlineStr"/>
      <c r="I167" t="inlineStr">
        <is>
          <t>"$"#,##0.00_);[Red]\("$"#,##0.00\)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00000000</t>
        </is>
      </c>
      <c r="O167" t="inlineStr">
        <is>
          <t>center</t>
        </is>
      </c>
      <c r="P167" t="inlineStr">
        <is>
          <t>center</t>
        </is>
      </c>
      <c r="R167" t="b">
        <v>1</v>
      </c>
      <c r="S167" t="inlineStr">
        <is>
          <t>G000009</t>
        </is>
      </c>
      <c r="T167" t="inlineStr">
        <is>
          <t>Vertical</t>
        </is>
      </c>
      <c r="U167" t="n">
        <v>57</v>
      </c>
      <c r="V167" t="b">
        <v>1</v>
      </c>
      <c r="W167" t="inlineStr">
        <is>
          <t>Loan analysis!J10:J66</t>
        </is>
      </c>
      <c r="X167">
        <f>IFERROR(PMT(INDEX(Data[],ROW()-ROW(Data[[#Headers],[30]]),1)/12,Data[[#Headers],[30]]*12,-LoanAmount,0,IF(PaymentsDue="End of Period",0,1)), "")</f>
        <v/>
      </c>
    </row>
    <row r="168">
      <c r="A168" t="inlineStr">
        <is>
          <t>Loan analysis</t>
        </is>
      </c>
      <c r="B168" t="inlineStr">
        <is>
          <t>K16</t>
        </is>
      </c>
      <c r="C168" t="n">
        <v>16</v>
      </c>
      <c r="D168" t="n">
        <v>11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Loan analysis</t>
        </is>
      </c>
      <c r="B169" t="inlineStr">
        <is>
          <t>A17</t>
        </is>
      </c>
      <c r="C169" t="n">
        <v>17</v>
      </c>
      <c r="D169" t="n">
        <v>1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n">
        <v/>
      </c>
      <c r="P169" t="n">
        <v/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Loan analysis</t>
        </is>
      </c>
      <c r="B170" t="inlineStr">
        <is>
          <t>B17</t>
        </is>
      </c>
      <c r="C170" t="n">
        <v>17</v>
      </c>
      <c r="D170" t="n">
        <v>2</v>
      </c>
      <c r="E170" t="inlineStr">
        <is>
          <t>Output</t>
        </is>
      </c>
      <c r="F170" t="inlineStr">
        <is>
          <t>'=IFERROR(MAX((ROW()-ROW(Data[[#Headers],[RATE]]))*0.0025+0.0175,0.0025), "")</t>
        </is>
      </c>
      <c r="G170" t="n">
        <v>0.03750000000000001</v>
      </c>
      <c r="H170" t="inlineStr"/>
      <c r="I170" t="inlineStr">
        <is>
          <t>0.00%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00000000</t>
        </is>
      </c>
      <c r="O170" t="inlineStr">
        <is>
          <t>center</t>
        </is>
      </c>
      <c r="P170" t="inlineStr">
        <is>
          <t>center</t>
        </is>
      </c>
      <c r="R170" t="b">
        <v>1</v>
      </c>
      <c r="S170" t="inlineStr">
        <is>
          <t>G000001</t>
        </is>
      </c>
      <c r="T170" t="inlineStr">
        <is>
          <t>Vertical</t>
        </is>
      </c>
      <c r="U170" t="n">
        <v>57</v>
      </c>
      <c r="V170" t="b">
        <v>1</v>
      </c>
      <c r="W170" t="inlineStr">
        <is>
          <t>Loan analysis!B10:B66</t>
        </is>
      </c>
      <c r="X170">
        <f>IFERROR(MAX((ROW()-ROW(Data[[#Headers],[RATE]]))*0.0025+0.0175,0.0025), "")</f>
        <v/>
      </c>
    </row>
    <row r="171">
      <c r="A171" t="inlineStr">
        <is>
          <t>Loan analysis</t>
        </is>
      </c>
      <c r="B171" t="inlineStr">
        <is>
          <t>C17</t>
        </is>
      </c>
      <c r="C171" t="n">
        <v>17</v>
      </c>
      <c r="D171" t="n">
        <v>3</v>
      </c>
      <c r="E171" t="inlineStr">
        <is>
          <t>Output</t>
        </is>
      </c>
      <c r="F171" t="inlineStr">
        <is>
          <t>'=IFERROR(PMT(INDEX(Data[],ROW()-ROW(Data[[#Headers],[3]]),1)/12,Data[[#Headers],[3]]*12,-LoanAmount,0,IF(PaymentsDue="End of Period",0,1)), "")</t>
        </is>
      </c>
      <c r="G171" t="n">
        <v>293.2127404846966</v>
      </c>
      <c r="H171" t="inlineStr"/>
      <c r="I171" t="inlineStr">
        <is>
          <t>"$"#,##0.00_);[Red]\("$"#,##0.00\)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00000000</t>
        </is>
      </c>
      <c r="O171" t="inlineStr">
        <is>
          <t>center</t>
        </is>
      </c>
      <c r="P171" t="inlineStr">
        <is>
          <t>center</t>
        </is>
      </c>
      <c r="R171" t="b">
        <v>1</v>
      </c>
      <c r="S171" t="inlineStr">
        <is>
          <t>G000002</t>
        </is>
      </c>
      <c r="T171" t="inlineStr">
        <is>
          <t>Vertical</t>
        </is>
      </c>
      <c r="U171" t="n">
        <v>57</v>
      </c>
      <c r="V171" t="b">
        <v>1</v>
      </c>
      <c r="W171" t="inlineStr">
        <is>
          <t>Loan analysis!C10:C66</t>
        </is>
      </c>
      <c r="X171">
        <f>IFERROR(PMT(INDEX(Data[],ROW()-ROW(Data[[#Headers],[3]]),1)/12,Data[[#Headers],[3]]*12,-LoanAmount,0,IF(PaymentsDue="End of Period",0,1)), "")</f>
        <v/>
      </c>
    </row>
    <row r="172">
      <c r="A172" t="inlineStr">
        <is>
          <t>Loan analysis</t>
        </is>
      </c>
      <c r="B172" t="inlineStr">
        <is>
          <t>D17</t>
        </is>
      </c>
      <c r="C172" t="n">
        <v>17</v>
      </c>
      <c r="D172" t="n">
        <v>4</v>
      </c>
      <c r="E172" t="inlineStr">
        <is>
          <t>Output</t>
        </is>
      </c>
      <c r="F172" t="inlineStr">
        <is>
          <t>'=IFERROR(PMT(INDEX(Data[],ROW()-ROW(Data[[#Headers],[5]]),1)/12,Data[[#Headers],[5]]*12,-LoanAmount,0,IF(PaymentsDue="End of Period",0,1)), "")</t>
        </is>
      </c>
      <c r="G172" t="n">
        <v>182.468967754567</v>
      </c>
      <c r="H172" t="inlineStr"/>
      <c r="I172" t="inlineStr">
        <is>
          <t>"$"#,##0.00_);[Red]\("$"#,##0.00\)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00000000</t>
        </is>
      </c>
      <c r="O172" t="inlineStr">
        <is>
          <t>center</t>
        </is>
      </c>
      <c r="P172" t="inlineStr">
        <is>
          <t>center</t>
        </is>
      </c>
      <c r="R172" t="b">
        <v>1</v>
      </c>
      <c r="S172" t="inlineStr">
        <is>
          <t>G000003</t>
        </is>
      </c>
      <c r="T172" t="inlineStr">
        <is>
          <t>Vertical</t>
        </is>
      </c>
      <c r="U172" t="n">
        <v>57</v>
      </c>
      <c r="V172" t="b">
        <v>1</v>
      </c>
      <c r="W172" t="inlineStr">
        <is>
          <t>Loan analysis!D10:D66</t>
        </is>
      </c>
      <c r="X172">
        <f>IFERROR(PMT(INDEX(Data[],ROW()-ROW(Data[[#Headers],[5]]),1)/12,Data[[#Headers],[5]]*12,-LoanAmount,0,IF(PaymentsDue="End of Period",0,1)), "")</f>
        <v/>
      </c>
    </row>
    <row r="173">
      <c r="A173" t="inlineStr">
        <is>
          <t>Loan analysis</t>
        </is>
      </c>
      <c r="B173" t="inlineStr">
        <is>
          <t>E17</t>
        </is>
      </c>
      <c r="C173" t="n">
        <v>17</v>
      </c>
      <c r="D173" t="n">
        <v>5</v>
      </c>
      <c r="E173" t="inlineStr">
        <is>
          <t>Output</t>
        </is>
      </c>
      <c r="F173" t="inlineStr">
        <is>
          <t>'=IFERROR(PMT(INDEX(Data[],ROW()-ROW(Data[[#Headers],[10]]),1)/12,Data[[#Headers],[10]]*12,-LoanAmount,0,IF(PaymentsDue="End of Period",0,1)), "")</t>
        </is>
      </c>
      <c r="G173" t="n">
        <v>99.74952592846124</v>
      </c>
      <c r="H173" t="inlineStr"/>
      <c r="I173" t="inlineStr">
        <is>
          <t>"$"#,##0.00_);[Red]\("$"#,##0.00\)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inlineStr">
        <is>
          <t>center</t>
        </is>
      </c>
      <c r="P173" t="inlineStr">
        <is>
          <t>center</t>
        </is>
      </c>
      <c r="R173" t="b">
        <v>1</v>
      </c>
      <c r="S173" t="inlineStr">
        <is>
          <t>G000004</t>
        </is>
      </c>
      <c r="T173" t="inlineStr">
        <is>
          <t>Vertical</t>
        </is>
      </c>
      <c r="U173" t="n">
        <v>57</v>
      </c>
      <c r="V173" t="b">
        <v>1</v>
      </c>
      <c r="W173" t="inlineStr">
        <is>
          <t>Loan analysis!E10:E66</t>
        </is>
      </c>
      <c r="X173">
        <f>IFERROR(PMT(INDEX(Data[],ROW()-ROW(Data[[#Headers],[10]]),1)/12,Data[[#Headers],[10]]*12,-LoanAmount,0,IF(PaymentsDue="End of Period",0,1)), "")</f>
        <v/>
      </c>
    </row>
    <row r="174">
      <c r="A174" t="inlineStr">
        <is>
          <t>Loan analysis</t>
        </is>
      </c>
      <c r="B174" t="inlineStr">
        <is>
          <t>F17</t>
        </is>
      </c>
      <c r="C174" t="n">
        <v>17</v>
      </c>
      <c r="D174" t="n">
        <v>6</v>
      </c>
      <c r="E174" t="inlineStr">
        <is>
          <t>Output</t>
        </is>
      </c>
      <c r="F174" t="inlineStr">
        <is>
          <t>'=IFERROR(PMT(INDEX(Data[],ROW()-ROW(Data[[#Headers],[12]]),1)/12,Data[[#Headers],[12]]*12,-LoanAmount,0,IF(PaymentsDue="End of Period",0,1)), "")</t>
        </is>
      </c>
      <c r="G174" t="n">
        <v>86.07504043257859</v>
      </c>
      <c r="H174" t="inlineStr"/>
      <c r="I174" t="inlineStr">
        <is>
          <t>"$"#,##0.00_);[Red]\("$"#,##0.00\)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inlineStr">
        <is>
          <t>center</t>
        </is>
      </c>
      <c r="P174" t="inlineStr">
        <is>
          <t>center</t>
        </is>
      </c>
      <c r="R174" t="b">
        <v>1</v>
      </c>
      <c r="S174" t="inlineStr">
        <is>
          <t>G000005</t>
        </is>
      </c>
      <c r="T174" t="inlineStr">
        <is>
          <t>Vertical</t>
        </is>
      </c>
      <c r="U174" t="n">
        <v>57</v>
      </c>
      <c r="V174" t="b">
        <v>1</v>
      </c>
      <c r="W174" t="inlineStr">
        <is>
          <t>Loan analysis!F10:F66</t>
        </is>
      </c>
      <c r="X174">
        <f>IFERROR(PMT(INDEX(Data[],ROW()-ROW(Data[[#Headers],[12]]),1)/12,Data[[#Headers],[12]]*12,-LoanAmount,0,IF(PaymentsDue="End of Period",0,1)), "")</f>
        <v/>
      </c>
    </row>
    <row r="175">
      <c r="A175" t="inlineStr">
        <is>
          <t>Loan analysis</t>
        </is>
      </c>
      <c r="B175" t="inlineStr">
        <is>
          <t>G17</t>
        </is>
      </c>
      <c r="C175" t="n">
        <v>17</v>
      </c>
      <c r="D175" t="n">
        <v>7</v>
      </c>
      <c r="E175" t="inlineStr">
        <is>
          <t>Output</t>
        </is>
      </c>
      <c r="F175" t="inlineStr">
        <is>
          <t>'=IFERROR(PMT(INDEX(Data[],ROW()-ROW(Data[[#Headers],[15]]),1)/12,Data[[#Headers],[15]]*12,-LoanAmount,0,IF(PaymentsDue="End of Period",0,1)), "")</t>
        </is>
      </c>
      <c r="G175" t="n">
        <v>72.49569521832166</v>
      </c>
      <c r="H175" t="inlineStr"/>
      <c r="I175" t="inlineStr">
        <is>
          <t>"$"#,##0.00_);[Red]\("$"#,##0.00\)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inlineStr">
        <is>
          <t>center</t>
        </is>
      </c>
      <c r="P175" t="inlineStr">
        <is>
          <t>center</t>
        </is>
      </c>
      <c r="R175" t="b">
        <v>1</v>
      </c>
      <c r="S175" t="inlineStr">
        <is>
          <t>G000006</t>
        </is>
      </c>
      <c r="T175" t="inlineStr">
        <is>
          <t>Vertical</t>
        </is>
      </c>
      <c r="U175" t="n">
        <v>57</v>
      </c>
      <c r="V175" t="b">
        <v>1</v>
      </c>
      <c r="W175" t="inlineStr">
        <is>
          <t>Loan analysis!G10:G66</t>
        </is>
      </c>
      <c r="X175">
        <f>IFERROR(PMT(INDEX(Data[],ROW()-ROW(Data[[#Headers],[15]]),1)/12,Data[[#Headers],[15]]*12,-LoanAmount,0,IF(PaymentsDue="End of Period",0,1)), "")</f>
        <v/>
      </c>
    </row>
    <row r="176">
      <c r="A176" t="inlineStr">
        <is>
          <t>Loan analysis</t>
        </is>
      </c>
      <c r="B176" t="inlineStr">
        <is>
          <t>H17</t>
        </is>
      </c>
      <c r="C176" t="n">
        <v>17</v>
      </c>
      <c r="D176" t="n">
        <v>8</v>
      </c>
      <c r="E176" t="inlineStr">
        <is>
          <t>Output</t>
        </is>
      </c>
      <c r="F176" t="inlineStr">
        <is>
          <t>'=IFERROR(PMT(INDEX(Data[],ROW()-ROW(Data[[#Headers],[20]]),1)/12,Data[[#Headers],[20]]*12,-LoanAmount,0,IF(PaymentsDue="End of Period",0,1)), "")</t>
        </is>
      </c>
      <c r="G176" t="n">
        <v>59.10413108637731</v>
      </c>
      <c r="H176" t="inlineStr"/>
      <c r="I176" t="inlineStr">
        <is>
          <t>"$"#,##0.00_);[Red]\("$"#,##0.00\)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inlineStr">
        <is>
          <t>center</t>
        </is>
      </c>
      <c r="P176" t="inlineStr">
        <is>
          <t>center</t>
        </is>
      </c>
      <c r="R176" t="b">
        <v>1</v>
      </c>
      <c r="S176" t="inlineStr">
        <is>
          <t>G000007</t>
        </is>
      </c>
      <c r="T176" t="inlineStr">
        <is>
          <t>Vertical</t>
        </is>
      </c>
      <c r="U176" t="n">
        <v>57</v>
      </c>
      <c r="V176" t="b">
        <v>1</v>
      </c>
      <c r="W176" t="inlineStr">
        <is>
          <t>Loan analysis!H10:H66</t>
        </is>
      </c>
      <c r="X176">
        <f>IFERROR(PMT(INDEX(Data[],ROW()-ROW(Data[[#Headers],[20]]),1)/12,Data[[#Headers],[20]]*12,-LoanAmount,0,IF(PaymentsDue="End of Period",0,1)), "")</f>
        <v/>
      </c>
    </row>
    <row r="177">
      <c r="A177" t="inlineStr">
        <is>
          <t>Loan analysis</t>
        </is>
      </c>
      <c r="B177" t="inlineStr">
        <is>
          <t>I17</t>
        </is>
      </c>
      <c r="C177" t="n">
        <v>17</v>
      </c>
      <c r="D177" t="n">
        <v>9</v>
      </c>
      <c r="E177" t="inlineStr">
        <is>
          <t>Output</t>
        </is>
      </c>
      <c r="F177" t="inlineStr">
        <is>
          <t>'=IFERROR(PMT(INDEX(Data[],ROW()-ROW(Data[[#Headers],[25]]),1)/12,Data[[#Headers],[25]]*12,-LoanAmount,0,IF(PaymentsDue="End of Period",0,1)), "")</t>
        </is>
      </c>
      <c r="G177" t="n">
        <v>51.25295447749337</v>
      </c>
      <c r="H177" t="inlineStr"/>
      <c r="I177" t="inlineStr">
        <is>
          <t>"$"#,##0.00_);[Red]\("$"#,##0.00\)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00000000</t>
        </is>
      </c>
      <c r="O177" t="inlineStr">
        <is>
          <t>center</t>
        </is>
      </c>
      <c r="P177" t="inlineStr">
        <is>
          <t>center</t>
        </is>
      </c>
      <c r="R177" t="b">
        <v>1</v>
      </c>
      <c r="S177" t="inlineStr">
        <is>
          <t>G000008</t>
        </is>
      </c>
      <c r="T177" t="inlineStr">
        <is>
          <t>Vertical</t>
        </is>
      </c>
      <c r="U177" t="n">
        <v>57</v>
      </c>
      <c r="V177" t="b">
        <v>1</v>
      </c>
      <c r="W177" t="inlineStr">
        <is>
          <t>Loan analysis!I10:I66</t>
        </is>
      </c>
      <c r="X177">
        <f>IFERROR(PMT(INDEX(Data[],ROW()-ROW(Data[[#Headers],[25]]),1)/12,Data[[#Headers],[25]]*12,-LoanAmount,0,IF(PaymentsDue="End of Period",0,1)), "")</f>
        <v/>
      </c>
    </row>
    <row r="178">
      <c r="A178" t="inlineStr">
        <is>
          <t>Loan analysis</t>
        </is>
      </c>
      <c r="B178" t="inlineStr">
        <is>
          <t>J17</t>
        </is>
      </c>
      <c r="C178" t="n">
        <v>17</v>
      </c>
      <c r="D178" t="n">
        <v>10</v>
      </c>
      <c r="E178" t="inlineStr">
        <is>
          <t>Output</t>
        </is>
      </c>
      <c r="F178" t="inlineStr">
        <is>
          <t>'=IFERROR(PMT(INDEX(Data[],ROW()-ROW(Data[[#Headers],[30]]),1)/12,Data[[#Headers],[30]]*12,-LoanAmount,0,IF(PaymentsDue="End of Period",0,1)), "")</t>
        </is>
      </c>
      <c r="G178" t="n">
        <v>46.16728638725261</v>
      </c>
      <c r="H178" t="inlineStr"/>
      <c r="I178" t="inlineStr">
        <is>
          <t>"$"#,##0.00_);[Red]\("$"#,##0.00\)</t>
        </is>
      </c>
      <c r="J178" t="b">
        <v>0</v>
      </c>
      <c r="K178" t="b">
        <v>0</v>
      </c>
      <c r="L178" t="n">
        <v>11</v>
      </c>
      <c r="M178" t="inlineStr">
        <is>
          <t>Values must be of type &lt;class 'str'&gt;</t>
        </is>
      </c>
      <c r="N178" t="inlineStr">
        <is>
          <t>00000000</t>
        </is>
      </c>
      <c r="O178" t="inlineStr">
        <is>
          <t>center</t>
        </is>
      </c>
      <c r="P178" t="inlineStr">
        <is>
          <t>center</t>
        </is>
      </c>
      <c r="R178" t="b">
        <v>1</v>
      </c>
      <c r="S178" t="inlineStr">
        <is>
          <t>G000009</t>
        </is>
      </c>
      <c r="T178" t="inlineStr">
        <is>
          <t>Vertical</t>
        </is>
      </c>
      <c r="U178" t="n">
        <v>57</v>
      </c>
      <c r="V178" t="b">
        <v>1</v>
      </c>
      <c r="W178" t="inlineStr">
        <is>
          <t>Loan analysis!J10:J66</t>
        </is>
      </c>
      <c r="X178">
        <f>IFERROR(PMT(INDEX(Data[],ROW()-ROW(Data[[#Headers],[30]]),1)/12,Data[[#Headers],[30]]*12,-LoanAmount,0,IF(PaymentsDue="End of Period",0,1)), "")</f>
        <v/>
      </c>
    </row>
    <row r="179">
      <c r="A179" t="inlineStr">
        <is>
          <t>Loan analysis</t>
        </is>
      </c>
      <c r="B179" t="inlineStr">
        <is>
          <t>K17</t>
        </is>
      </c>
      <c r="C179" t="n">
        <v>17</v>
      </c>
      <c r="D179" t="n">
        <v>11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n">
        <v/>
      </c>
      <c r="P179" t="n">
        <v/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Loan analysis</t>
        </is>
      </c>
      <c r="B180" t="inlineStr">
        <is>
          <t>A18</t>
        </is>
      </c>
      <c r="C180" t="n">
        <v>18</v>
      </c>
      <c r="D180" t="n">
        <v>1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11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n">
        <v/>
      </c>
      <c r="P180" t="n">
        <v/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Loan analysis</t>
        </is>
      </c>
      <c r="B181" t="inlineStr">
        <is>
          <t>B18</t>
        </is>
      </c>
      <c r="C181" t="n">
        <v>18</v>
      </c>
      <c r="D181" t="n">
        <v>2</v>
      </c>
      <c r="E181" t="inlineStr">
        <is>
          <t>Output</t>
        </is>
      </c>
      <c r="F181" t="inlineStr">
        <is>
          <t>'=IFERROR(MAX((ROW()-ROW(Data[[#Headers],[RATE]]))*0.0025+0.0175,0.0025), "")</t>
        </is>
      </c>
      <c r="G181" t="n">
        <v>0.04</v>
      </c>
      <c r="H181" t="inlineStr"/>
      <c r="I181" t="inlineStr">
        <is>
          <t>0.00%</t>
        </is>
      </c>
      <c r="J181" t="b">
        <v>0</v>
      </c>
      <c r="K181" t="b">
        <v>0</v>
      </c>
      <c r="L181" t="n">
        <v>11</v>
      </c>
      <c r="M181" t="inlineStr">
        <is>
          <t>Values must be of type &lt;class 'str'&gt;</t>
        </is>
      </c>
      <c r="N181" t="inlineStr">
        <is>
          <t>00000000</t>
        </is>
      </c>
      <c r="O181" t="inlineStr">
        <is>
          <t>center</t>
        </is>
      </c>
      <c r="P181" t="inlineStr">
        <is>
          <t>center</t>
        </is>
      </c>
      <c r="R181" t="b">
        <v>1</v>
      </c>
      <c r="S181" t="inlineStr">
        <is>
          <t>G000001</t>
        </is>
      </c>
      <c r="T181" t="inlineStr">
        <is>
          <t>Vertical</t>
        </is>
      </c>
      <c r="U181" t="n">
        <v>57</v>
      </c>
      <c r="V181" t="b">
        <v>1</v>
      </c>
      <c r="W181" t="inlineStr">
        <is>
          <t>Loan analysis!B10:B66</t>
        </is>
      </c>
      <c r="X181">
        <f>IFERROR(MAX((ROW()-ROW(Data[[#Headers],[RATE]]))*0.0025+0.0175,0.0025), "")</f>
        <v/>
      </c>
    </row>
    <row r="182">
      <c r="A182" t="inlineStr">
        <is>
          <t>Loan analysis</t>
        </is>
      </c>
      <c r="B182" t="inlineStr">
        <is>
          <t>C18</t>
        </is>
      </c>
      <c r="C182" t="n">
        <v>18</v>
      </c>
      <c r="D182" t="n">
        <v>3</v>
      </c>
      <c r="E182" t="inlineStr">
        <is>
          <t>Output</t>
        </is>
      </c>
      <c r="F182" t="inlineStr">
        <is>
          <t>'=IFERROR(PMT(INDEX(Data[],ROW()-ROW(Data[[#Headers],[3]]),1)/12,Data[[#Headers],[3]]*12,-LoanAmount,0,IF(PaymentsDue="End of Period",0,1)), "")</t>
        </is>
      </c>
      <c r="G182" t="n">
        <v>294.2589867791729</v>
      </c>
      <c r="H182" t="inlineStr"/>
      <c r="I182" t="inlineStr">
        <is>
          <t>"$"#,##0.00_);[Red]\("$"#,##0.00\)</t>
        </is>
      </c>
      <c r="J182" t="b">
        <v>0</v>
      </c>
      <c r="K182" t="b">
        <v>0</v>
      </c>
      <c r="L182" t="n">
        <v>11</v>
      </c>
      <c r="M182" t="inlineStr">
        <is>
          <t>Values must be of type &lt;class 'str'&gt;</t>
        </is>
      </c>
      <c r="N182" t="inlineStr">
        <is>
          <t>00000000</t>
        </is>
      </c>
      <c r="O182" t="inlineStr">
        <is>
          <t>center</t>
        </is>
      </c>
      <c r="P182" t="inlineStr">
        <is>
          <t>center</t>
        </is>
      </c>
      <c r="R182" t="b">
        <v>1</v>
      </c>
      <c r="S182" t="inlineStr">
        <is>
          <t>G000002</t>
        </is>
      </c>
      <c r="T182" t="inlineStr">
        <is>
          <t>Vertical</t>
        </is>
      </c>
      <c r="U182" t="n">
        <v>57</v>
      </c>
      <c r="V182" t="b">
        <v>1</v>
      </c>
      <c r="W182" t="inlineStr">
        <is>
          <t>Loan analysis!C10:C66</t>
        </is>
      </c>
      <c r="X182">
        <f>IFERROR(PMT(INDEX(Data[],ROW()-ROW(Data[[#Headers],[3]]),1)/12,Data[[#Headers],[3]]*12,-LoanAmount,0,IF(PaymentsDue="End of Period",0,1)), "")</f>
        <v/>
      </c>
    </row>
    <row r="183">
      <c r="A183" t="inlineStr">
        <is>
          <t>Loan analysis</t>
        </is>
      </c>
      <c r="B183" t="inlineStr">
        <is>
          <t>D18</t>
        </is>
      </c>
      <c r="C183" t="n">
        <v>18</v>
      </c>
      <c r="D183" t="n">
        <v>4</v>
      </c>
      <c r="E183" t="inlineStr">
        <is>
          <t>Output</t>
        </is>
      </c>
      <c r="F183" t="inlineStr">
        <is>
          <t>'=IFERROR(PMT(INDEX(Data[],ROW()-ROW(Data[[#Headers],[5]]),1)/12,Data[[#Headers],[5]]*12,-LoanAmount,0,IF(PaymentsDue="End of Period",0,1)), "")</t>
        </is>
      </c>
      <c r="G183" t="n">
        <v>183.5533759661098</v>
      </c>
      <c r="H183" t="inlineStr"/>
      <c r="I183" t="inlineStr">
        <is>
          <t>"$"#,##0.00_);[Red]\("$"#,##0.00\)</t>
        </is>
      </c>
      <c r="J183" t="b">
        <v>0</v>
      </c>
      <c r="K183" t="b">
        <v>0</v>
      </c>
      <c r="L183" t="n">
        <v>11</v>
      </c>
      <c r="M183" t="inlineStr">
        <is>
          <t>Values must be of type &lt;class 'str'&gt;</t>
        </is>
      </c>
      <c r="N183" t="inlineStr">
        <is>
          <t>00000000</t>
        </is>
      </c>
      <c r="O183" t="inlineStr">
        <is>
          <t>center</t>
        </is>
      </c>
      <c r="P183" t="inlineStr">
        <is>
          <t>center</t>
        </is>
      </c>
      <c r="R183" t="b">
        <v>1</v>
      </c>
      <c r="S183" t="inlineStr">
        <is>
          <t>G000003</t>
        </is>
      </c>
      <c r="T183" t="inlineStr">
        <is>
          <t>Vertical</t>
        </is>
      </c>
      <c r="U183" t="n">
        <v>57</v>
      </c>
      <c r="V183" t="b">
        <v>1</v>
      </c>
      <c r="W183" t="inlineStr">
        <is>
          <t>Loan analysis!D10:D66</t>
        </is>
      </c>
      <c r="X183">
        <f>IFERROR(PMT(INDEX(Data[],ROW()-ROW(Data[[#Headers],[5]]),1)/12,Data[[#Headers],[5]]*12,-LoanAmount,0,IF(PaymentsDue="End of Period",0,1)), "")</f>
        <v/>
      </c>
    </row>
    <row r="184">
      <c r="A184" t="inlineStr">
        <is>
          <t>Loan analysis</t>
        </is>
      </c>
      <c r="B184" t="inlineStr">
        <is>
          <t>E18</t>
        </is>
      </c>
      <c r="C184" t="n">
        <v>18</v>
      </c>
      <c r="D184" t="n">
        <v>5</v>
      </c>
      <c r="E184" t="inlineStr">
        <is>
          <t>Output</t>
        </is>
      </c>
      <c r="F184" t="inlineStr">
        <is>
          <t>'=IFERROR(PMT(INDEX(Data[],ROW()-ROW(Data[[#Headers],[10]]),1)/12,Data[[#Headers],[10]]*12,-LoanAmount,0,IF(PaymentsDue="End of Period",0,1)), "")</t>
        </is>
      </c>
      <c r="G184" t="n">
        <v>100.9087755796161</v>
      </c>
      <c r="H184" t="inlineStr"/>
      <c r="I184" t="inlineStr">
        <is>
          <t>"$"#,##0.00_);[Red]\("$"#,##0.00\)</t>
        </is>
      </c>
      <c r="J184" t="b">
        <v>0</v>
      </c>
      <c r="K184" t="b">
        <v>0</v>
      </c>
      <c r="L184" t="n">
        <v>11</v>
      </c>
      <c r="M184" t="inlineStr">
        <is>
          <t>Values must be of type &lt;class 'str'&gt;</t>
        </is>
      </c>
      <c r="N184" t="inlineStr">
        <is>
          <t>00000000</t>
        </is>
      </c>
      <c r="O184" t="inlineStr">
        <is>
          <t>center</t>
        </is>
      </c>
      <c r="P184" t="inlineStr">
        <is>
          <t>center</t>
        </is>
      </c>
      <c r="R184" t="b">
        <v>1</v>
      </c>
      <c r="S184" t="inlineStr">
        <is>
          <t>G000004</t>
        </is>
      </c>
      <c r="T184" t="inlineStr">
        <is>
          <t>Vertical</t>
        </is>
      </c>
      <c r="U184" t="n">
        <v>57</v>
      </c>
      <c r="V184" t="b">
        <v>1</v>
      </c>
      <c r="W184" t="inlineStr">
        <is>
          <t>Loan analysis!E10:E66</t>
        </is>
      </c>
      <c r="X184">
        <f>IFERROR(PMT(INDEX(Data[],ROW()-ROW(Data[[#Headers],[10]]),1)/12,Data[[#Headers],[10]]*12,-LoanAmount,0,IF(PaymentsDue="End of Period",0,1)), "")</f>
        <v/>
      </c>
    </row>
    <row r="185">
      <c r="A185" t="inlineStr">
        <is>
          <t>Loan analysis</t>
        </is>
      </c>
      <c r="B185" t="inlineStr">
        <is>
          <t>F18</t>
        </is>
      </c>
      <c r="C185" t="n">
        <v>18</v>
      </c>
      <c r="D185" t="n">
        <v>6</v>
      </c>
      <c r="E185" t="inlineStr">
        <is>
          <t>Output</t>
        </is>
      </c>
      <c r="F185" t="inlineStr">
        <is>
          <t>'=IFERROR(PMT(INDEX(Data[],ROW()-ROW(Data[[#Headers],[12]]),1)/12,Data[[#Headers],[12]]*12,-LoanAmount,0,IF(PaymentsDue="End of Period",0,1)), "")</t>
        </is>
      </c>
      <c r="G185" t="n">
        <v>87.26196367909674</v>
      </c>
      <c r="H185" t="inlineStr"/>
      <c r="I185" t="inlineStr">
        <is>
          <t>"$"#,##0.00_);[Red]\("$"#,##0.00\)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00000000</t>
        </is>
      </c>
      <c r="O185" t="inlineStr">
        <is>
          <t>center</t>
        </is>
      </c>
      <c r="P185" t="inlineStr">
        <is>
          <t>center</t>
        </is>
      </c>
      <c r="R185" t="b">
        <v>1</v>
      </c>
      <c r="S185" t="inlineStr">
        <is>
          <t>G000005</t>
        </is>
      </c>
      <c r="T185" t="inlineStr">
        <is>
          <t>Vertical</t>
        </is>
      </c>
      <c r="U185" t="n">
        <v>57</v>
      </c>
      <c r="V185" t="b">
        <v>1</v>
      </c>
      <c r="W185" t="inlineStr">
        <is>
          <t>Loan analysis!F10:F66</t>
        </is>
      </c>
      <c r="X185">
        <f>IFERROR(PMT(INDEX(Data[],ROW()-ROW(Data[[#Headers],[12]]),1)/12,Data[[#Headers],[12]]*12,-LoanAmount,0,IF(PaymentsDue="End of Period",0,1)), "")</f>
        <v/>
      </c>
    </row>
    <row r="186">
      <c r="A186" t="inlineStr">
        <is>
          <t>Loan analysis</t>
        </is>
      </c>
      <c r="B186" t="inlineStr">
        <is>
          <t>G18</t>
        </is>
      </c>
      <c r="C186" t="n">
        <v>18</v>
      </c>
      <c r="D186" t="n">
        <v>7</v>
      </c>
      <c r="E186" t="inlineStr">
        <is>
          <t>Output</t>
        </is>
      </c>
      <c r="F186" t="inlineStr">
        <is>
          <t>'=IFERROR(PMT(INDEX(Data[],ROW()-ROW(Data[[#Headers],[15]]),1)/12,Data[[#Headers],[15]]*12,-LoanAmount,0,IF(PaymentsDue="End of Period",0,1)), "")</t>
        </is>
      </c>
      <c r="G186" t="n">
        <v>73.72304906404685</v>
      </c>
      <c r="H186" t="inlineStr"/>
      <c r="I186" t="inlineStr">
        <is>
          <t>"$"#,##0.00_);[Red]\("$"#,##0.00\)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inlineStr">
        <is>
          <t>center</t>
        </is>
      </c>
      <c r="P186" t="inlineStr">
        <is>
          <t>center</t>
        </is>
      </c>
      <c r="R186" t="b">
        <v>1</v>
      </c>
      <c r="S186" t="inlineStr">
        <is>
          <t>G000006</t>
        </is>
      </c>
      <c r="T186" t="inlineStr">
        <is>
          <t>Vertical</t>
        </is>
      </c>
      <c r="U186" t="n">
        <v>57</v>
      </c>
      <c r="V186" t="b">
        <v>1</v>
      </c>
      <c r="W186" t="inlineStr">
        <is>
          <t>Loan analysis!G10:G66</t>
        </is>
      </c>
      <c r="X186">
        <f>IFERROR(PMT(INDEX(Data[],ROW()-ROW(Data[[#Headers],[15]]),1)/12,Data[[#Headers],[15]]*12,-LoanAmount,0,IF(PaymentsDue="End of Period",0,1)), "")</f>
        <v/>
      </c>
    </row>
    <row r="187">
      <c r="A187" t="inlineStr">
        <is>
          <t>Loan analysis</t>
        </is>
      </c>
      <c r="B187" t="inlineStr">
        <is>
          <t>H18</t>
        </is>
      </c>
      <c r="C187" t="n">
        <v>18</v>
      </c>
      <c r="D187" t="n">
        <v>8</v>
      </c>
      <c r="E187" t="inlineStr">
        <is>
          <t>Output</t>
        </is>
      </c>
      <c r="F187" t="inlineStr">
        <is>
          <t>'=IFERROR(PMT(INDEX(Data[],ROW()-ROW(Data[[#Headers],[20]]),1)/12,Data[[#Headers],[20]]*12,-LoanAmount,0,IF(PaymentsDue="End of Period",0,1)), "")</t>
        </is>
      </c>
      <c r="G187" t="n">
        <v>60.39671056140385</v>
      </c>
      <c r="H187" t="inlineStr"/>
      <c r="I187" t="inlineStr">
        <is>
          <t>"$"#,##0.00_);[Red]\("$"#,##0.00\)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inlineStr">
        <is>
          <t>G000007</t>
        </is>
      </c>
      <c r="T187" t="inlineStr">
        <is>
          <t>Vertical</t>
        </is>
      </c>
      <c r="U187" t="n">
        <v>57</v>
      </c>
      <c r="V187" t="b">
        <v>1</v>
      </c>
      <c r="W187" t="inlineStr">
        <is>
          <t>Loan analysis!H10:H66</t>
        </is>
      </c>
      <c r="X187">
        <f>IFERROR(PMT(INDEX(Data[],ROW()-ROW(Data[[#Headers],[20]]),1)/12,Data[[#Headers],[20]]*12,-LoanAmount,0,IF(PaymentsDue="End of Period",0,1)), "")</f>
        <v/>
      </c>
    </row>
    <row r="188">
      <c r="A188" t="inlineStr">
        <is>
          <t>Loan analysis</t>
        </is>
      </c>
      <c r="B188" t="inlineStr">
        <is>
          <t>I18</t>
        </is>
      </c>
      <c r="C188" t="n">
        <v>18</v>
      </c>
      <c r="D188" t="n">
        <v>9</v>
      </c>
      <c r="E188" t="inlineStr">
        <is>
          <t>Output</t>
        </is>
      </c>
      <c r="F188" t="inlineStr">
        <is>
          <t>'=IFERROR(PMT(INDEX(Data[],ROW()-ROW(Data[[#Headers],[25]]),1)/12,Data[[#Headers],[25]]*12,-LoanAmount,0,IF(PaymentsDue="End of Period",0,1)), "")</t>
        </is>
      </c>
      <c r="G188" t="n">
        <v>52.60832295326684</v>
      </c>
      <c r="H188" t="inlineStr"/>
      <c r="I188" t="inlineStr">
        <is>
          <t>"$"#,##0.00_);[Red]\("$"#,##0.00\)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inlineStr">
        <is>
          <t>G000008</t>
        </is>
      </c>
      <c r="T188" t="inlineStr">
        <is>
          <t>Vertical</t>
        </is>
      </c>
      <c r="U188" t="n">
        <v>57</v>
      </c>
      <c r="V188" t="b">
        <v>1</v>
      </c>
      <c r="W188" t="inlineStr">
        <is>
          <t>Loan analysis!I10:I66</t>
        </is>
      </c>
      <c r="X188">
        <f>IFERROR(PMT(INDEX(Data[],ROW()-ROW(Data[[#Headers],[25]]),1)/12,Data[[#Headers],[25]]*12,-LoanAmount,0,IF(PaymentsDue="End of Period",0,1)), "")</f>
        <v/>
      </c>
    </row>
    <row r="189">
      <c r="A189" t="inlineStr">
        <is>
          <t>Loan analysis</t>
        </is>
      </c>
      <c r="B189" t="inlineStr">
        <is>
          <t>J18</t>
        </is>
      </c>
      <c r="C189" t="n">
        <v>18</v>
      </c>
      <c r="D189" t="n">
        <v>10</v>
      </c>
      <c r="E189" t="inlineStr">
        <is>
          <t>Output</t>
        </is>
      </c>
      <c r="F189" t="inlineStr">
        <is>
          <t>'=IFERROR(PMT(INDEX(Data[],ROW()-ROW(Data[[#Headers],[30]]),1)/12,Data[[#Headers],[30]]*12,-LoanAmount,0,IF(PaymentsDue="End of Period",0,1)), "")</t>
        </is>
      </c>
      <c r="G189" t="n">
        <v>47.58291981383317</v>
      </c>
      <c r="H189" t="inlineStr"/>
      <c r="I189" t="inlineStr">
        <is>
          <t>"$"#,##0.00_);[Red]\("$"#,##0.00\)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inlineStr">
        <is>
          <t>G000009</t>
        </is>
      </c>
      <c r="T189" t="inlineStr">
        <is>
          <t>Vertical</t>
        </is>
      </c>
      <c r="U189" t="n">
        <v>57</v>
      </c>
      <c r="V189" t="b">
        <v>1</v>
      </c>
      <c r="W189" t="inlineStr">
        <is>
          <t>Loan analysis!J10:J66</t>
        </is>
      </c>
      <c r="X189">
        <f>IFERROR(PMT(INDEX(Data[],ROW()-ROW(Data[[#Headers],[30]]),1)/12,Data[[#Headers],[30]]*12,-LoanAmount,0,IF(PaymentsDue="End of Period",0,1)), "")</f>
        <v/>
      </c>
    </row>
    <row r="190">
      <c r="A190" t="inlineStr">
        <is>
          <t>Loan analysis</t>
        </is>
      </c>
      <c r="B190" t="inlineStr">
        <is>
          <t>K18</t>
        </is>
      </c>
      <c r="C190" t="n">
        <v>18</v>
      </c>
      <c r="D190" t="n">
        <v>11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n">
        <v/>
      </c>
      <c r="P190" t="n">
        <v/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Loan analysis</t>
        </is>
      </c>
      <c r="B191" t="inlineStr">
        <is>
          <t>A19</t>
        </is>
      </c>
      <c r="C191" t="n">
        <v>19</v>
      </c>
      <c r="D191" t="n">
        <v>1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n">
        <v/>
      </c>
      <c r="P191" t="n">
        <v/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Loan analysis</t>
        </is>
      </c>
      <c r="B192" t="inlineStr">
        <is>
          <t>B19</t>
        </is>
      </c>
      <c r="C192" t="n">
        <v>19</v>
      </c>
      <c r="D192" t="n">
        <v>2</v>
      </c>
      <c r="E192" t="inlineStr">
        <is>
          <t>Output</t>
        </is>
      </c>
      <c r="F192" t="inlineStr">
        <is>
          <t>'=IFERROR(MAX((ROW()-ROW(Data[[#Headers],[RATE]]))*0.0025+0.0175,0.0025), "")</t>
        </is>
      </c>
      <c r="G192" t="n">
        <v>0.0425</v>
      </c>
      <c r="H192" t="inlineStr"/>
      <c r="I192" t="inlineStr">
        <is>
          <t>0.00%</t>
        </is>
      </c>
      <c r="J192" t="b">
        <v>0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00000000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inlineStr">
        <is>
          <t>G000001</t>
        </is>
      </c>
      <c r="T192" t="inlineStr">
        <is>
          <t>Vertical</t>
        </is>
      </c>
      <c r="U192" t="n">
        <v>57</v>
      </c>
      <c r="V192" t="b">
        <v>1</v>
      </c>
      <c r="W192" t="inlineStr">
        <is>
          <t>Loan analysis!B10:B66</t>
        </is>
      </c>
      <c r="X192">
        <f>IFERROR(MAX((ROW()-ROW(Data[[#Headers],[RATE]]))*0.0025+0.0175,0.0025), "")</f>
        <v/>
      </c>
    </row>
    <row r="193">
      <c r="A193" t="inlineStr">
        <is>
          <t>Loan analysis</t>
        </is>
      </c>
      <c r="B193" t="inlineStr">
        <is>
          <t>C19</t>
        </is>
      </c>
      <c r="C193" t="n">
        <v>19</v>
      </c>
      <c r="D193" t="n">
        <v>3</v>
      </c>
      <c r="E193" t="inlineStr">
        <is>
          <t>Output</t>
        </is>
      </c>
      <c r="F193" t="inlineStr">
        <is>
          <t>'=IFERROR(PMT(INDEX(Data[],ROW()-ROW(Data[[#Headers],[3]]),1)/12,Data[[#Headers],[3]]*12,-LoanAmount,0,IF(PaymentsDue="End of Period",0,1)), "")</t>
        </is>
      </c>
      <c r="G193" t="n">
        <v>295.3073750375634</v>
      </c>
      <c r="H193" t="inlineStr"/>
      <c r="I193" t="inlineStr">
        <is>
          <t>"$"#,##0.00_);[Red]\("$"#,##0.00\)</t>
        </is>
      </c>
      <c r="J193" t="b">
        <v>0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00000000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inlineStr">
        <is>
          <t>G000002</t>
        </is>
      </c>
      <c r="T193" t="inlineStr">
        <is>
          <t>Vertical</t>
        </is>
      </c>
      <c r="U193" t="n">
        <v>57</v>
      </c>
      <c r="V193" t="b">
        <v>1</v>
      </c>
      <c r="W193" t="inlineStr">
        <is>
          <t>Loan analysis!C10:C66</t>
        </is>
      </c>
      <c r="X193">
        <f>IFERROR(PMT(INDEX(Data[],ROW()-ROW(Data[[#Headers],[3]]),1)/12,Data[[#Headers],[3]]*12,-LoanAmount,0,IF(PaymentsDue="End of Period",0,1)), "")</f>
        <v/>
      </c>
    </row>
    <row r="194">
      <c r="A194" t="inlineStr">
        <is>
          <t>Loan analysis</t>
        </is>
      </c>
      <c r="B194" t="inlineStr">
        <is>
          <t>D19</t>
        </is>
      </c>
      <c r="C194" t="n">
        <v>19</v>
      </c>
      <c r="D194" t="n">
        <v>4</v>
      </c>
      <c r="E194" t="inlineStr">
        <is>
          <t>Output</t>
        </is>
      </c>
      <c r="F194" t="inlineStr">
        <is>
          <t>'=IFERROR(PMT(INDEX(Data[],ROW()-ROW(Data[[#Headers],[5]]),1)/12,Data[[#Headers],[5]]*12,-LoanAmount,0,IF(PaymentsDue="End of Period",0,1)), "")</t>
        </is>
      </c>
      <c r="G194" t="n">
        <v>184.6416190445893</v>
      </c>
      <c r="H194" t="inlineStr"/>
      <c r="I194" t="inlineStr">
        <is>
          <t>"$"#,##0.00_);[Red]\("$"#,##0.00\)</t>
        </is>
      </c>
      <c r="J194" t="b">
        <v>0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00000000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inlineStr">
        <is>
          <t>G000003</t>
        </is>
      </c>
      <c r="T194" t="inlineStr">
        <is>
          <t>Vertical</t>
        </is>
      </c>
      <c r="U194" t="n">
        <v>57</v>
      </c>
      <c r="V194" t="b">
        <v>1</v>
      </c>
      <c r="W194" t="inlineStr">
        <is>
          <t>Loan analysis!D10:D66</t>
        </is>
      </c>
      <c r="X194">
        <f>IFERROR(PMT(INDEX(Data[],ROW()-ROW(Data[[#Headers],[5]]),1)/12,Data[[#Headers],[5]]*12,-LoanAmount,0,IF(PaymentsDue="End of Period",0,1)), "")</f>
        <v/>
      </c>
    </row>
    <row r="195">
      <c r="A195" t="inlineStr">
        <is>
          <t>Loan analysis</t>
        </is>
      </c>
      <c r="B195" t="inlineStr">
        <is>
          <t>E19</t>
        </is>
      </c>
      <c r="C195" t="n">
        <v>19</v>
      </c>
      <c r="D195" t="n">
        <v>5</v>
      </c>
      <c r="E195" t="inlineStr">
        <is>
          <t>Output</t>
        </is>
      </c>
      <c r="F195" t="inlineStr">
        <is>
          <t>'=IFERROR(PMT(INDEX(Data[],ROW()-ROW(Data[[#Headers],[10]]),1)/12,Data[[#Headers],[10]]*12,-LoanAmount,0,IF(PaymentsDue="End of Period",0,1)), "")</t>
        </is>
      </c>
      <c r="G195" t="n">
        <v>102.0760141375793</v>
      </c>
      <c r="H195" t="inlineStr"/>
      <c r="I195" t="inlineStr">
        <is>
          <t>"$"#,##0.00_);[Red]\("$"#,##0.00\)</t>
        </is>
      </c>
      <c r="J195" t="b">
        <v>0</v>
      </c>
      <c r="K195" t="b">
        <v>0</v>
      </c>
      <c r="L195" t="n">
        <v>11</v>
      </c>
      <c r="M195" t="inlineStr">
        <is>
          <t>Values must be of type &lt;class 'str'&gt;</t>
        </is>
      </c>
      <c r="N195" t="inlineStr">
        <is>
          <t>00000000</t>
        </is>
      </c>
      <c r="O195" t="inlineStr">
        <is>
          <t>center</t>
        </is>
      </c>
      <c r="P195" t="inlineStr">
        <is>
          <t>center</t>
        </is>
      </c>
      <c r="R195" t="b">
        <v>1</v>
      </c>
      <c r="S195" t="inlineStr">
        <is>
          <t>G000004</t>
        </is>
      </c>
      <c r="T195" t="inlineStr">
        <is>
          <t>Vertical</t>
        </is>
      </c>
      <c r="U195" t="n">
        <v>57</v>
      </c>
      <c r="V195" t="b">
        <v>1</v>
      </c>
      <c r="W195" t="inlineStr">
        <is>
          <t>Loan analysis!E10:E66</t>
        </is>
      </c>
      <c r="X195">
        <f>IFERROR(PMT(INDEX(Data[],ROW()-ROW(Data[[#Headers],[10]]),1)/12,Data[[#Headers],[10]]*12,-LoanAmount,0,IF(PaymentsDue="End of Period",0,1)), "")</f>
        <v/>
      </c>
    </row>
    <row r="196">
      <c r="A196" t="inlineStr">
        <is>
          <t>Loan analysis</t>
        </is>
      </c>
      <c r="B196" t="inlineStr">
        <is>
          <t>F19</t>
        </is>
      </c>
      <c r="C196" t="n">
        <v>19</v>
      </c>
      <c r="D196" t="n">
        <v>6</v>
      </c>
      <c r="E196" t="inlineStr">
        <is>
          <t>Output</t>
        </is>
      </c>
      <c r="F196" t="inlineStr">
        <is>
          <t>'=IFERROR(PMT(INDEX(Data[],ROW()-ROW(Data[[#Headers],[12]]),1)/12,Data[[#Headers],[12]]*12,-LoanAmount,0,IF(PaymentsDue="End of Period",0,1)), "")</t>
        </is>
      </c>
      <c r="G196" t="n">
        <v>88.45848775254319</v>
      </c>
      <c r="H196" t="inlineStr"/>
      <c r="I196" t="inlineStr">
        <is>
          <t>"$"#,##0.00_);[Red]\("$"#,##0.00\)</t>
        </is>
      </c>
      <c r="J196" t="b">
        <v>0</v>
      </c>
      <c r="K196" t="b">
        <v>0</v>
      </c>
      <c r="L196" t="n">
        <v>11</v>
      </c>
      <c r="M196" t="inlineStr">
        <is>
          <t>Values must be of type &lt;class 'str'&gt;</t>
        </is>
      </c>
      <c r="N196" t="inlineStr">
        <is>
          <t>00000000</t>
        </is>
      </c>
      <c r="O196" t="inlineStr">
        <is>
          <t>center</t>
        </is>
      </c>
      <c r="P196" t="inlineStr">
        <is>
          <t>center</t>
        </is>
      </c>
      <c r="R196" t="b">
        <v>1</v>
      </c>
      <c r="S196" t="inlineStr">
        <is>
          <t>G000005</t>
        </is>
      </c>
      <c r="T196" t="inlineStr">
        <is>
          <t>Vertical</t>
        </is>
      </c>
      <c r="U196" t="n">
        <v>57</v>
      </c>
      <c r="V196" t="b">
        <v>1</v>
      </c>
      <c r="W196" t="inlineStr">
        <is>
          <t>Loan analysis!F10:F66</t>
        </is>
      </c>
      <c r="X196">
        <f>IFERROR(PMT(INDEX(Data[],ROW()-ROW(Data[[#Headers],[12]]),1)/12,Data[[#Headers],[12]]*12,-LoanAmount,0,IF(PaymentsDue="End of Period",0,1)), "")</f>
        <v/>
      </c>
    </row>
    <row r="197">
      <c r="A197" t="inlineStr">
        <is>
          <t>Loan analysis</t>
        </is>
      </c>
      <c r="B197" t="inlineStr">
        <is>
          <t>G19</t>
        </is>
      </c>
      <c r="C197" t="n">
        <v>19</v>
      </c>
      <c r="D197" t="n">
        <v>7</v>
      </c>
      <c r="E197" t="inlineStr">
        <is>
          <t>Output</t>
        </is>
      </c>
      <c r="F197" t="inlineStr">
        <is>
          <t>'=IFERROR(PMT(INDEX(Data[],ROW()-ROW(Data[[#Headers],[15]]),1)/12,Data[[#Headers],[15]]*12,-LoanAmount,0,IF(PaymentsDue="End of Period",0,1)), "")</t>
        </is>
      </c>
      <c r="G197" t="n">
        <v>74.96234945660363</v>
      </c>
      <c r="H197" t="inlineStr"/>
      <c r="I197" t="inlineStr">
        <is>
          <t>"$"#,##0.00_);[Red]\("$"#,##0.00\)</t>
        </is>
      </c>
      <c r="J197" t="b">
        <v>0</v>
      </c>
      <c r="K197" t="b">
        <v>0</v>
      </c>
      <c r="L197" t="n">
        <v>11</v>
      </c>
      <c r="M197" t="inlineStr">
        <is>
          <t>Values must be of type &lt;class 'str'&gt;</t>
        </is>
      </c>
      <c r="N197" t="inlineStr">
        <is>
          <t>00000000</t>
        </is>
      </c>
      <c r="O197" t="inlineStr">
        <is>
          <t>center</t>
        </is>
      </c>
      <c r="P197" t="inlineStr">
        <is>
          <t>center</t>
        </is>
      </c>
      <c r="R197" t="b">
        <v>1</v>
      </c>
      <c r="S197" t="inlineStr">
        <is>
          <t>G000006</t>
        </is>
      </c>
      <c r="T197" t="inlineStr">
        <is>
          <t>Vertical</t>
        </is>
      </c>
      <c r="U197" t="n">
        <v>57</v>
      </c>
      <c r="V197" t="b">
        <v>1</v>
      </c>
      <c r="W197" t="inlineStr">
        <is>
          <t>Loan analysis!G10:G66</t>
        </is>
      </c>
      <c r="X197">
        <f>IFERROR(PMT(INDEX(Data[],ROW()-ROW(Data[[#Headers],[15]]),1)/12,Data[[#Headers],[15]]*12,-LoanAmount,0,IF(PaymentsDue="End of Period",0,1)), "")</f>
        <v/>
      </c>
    </row>
    <row r="198">
      <c r="A198" t="inlineStr">
        <is>
          <t>Loan analysis</t>
        </is>
      </c>
      <c r="B198" t="inlineStr">
        <is>
          <t>H19</t>
        </is>
      </c>
      <c r="C198" t="n">
        <v>19</v>
      </c>
      <c r="D198" t="n">
        <v>8</v>
      </c>
      <c r="E198" t="inlineStr">
        <is>
          <t>Output</t>
        </is>
      </c>
      <c r="F198" t="inlineStr">
        <is>
          <t>'=IFERROR(PMT(INDEX(Data[],ROW()-ROW(Data[[#Headers],[20]]),1)/12,Data[[#Headers],[20]]*12,-LoanAmount,0,IF(PaymentsDue="End of Period",0,1)), "")</t>
        </is>
      </c>
      <c r="G198" t="n">
        <v>61.70490869915229</v>
      </c>
      <c r="H198" t="inlineStr"/>
      <c r="I198" t="inlineStr">
        <is>
          <t>"$"#,##0.00_);[Red]\("$"#,##0.00\)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00000000</t>
        </is>
      </c>
      <c r="O198" t="inlineStr">
        <is>
          <t>center</t>
        </is>
      </c>
      <c r="P198" t="inlineStr">
        <is>
          <t>center</t>
        </is>
      </c>
      <c r="R198" t="b">
        <v>1</v>
      </c>
      <c r="S198" t="inlineStr">
        <is>
          <t>G000007</t>
        </is>
      </c>
      <c r="T198" t="inlineStr">
        <is>
          <t>Vertical</t>
        </is>
      </c>
      <c r="U198" t="n">
        <v>57</v>
      </c>
      <c r="V198" t="b">
        <v>1</v>
      </c>
      <c r="W198" t="inlineStr">
        <is>
          <t>Loan analysis!H10:H66</t>
        </is>
      </c>
      <c r="X198">
        <f>IFERROR(PMT(INDEX(Data[],ROW()-ROW(Data[[#Headers],[20]]),1)/12,Data[[#Headers],[20]]*12,-LoanAmount,0,IF(PaymentsDue="End of Period",0,1)), "")</f>
        <v/>
      </c>
    </row>
    <row r="199">
      <c r="A199" t="inlineStr">
        <is>
          <t>Loan analysis</t>
        </is>
      </c>
      <c r="B199" t="inlineStr">
        <is>
          <t>I19</t>
        </is>
      </c>
      <c r="C199" t="n">
        <v>19</v>
      </c>
      <c r="D199" t="n">
        <v>9</v>
      </c>
      <c r="E199" t="inlineStr">
        <is>
          <t>Output</t>
        </is>
      </c>
      <c r="F199" t="inlineStr">
        <is>
          <t>'=IFERROR(PMT(INDEX(Data[],ROW()-ROW(Data[[#Headers],[25]]),1)/12,Data[[#Headers],[25]]*12,-LoanAmount,0,IF(PaymentsDue="End of Period",0,1)), "")</t>
        </is>
      </c>
      <c r="G199" t="n">
        <v>53.98262164639134</v>
      </c>
      <c r="H199" t="inlineStr"/>
      <c r="I199" t="inlineStr">
        <is>
          <t>"$"#,##0.00_);[Red]\("$"#,##0.00\)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00000000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inlineStr">
        <is>
          <t>G000008</t>
        </is>
      </c>
      <c r="T199" t="inlineStr">
        <is>
          <t>Vertical</t>
        </is>
      </c>
      <c r="U199" t="n">
        <v>57</v>
      </c>
      <c r="V199" t="b">
        <v>1</v>
      </c>
      <c r="W199" t="inlineStr">
        <is>
          <t>Loan analysis!I10:I66</t>
        </is>
      </c>
      <c r="X199">
        <f>IFERROR(PMT(INDEX(Data[],ROW()-ROW(Data[[#Headers],[25]]),1)/12,Data[[#Headers],[25]]*12,-LoanAmount,0,IF(PaymentsDue="End of Period",0,1)), "")</f>
        <v/>
      </c>
    </row>
    <row r="200">
      <c r="A200" t="inlineStr">
        <is>
          <t>Loan analysis</t>
        </is>
      </c>
      <c r="B200" t="inlineStr">
        <is>
          <t>J19</t>
        </is>
      </c>
      <c r="C200" t="n">
        <v>19</v>
      </c>
      <c r="D200" t="n">
        <v>10</v>
      </c>
      <c r="E200" t="inlineStr">
        <is>
          <t>Output</t>
        </is>
      </c>
      <c r="F200" t="inlineStr">
        <is>
          <t>'=IFERROR(PMT(INDEX(Data[],ROW()-ROW(Data[[#Headers],[30]]),1)/12,Data[[#Headers],[30]]*12,-LoanAmount,0,IF(PaymentsDue="End of Period",0,1)), "")</t>
        </is>
      </c>
      <c r="G200" t="n">
        <v>49.02037527883583</v>
      </c>
      <c r="H200" t="inlineStr"/>
      <c r="I200" t="inlineStr">
        <is>
          <t>"$"#,##0.00_);[Red]\("$"#,##0.00\)</t>
        </is>
      </c>
      <c r="J200" t="b">
        <v>0</v>
      </c>
      <c r="K200" t="b">
        <v>0</v>
      </c>
      <c r="L200" t="n">
        <v>11</v>
      </c>
      <c r="M200" t="inlineStr">
        <is>
          <t>Values must be of type &lt;class 'str'&gt;</t>
        </is>
      </c>
      <c r="N200" t="inlineStr">
        <is>
          <t>00000000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inlineStr">
        <is>
          <t>G000009</t>
        </is>
      </c>
      <c r="T200" t="inlineStr">
        <is>
          <t>Vertical</t>
        </is>
      </c>
      <c r="U200" t="n">
        <v>57</v>
      </c>
      <c r="V200" t="b">
        <v>1</v>
      </c>
      <c r="W200" t="inlineStr">
        <is>
          <t>Loan analysis!J10:J66</t>
        </is>
      </c>
      <c r="X200">
        <f>IFERROR(PMT(INDEX(Data[],ROW()-ROW(Data[[#Headers],[30]]),1)/12,Data[[#Headers],[30]]*12,-LoanAmount,0,IF(PaymentsDue="End of Period",0,1)), "")</f>
        <v/>
      </c>
    </row>
    <row r="201">
      <c r="A201" t="inlineStr">
        <is>
          <t>Loan analysis</t>
        </is>
      </c>
      <c r="B201" t="inlineStr">
        <is>
          <t>K19</t>
        </is>
      </c>
      <c r="C201" t="n">
        <v>19</v>
      </c>
      <c r="D201" t="n">
        <v>11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n">
        <v/>
      </c>
      <c r="P201" t="n">
        <v/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Loan analysis</t>
        </is>
      </c>
      <c r="B202" t="inlineStr">
        <is>
          <t>A20</t>
        </is>
      </c>
      <c r="C202" t="n">
        <v>20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n">
        <v/>
      </c>
      <c r="P202" t="n">
        <v/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Loan analysis</t>
        </is>
      </c>
      <c r="B203" t="inlineStr">
        <is>
          <t>B20</t>
        </is>
      </c>
      <c r="C203" t="n">
        <v>20</v>
      </c>
      <c r="D203" t="n">
        <v>2</v>
      </c>
      <c r="E203" t="inlineStr">
        <is>
          <t>Output</t>
        </is>
      </c>
      <c r="F203" t="inlineStr">
        <is>
          <t>'=IFERROR(MAX((ROW()-ROW(Data[[#Headers],[RATE]]))*0.0025+0.0175,0.0025), "")</t>
        </is>
      </c>
      <c r="G203" t="n">
        <v>0.045</v>
      </c>
      <c r="H203" t="inlineStr"/>
      <c r="I203" t="inlineStr">
        <is>
          <t>0.00%</t>
        </is>
      </c>
      <c r="J203" t="b">
        <v>0</v>
      </c>
      <c r="K203" t="b">
        <v>0</v>
      </c>
      <c r="L203" t="n">
        <v>11</v>
      </c>
      <c r="M203" t="inlineStr">
        <is>
          <t>Values must be of type &lt;class 'str'&gt;</t>
        </is>
      </c>
      <c r="N203" t="inlineStr">
        <is>
          <t>00000000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inlineStr">
        <is>
          <t>G000001</t>
        </is>
      </c>
      <c r="T203" t="inlineStr">
        <is>
          <t>Vertical</t>
        </is>
      </c>
      <c r="U203" t="n">
        <v>57</v>
      </c>
      <c r="V203" t="b">
        <v>1</v>
      </c>
      <c r="W203" t="inlineStr">
        <is>
          <t>Loan analysis!B10:B66</t>
        </is>
      </c>
      <c r="X203">
        <f>IFERROR(MAX((ROW()-ROW(Data[[#Headers],[RATE]]))*0.0025+0.0175,0.0025), "")</f>
        <v/>
      </c>
    </row>
    <row r="204">
      <c r="A204" t="inlineStr">
        <is>
          <t>Loan analysis</t>
        </is>
      </c>
      <c r="B204" t="inlineStr">
        <is>
          <t>C20</t>
        </is>
      </c>
      <c r="C204" t="n">
        <v>20</v>
      </c>
      <c r="D204" t="n">
        <v>3</v>
      </c>
      <c r="E204" t="inlineStr">
        <is>
          <t>Output</t>
        </is>
      </c>
      <c r="F204" t="inlineStr">
        <is>
          <t>'=IFERROR(PMT(INDEX(Data[],ROW()-ROW(Data[[#Headers],[3]]),1)/12,Data[[#Headers],[3]]*12,-LoanAmount,0,IF(PaymentsDue="End of Period",0,1)), "")</t>
        </is>
      </c>
      <c r="G204" t="n">
        <v>296.3579026488227</v>
      </c>
      <c r="H204" t="inlineStr"/>
      <c r="I204" t="inlineStr">
        <is>
          <t>"$"#,##0.00_);[Red]\("$"#,##0.00\)</t>
        </is>
      </c>
      <c r="J204" t="b">
        <v>0</v>
      </c>
      <c r="K204" t="b">
        <v>0</v>
      </c>
      <c r="L204" t="n">
        <v>11</v>
      </c>
      <c r="M204" t="inlineStr">
        <is>
          <t>Values must be of type &lt;class 'str'&gt;</t>
        </is>
      </c>
      <c r="N204" t="inlineStr">
        <is>
          <t>00000000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inlineStr">
        <is>
          <t>G000002</t>
        </is>
      </c>
      <c r="T204" t="inlineStr">
        <is>
          <t>Vertical</t>
        </is>
      </c>
      <c r="U204" t="n">
        <v>57</v>
      </c>
      <c r="V204" t="b">
        <v>1</v>
      </c>
      <c r="W204" t="inlineStr">
        <is>
          <t>Loan analysis!C10:C66</t>
        </is>
      </c>
      <c r="X204">
        <f>IFERROR(PMT(INDEX(Data[],ROW()-ROW(Data[[#Headers],[3]]),1)/12,Data[[#Headers],[3]]*12,-LoanAmount,0,IF(PaymentsDue="End of Period",0,1)), "")</f>
        <v/>
      </c>
    </row>
    <row r="205">
      <c r="A205" t="inlineStr">
        <is>
          <t>Loan analysis</t>
        </is>
      </c>
      <c r="B205" t="inlineStr">
        <is>
          <t>D20</t>
        </is>
      </c>
      <c r="C205" t="n">
        <v>20</v>
      </c>
      <c r="D205" t="n">
        <v>4</v>
      </c>
      <c r="E205" t="inlineStr">
        <is>
          <t>Output</t>
        </is>
      </c>
      <c r="F205" t="inlineStr">
        <is>
          <t>'=IFERROR(PMT(INDEX(Data[],ROW()-ROW(Data[[#Headers],[5]]),1)/12,Data[[#Headers],[5]]*12,-LoanAmount,0,IF(PaymentsDue="End of Period",0,1)), "")</t>
        </is>
      </c>
      <c r="G205" t="n">
        <v>185.7336910736403</v>
      </c>
      <c r="H205" t="inlineStr"/>
      <c r="I205" t="inlineStr">
        <is>
          <t>"$"#,##0.00_);[Red]\("$"#,##0.00\)</t>
        </is>
      </c>
      <c r="J205" t="b">
        <v>0</v>
      </c>
      <c r="K205" t="b">
        <v>0</v>
      </c>
      <c r="L205" t="n">
        <v>11</v>
      </c>
      <c r="M205" t="inlineStr">
        <is>
          <t>Values must be of type &lt;class 'str'&gt;</t>
        </is>
      </c>
      <c r="N205" t="inlineStr">
        <is>
          <t>00000000</t>
        </is>
      </c>
      <c r="O205" t="inlineStr">
        <is>
          <t>center</t>
        </is>
      </c>
      <c r="P205" t="inlineStr">
        <is>
          <t>center</t>
        </is>
      </c>
      <c r="R205" t="b">
        <v>1</v>
      </c>
      <c r="S205" t="inlineStr">
        <is>
          <t>G000003</t>
        </is>
      </c>
      <c r="T205" t="inlineStr">
        <is>
          <t>Vertical</t>
        </is>
      </c>
      <c r="U205" t="n">
        <v>57</v>
      </c>
      <c r="V205" t="b">
        <v>1</v>
      </c>
      <c r="W205" t="inlineStr">
        <is>
          <t>Loan analysis!D10:D66</t>
        </is>
      </c>
      <c r="X205">
        <f>IFERROR(PMT(INDEX(Data[],ROW()-ROW(Data[[#Headers],[5]]),1)/12,Data[[#Headers],[5]]*12,-LoanAmount,0,IF(PaymentsDue="End of Period",0,1)), "")</f>
        <v/>
      </c>
    </row>
    <row r="206">
      <c r="A206" t="inlineStr">
        <is>
          <t>Loan analysis</t>
        </is>
      </c>
      <c r="B206" t="inlineStr">
        <is>
          <t>E20</t>
        </is>
      </c>
      <c r="C206" t="n">
        <v>20</v>
      </c>
      <c r="D206" t="n">
        <v>5</v>
      </c>
      <c r="E206" t="inlineStr">
        <is>
          <t>Output</t>
        </is>
      </c>
      <c r="F206" t="inlineStr">
        <is>
          <t>'=IFERROR(PMT(INDEX(Data[],ROW()-ROW(Data[[#Headers],[10]]),1)/12,Data[[#Headers],[10]]*12,-LoanAmount,0,IF(PaymentsDue="End of Period",0,1)), "")</t>
        </is>
      </c>
      <c r="G206" t="n">
        <v>103.2512166944113</v>
      </c>
      <c r="H206" t="inlineStr"/>
      <c r="I206" t="inlineStr">
        <is>
          <t>"$"#,##0.00_);[Red]\("$"#,##0.00\)</t>
        </is>
      </c>
      <c r="J206" t="b">
        <v>0</v>
      </c>
      <c r="K206" t="b">
        <v>0</v>
      </c>
      <c r="L206" t="n">
        <v>11</v>
      </c>
      <c r="M206" t="inlineStr">
        <is>
          <t>Values must be of type &lt;class 'str'&gt;</t>
        </is>
      </c>
      <c r="N206" t="inlineStr">
        <is>
          <t>00000000</t>
        </is>
      </c>
      <c r="O206" t="inlineStr">
        <is>
          <t>center</t>
        </is>
      </c>
      <c r="P206" t="inlineStr">
        <is>
          <t>center</t>
        </is>
      </c>
      <c r="R206" t="b">
        <v>1</v>
      </c>
      <c r="S206" t="inlineStr">
        <is>
          <t>G000004</t>
        </is>
      </c>
      <c r="T206" t="inlineStr">
        <is>
          <t>Vertical</t>
        </is>
      </c>
      <c r="U206" t="n">
        <v>57</v>
      </c>
      <c r="V206" t="b">
        <v>1</v>
      </c>
      <c r="W206" t="inlineStr">
        <is>
          <t>Loan analysis!E10:E66</t>
        </is>
      </c>
      <c r="X206">
        <f>IFERROR(PMT(INDEX(Data[],ROW()-ROW(Data[[#Headers],[10]]),1)/12,Data[[#Headers],[10]]*12,-LoanAmount,0,IF(PaymentsDue="End of Period",0,1)), "")</f>
        <v/>
      </c>
    </row>
    <row r="207">
      <c r="A207" t="inlineStr">
        <is>
          <t>Loan analysis</t>
        </is>
      </c>
      <c r="B207" t="inlineStr">
        <is>
          <t>F20</t>
        </is>
      </c>
      <c r="C207" t="n">
        <v>20</v>
      </c>
      <c r="D207" t="n">
        <v>6</v>
      </c>
      <c r="E207" t="inlineStr">
        <is>
          <t>Output</t>
        </is>
      </c>
      <c r="F207" t="inlineStr">
        <is>
          <t>'=IFERROR(PMT(INDEX(Data[],ROW()-ROW(Data[[#Headers],[12]]),1)/12,Data[[#Headers],[12]]*12,-LoanAmount,0,IF(PaymentsDue="End of Period",0,1)), "")</t>
        </is>
      </c>
      <c r="G207" t="n">
        <v>89.66457390703825</v>
      </c>
      <c r="H207" t="inlineStr"/>
      <c r="I207" t="inlineStr">
        <is>
          <t>"$"#,##0.00_);[Red]\("$"#,##0.00\)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00000000</t>
        </is>
      </c>
      <c r="O207" t="inlineStr">
        <is>
          <t>center</t>
        </is>
      </c>
      <c r="P207" t="inlineStr">
        <is>
          <t>center</t>
        </is>
      </c>
      <c r="R207" t="b">
        <v>1</v>
      </c>
      <c r="S207" t="inlineStr">
        <is>
          <t>G000005</t>
        </is>
      </c>
      <c r="T207" t="inlineStr">
        <is>
          <t>Vertical</t>
        </is>
      </c>
      <c r="U207" t="n">
        <v>57</v>
      </c>
      <c r="V207" t="b">
        <v>1</v>
      </c>
      <c r="W207" t="inlineStr">
        <is>
          <t>Loan analysis!F10:F66</t>
        </is>
      </c>
      <c r="X207">
        <f>IFERROR(PMT(INDEX(Data[],ROW()-ROW(Data[[#Headers],[12]]),1)/12,Data[[#Headers],[12]]*12,-LoanAmount,0,IF(PaymentsDue="End of Period",0,1)), "")</f>
        <v/>
      </c>
    </row>
    <row r="208">
      <c r="A208" t="inlineStr">
        <is>
          <t>Loan analysis</t>
        </is>
      </c>
      <c r="B208" t="inlineStr">
        <is>
          <t>G20</t>
        </is>
      </c>
      <c r="C208" t="n">
        <v>20</v>
      </c>
      <c r="D208" t="n">
        <v>7</v>
      </c>
      <c r="E208" t="inlineStr">
        <is>
          <t>Output</t>
        </is>
      </c>
      <c r="F208" t="inlineStr">
        <is>
          <t>'=IFERROR(PMT(INDEX(Data[],ROW()-ROW(Data[[#Headers],[15]]),1)/12,Data[[#Headers],[15]]*12,-LoanAmount,0,IF(PaymentsDue="End of Period",0,1)), "")</t>
        </is>
      </c>
      <c r="G208" t="n">
        <v>76.21352815077974</v>
      </c>
      <c r="H208" t="inlineStr"/>
      <c r="I208" t="inlineStr">
        <is>
          <t>"$"#,##0.00_);[Red]\("$"#,##0.00\)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00000000</t>
        </is>
      </c>
      <c r="O208" t="inlineStr">
        <is>
          <t>center</t>
        </is>
      </c>
      <c r="P208" t="inlineStr">
        <is>
          <t>center</t>
        </is>
      </c>
      <c r="R208" t="b">
        <v>1</v>
      </c>
      <c r="S208" t="inlineStr">
        <is>
          <t>G000006</t>
        </is>
      </c>
      <c r="T208" t="inlineStr">
        <is>
          <t>Vertical</t>
        </is>
      </c>
      <c r="U208" t="n">
        <v>57</v>
      </c>
      <c r="V208" t="b">
        <v>1</v>
      </c>
      <c r="W208" t="inlineStr">
        <is>
          <t>Loan analysis!G10:G66</t>
        </is>
      </c>
      <c r="X208">
        <f>IFERROR(PMT(INDEX(Data[],ROW()-ROW(Data[[#Headers],[15]]),1)/12,Data[[#Headers],[15]]*12,-LoanAmount,0,IF(PaymentsDue="End of Period",0,1)), "")</f>
        <v/>
      </c>
    </row>
    <row r="209">
      <c r="A209" t="inlineStr">
        <is>
          <t>Loan analysis</t>
        </is>
      </c>
      <c r="B209" t="inlineStr">
        <is>
          <t>H20</t>
        </is>
      </c>
      <c r="C209" t="n">
        <v>20</v>
      </c>
      <c r="D209" t="n">
        <v>8</v>
      </c>
      <c r="E209" t="inlineStr">
        <is>
          <t>Output</t>
        </is>
      </c>
      <c r="F209" t="inlineStr">
        <is>
          <t>'=IFERROR(PMT(INDEX(Data[],ROW()-ROW(Data[[#Headers],[20]]),1)/12,Data[[#Headers],[20]]*12,-LoanAmount,0,IF(PaymentsDue="End of Period",0,1)), "")</t>
        </is>
      </c>
      <c r="G209" t="n">
        <v>63.02858044532627</v>
      </c>
      <c r="H209" t="inlineStr"/>
      <c r="I209" t="inlineStr">
        <is>
          <t>"$"#,##0.00_);[Red]\("$"#,##0.00\)</t>
        </is>
      </c>
      <c r="J209" t="b">
        <v>0</v>
      </c>
      <c r="K209" t="b">
        <v>0</v>
      </c>
      <c r="L209" t="n">
        <v>11</v>
      </c>
      <c r="M209" t="inlineStr">
        <is>
          <t>Values must be of type &lt;class 'str'&gt;</t>
        </is>
      </c>
      <c r="N209" t="inlineStr">
        <is>
          <t>00000000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inlineStr">
        <is>
          <t>G000007</t>
        </is>
      </c>
      <c r="T209" t="inlineStr">
        <is>
          <t>Vertical</t>
        </is>
      </c>
      <c r="U209" t="n">
        <v>57</v>
      </c>
      <c r="V209" t="b">
        <v>1</v>
      </c>
      <c r="W209" t="inlineStr">
        <is>
          <t>Loan analysis!H10:H66</t>
        </is>
      </c>
      <c r="X209">
        <f>IFERROR(PMT(INDEX(Data[],ROW()-ROW(Data[[#Headers],[20]]),1)/12,Data[[#Headers],[20]]*12,-LoanAmount,0,IF(PaymentsDue="End of Period",0,1)), "")</f>
        <v/>
      </c>
    </row>
    <row r="210">
      <c r="A210" t="inlineStr">
        <is>
          <t>Loan analysis</t>
        </is>
      </c>
      <c r="B210" t="inlineStr">
        <is>
          <t>I20</t>
        </is>
      </c>
      <c r="C210" t="n">
        <v>20</v>
      </c>
      <c r="D210" t="n">
        <v>9</v>
      </c>
      <c r="E210" t="inlineStr">
        <is>
          <t>Output</t>
        </is>
      </c>
      <c r="F210" t="inlineStr">
        <is>
          <t>'=IFERROR(PMT(INDEX(Data[],ROW()-ROW(Data[[#Headers],[25]]),1)/12,Data[[#Headers],[25]]*12,-LoanAmount,0,IF(PaymentsDue="End of Period",0,1)), "")</t>
        </is>
      </c>
      <c r="G210" t="n">
        <v>55.37558933618819</v>
      </c>
      <c r="H210" t="inlineStr"/>
      <c r="I210" t="inlineStr">
        <is>
          <t>"$"#,##0.00_);[Red]\("$"#,##0.00\)</t>
        </is>
      </c>
      <c r="J210" t="b">
        <v>0</v>
      </c>
      <c r="K210" t="b">
        <v>0</v>
      </c>
      <c r="L210" t="n">
        <v>11</v>
      </c>
      <c r="M210" t="inlineStr">
        <is>
          <t>Values must be of type &lt;class 'str'&gt;</t>
        </is>
      </c>
      <c r="N210" t="inlineStr">
        <is>
          <t>00000000</t>
        </is>
      </c>
      <c r="O210" t="inlineStr">
        <is>
          <t>center</t>
        </is>
      </c>
      <c r="P210" t="inlineStr">
        <is>
          <t>center</t>
        </is>
      </c>
      <c r="R210" t="b">
        <v>1</v>
      </c>
      <c r="S210" t="inlineStr">
        <is>
          <t>G000008</t>
        </is>
      </c>
      <c r="T210" t="inlineStr">
        <is>
          <t>Vertical</t>
        </is>
      </c>
      <c r="U210" t="n">
        <v>57</v>
      </c>
      <c r="V210" t="b">
        <v>1</v>
      </c>
      <c r="W210" t="inlineStr">
        <is>
          <t>Loan analysis!I10:I66</t>
        </is>
      </c>
      <c r="X210">
        <f>IFERROR(PMT(INDEX(Data[],ROW()-ROW(Data[[#Headers],[25]]),1)/12,Data[[#Headers],[25]]*12,-LoanAmount,0,IF(PaymentsDue="End of Period",0,1)), "")</f>
        <v/>
      </c>
    </row>
    <row r="211">
      <c r="A211" t="inlineStr">
        <is>
          <t>Loan analysis</t>
        </is>
      </c>
      <c r="B211" t="inlineStr">
        <is>
          <t>J20</t>
        </is>
      </c>
      <c r="C211" t="n">
        <v>20</v>
      </c>
      <c r="D211" t="n">
        <v>10</v>
      </c>
      <c r="E211" t="inlineStr">
        <is>
          <t>Output</t>
        </is>
      </c>
      <c r="F211" t="inlineStr">
        <is>
          <t>'=IFERROR(PMT(INDEX(Data[],ROW()-ROW(Data[[#Headers],[30]]),1)/12,Data[[#Headers],[30]]*12,-LoanAmount,0,IF(PaymentsDue="End of Period",0,1)), "")</t>
        </is>
      </c>
      <c r="G211" t="n">
        <v>50.47923385562945</v>
      </c>
      <c r="H211" t="inlineStr"/>
      <c r="I211" t="inlineStr">
        <is>
          <t>"$"#,##0.00_);[Red]\("$"#,##0.00\)</t>
        </is>
      </c>
      <c r="J211" t="b">
        <v>0</v>
      </c>
      <c r="K211" t="b">
        <v>0</v>
      </c>
      <c r="L211" t="n">
        <v>11</v>
      </c>
      <c r="M211" t="inlineStr">
        <is>
          <t>Values must be of type &lt;class 'str'&gt;</t>
        </is>
      </c>
      <c r="N211" t="inlineStr">
        <is>
          <t>00000000</t>
        </is>
      </c>
      <c r="O211" t="inlineStr">
        <is>
          <t>center</t>
        </is>
      </c>
      <c r="P211" t="inlineStr">
        <is>
          <t>center</t>
        </is>
      </c>
      <c r="R211" t="b">
        <v>1</v>
      </c>
      <c r="S211" t="inlineStr">
        <is>
          <t>G000009</t>
        </is>
      </c>
      <c r="T211" t="inlineStr">
        <is>
          <t>Vertical</t>
        </is>
      </c>
      <c r="U211" t="n">
        <v>57</v>
      </c>
      <c r="V211" t="b">
        <v>1</v>
      </c>
      <c r="W211" t="inlineStr">
        <is>
          <t>Loan analysis!J10:J66</t>
        </is>
      </c>
      <c r="X211">
        <f>IFERROR(PMT(INDEX(Data[],ROW()-ROW(Data[[#Headers],[30]]),1)/12,Data[[#Headers],[30]]*12,-LoanAmount,0,IF(PaymentsDue="End of Period",0,1)), "")</f>
        <v/>
      </c>
    </row>
    <row r="212">
      <c r="A212" t="inlineStr">
        <is>
          <t>Loan analysis</t>
        </is>
      </c>
      <c r="B212" t="inlineStr">
        <is>
          <t>K20</t>
        </is>
      </c>
      <c r="C212" t="n">
        <v>20</v>
      </c>
      <c r="D212" t="n">
        <v>11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11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n">
        <v/>
      </c>
      <c r="P212" t="n">
        <v/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Loan analysis</t>
        </is>
      </c>
      <c r="B213" t="inlineStr">
        <is>
          <t>A21</t>
        </is>
      </c>
      <c r="C213" t="n">
        <v>21</v>
      </c>
      <c r="D213" t="n">
        <v>1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11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n">
        <v/>
      </c>
      <c r="P213" t="n">
        <v/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Loan analysis</t>
        </is>
      </c>
      <c r="B214" t="inlineStr">
        <is>
          <t>B21</t>
        </is>
      </c>
      <c r="C214" t="n">
        <v>21</v>
      </c>
      <c r="D214" t="n">
        <v>2</v>
      </c>
      <c r="E214" t="inlineStr">
        <is>
          <t>Output</t>
        </is>
      </c>
      <c r="F214" t="inlineStr">
        <is>
          <t>'=IFERROR(MAX((ROW()-ROW(Data[[#Headers],[RATE]]))*0.0025+0.0175,0.0025), "")</t>
        </is>
      </c>
      <c r="G214" t="n">
        <v>0.0475</v>
      </c>
      <c r="H214" t="inlineStr"/>
      <c r="I214" t="inlineStr">
        <is>
          <t>0.00%</t>
        </is>
      </c>
      <c r="J214" t="b">
        <v>0</v>
      </c>
      <c r="K214" t="b">
        <v>0</v>
      </c>
      <c r="L214" t="n">
        <v>11</v>
      </c>
      <c r="M214" t="inlineStr">
        <is>
          <t>Values must be of type &lt;class 'str'&gt;</t>
        </is>
      </c>
      <c r="N214" t="inlineStr">
        <is>
          <t>00000000</t>
        </is>
      </c>
      <c r="O214" t="inlineStr">
        <is>
          <t>center</t>
        </is>
      </c>
      <c r="P214" t="inlineStr">
        <is>
          <t>center</t>
        </is>
      </c>
      <c r="R214" t="b">
        <v>1</v>
      </c>
      <c r="S214" t="inlineStr">
        <is>
          <t>G000001</t>
        </is>
      </c>
      <c r="T214" t="inlineStr">
        <is>
          <t>Vertical</t>
        </is>
      </c>
      <c r="U214" t="n">
        <v>57</v>
      </c>
      <c r="V214" t="b">
        <v>1</v>
      </c>
      <c r="W214" t="inlineStr">
        <is>
          <t>Loan analysis!B10:B66</t>
        </is>
      </c>
      <c r="X214">
        <f>IFERROR(MAX((ROW()-ROW(Data[[#Headers],[RATE]]))*0.0025+0.0175,0.0025), "")</f>
        <v/>
      </c>
    </row>
    <row r="215">
      <c r="A215" t="inlineStr">
        <is>
          <t>Loan analysis</t>
        </is>
      </c>
      <c r="B215" t="inlineStr">
        <is>
          <t>C21</t>
        </is>
      </c>
      <c r="C215" t="n">
        <v>21</v>
      </c>
      <c r="D215" t="n">
        <v>3</v>
      </c>
      <c r="E215" t="inlineStr">
        <is>
          <t>Output</t>
        </is>
      </c>
      <c r="F215" t="inlineStr">
        <is>
          <t>'=IFERROR(PMT(INDEX(Data[],ROW()-ROW(Data[[#Headers],[3]]),1)/12,Data[[#Headers],[3]]*12,-LoanAmount,0,IF(PaymentsDue="End of Period",0,1)), "")</t>
        </is>
      </c>
      <c r="G215" t="n">
        <v>297.4105669762669</v>
      </c>
      <c r="H215" t="inlineStr"/>
      <c r="I215" t="inlineStr">
        <is>
          <t>"$"#,##0.00_);[Red]\("$"#,##0.00\)</t>
        </is>
      </c>
      <c r="J215" t="b">
        <v>0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00000000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inlineStr">
        <is>
          <t>G000002</t>
        </is>
      </c>
      <c r="T215" t="inlineStr">
        <is>
          <t>Vertical</t>
        </is>
      </c>
      <c r="U215" t="n">
        <v>57</v>
      </c>
      <c r="V215" t="b">
        <v>1</v>
      </c>
      <c r="W215" t="inlineStr">
        <is>
          <t>Loan analysis!C10:C66</t>
        </is>
      </c>
      <c r="X215">
        <f>IFERROR(PMT(INDEX(Data[],ROW()-ROW(Data[[#Headers],[3]]),1)/12,Data[[#Headers],[3]]*12,-LoanAmount,0,IF(PaymentsDue="End of Period",0,1)), "")</f>
        <v/>
      </c>
    </row>
    <row r="216">
      <c r="A216" t="inlineStr">
        <is>
          <t>Loan analysis</t>
        </is>
      </c>
      <c r="B216" t="inlineStr">
        <is>
          <t>D21</t>
        </is>
      </c>
      <c r="C216" t="n">
        <v>21</v>
      </c>
      <c r="D216" t="n">
        <v>4</v>
      </c>
      <c r="E216" t="inlineStr">
        <is>
          <t>Output</t>
        </is>
      </c>
      <c r="F216" t="inlineStr">
        <is>
          <t>'=IFERROR(PMT(INDEX(Data[],ROW()-ROW(Data[[#Headers],[5]]),1)/12,Data[[#Headers],[5]]*12,-LoanAmount,0,IF(PaymentsDue="End of Period",0,1)), "")</t>
        </is>
      </c>
      <c r="G216" t="n">
        <v>186.82958601312</v>
      </c>
      <c r="H216" t="inlineStr"/>
      <c r="I216" t="inlineStr">
        <is>
          <t>"$"#,##0.00_);[Red]\("$"#,##0.00\)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00000000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inlineStr">
        <is>
          <t>G000003</t>
        </is>
      </c>
      <c r="T216" t="inlineStr">
        <is>
          <t>Vertical</t>
        </is>
      </c>
      <c r="U216" t="n">
        <v>57</v>
      </c>
      <c r="V216" t="b">
        <v>1</v>
      </c>
      <c r="W216" t="inlineStr">
        <is>
          <t>Loan analysis!D10:D66</t>
        </is>
      </c>
      <c r="X216">
        <f>IFERROR(PMT(INDEX(Data[],ROW()-ROW(Data[[#Headers],[5]]),1)/12,Data[[#Headers],[5]]*12,-LoanAmount,0,IF(PaymentsDue="End of Period",0,1)), "")</f>
        <v/>
      </c>
    </row>
    <row r="217">
      <c r="A217" t="inlineStr">
        <is>
          <t>Loan analysis</t>
        </is>
      </c>
      <c r="B217" t="inlineStr">
        <is>
          <t>E21</t>
        </is>
      </c>
      <c r="C217" t="n">
        <v>21</v>
      </c>
      <c r="D217" t="n">
        <v>5</v>
      </c>
      <c r="E217" t="inlineStr">
        <is>
          <t>Output</t>
        </is>
      </c>
      <c r="F217" t="inlineStr">
        <is>
          <t>'=IFERROR(PMT(INDEX(Data[],ROW()-ROW(Data[[#Headers],[10]]),1)/12,Data[[#Headers],[10]]*12,-LoanAmount,0,IF(PaymentsDue="End of Period",0,1)), "")</t>
        </is>
      </c>
      <c r="G217" t="n">
        <v>104.4343573788385</v>
      </c>
      <c r="H217" t="inlineStr"/>
      <c r="I217" t="inlineStr">
        <is>
          <t>"$"#,##0.00_);[Red]\("$"#,##0.00\)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00000000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inlineStr">
        <is>
          <t>G000004</t>
        </is>
      </c>
      <c r="T217" t="inlineStr">
        <is>
          <t>Vertical</t>
        </is>
      </c>
      <c r="U217" t="n">
        <v>57</v>
      </c>
      <c r="V217" t="b">
        <v>1</v>
      </c>
      <c r="W217" t="inlineStr">
        <is>
          <t>Loan analysis!E10:E66</t>
        </is>
      </c>
      <c r="X217">
        <f>IFERROR(PMT(INDEX(Data[],ROW()-ROW(Data[[#Headers],[10]]),1)/12,Data[[#Headers],[10]]*12,-LoanAmount,0,IF(PaymentsDue="End of Period",0,1)), "")</f>
        <v/>
      </c>
    </row>
    <row r="218">
      <c r="A218" t="inlineStr">
        <is>
          <t>Loan analysis</t>
        </is>
      </c>
      <c r="B218" t="inlineStr">
        <is>
          <t>F21</t>
        </is>
      </c>
      <c r="C218" t="n">
        <v>21</v>
      </c>
      <c r="D218" t="n">
        <v>6</v>
      </c>
      <c r="E218" t="inlineStr">
        <is>
          <t>Output</t>
        </is>
      </c>
      <c r="F218" t="inlineStr">
        <is>
          <t>'=IFERROR(PMT(INDEX(Data[],ROW()-ROW(Data[[#Headers],[12]]),1)/12,Data[[#Headers],[12]]*12,-LoanAmount,0,IF(PaymentsDue="End of Period",0,1)), "")</t>
        </is>
      </c>
      <c r="G218" t="n">
        <v>90.88018177708229</v>
      </c>
      <c r="H218" t="inlineStr"/>
      <c r="I218" t="inlineStr">
        <is>
          <t>"$"#,##0.00_);[Red]\("$"#,##0.00\)</t>
        </is>
      </c>
      <c r="J218" t="b">
        <v>0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00000000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inlineStr">
        <is>
          <t>G000005</t>
        </is>
      </c>
      <c r="T218" t="inlineStr">
        <is>
          <t>Vertical</t>
        </is>
      </c>
      <c r="U218" t="n">
        <v>57</v>
      </c>
      <c r="V218" t="b">
        <v>1</v>
      </c>
      <c r="W218" t="inlineStr">
        <is>
          <t>Loan analysis!F10:F66</t>
        </is>
      </c>
      <c r="X218">
        <f>IFERROR(PMT(INDEX(Data[],ROW()-ROW(Data[[#Headers],[12]]),1)/12,Data[[#Headers],[12]]*12,-LoanAmount,0,IF(PaymentsDue="End of Period",0,1)), "")</f>
        <v/>
      </c>
    </row>
    <row r="219">
      <c r="A219" t="inlineStr">
        <is>
          <t>Loan analysis</t>
        </is>
      </c>
      <c r="B219" t="inlineStr">
        <is>
          <t>G21</t>
        </is>
      </c>
      <c r="C219" t="n">
        <v>21</v>
      </c>
      <c r="D219" t="n">
        <v>7</v>
      </c>
      <c r="E219" t="inlineStr">
        <is>
          <t>Output</t>
        </is>
      </c>
      <c r="F219" t="inlineStr">
        <is>
          <t>'=IFERROR(PMT(INDEX(Data[],ROW()-ROW(Data[[#Headers],[15]]),1)/12,Data[[#Headers],[15]]*12,-LoanAmount,0,IF(PaymentsDue="End of Period",0,1)), "")</t>
        </is>
      </c>
      <c r="G219" t="n">
        <v>77.4765139034964</v>
      </c>
      <c r="H219" t="inlineStr"/>
      <c r="I219" t="inlineStr">
        <is>
          <t>"$"#,##0.00_);[Red]\("$"#,##0.00\)</t>
        </is>
      </c>
      <c r="J219" t="b">
        <v>0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00000000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inlineStr">
        <is>
          <t>G000006</t>
        </is>
      </c>
      <c r="T219" t="inlineStr">
        <is>
          <t>Vertical</t>
        </is>
      </c>
      <c r="U219" t="n">
        <v>57</v>
      </c>
      <c r="V219" t="b">
        <v>1</v>
      </c>
      <c r="W219" t="inlineStr">
        <is>
          <t>Loan analysis!G10:G66</t>
        </is>
      </c>
      <c r="X219">
        <f>IFERROR(PMT(INDEX(Data[],ROW()-ROW(Data[[#Headers],[15]]),1)/12,Data[[#Headers],[15]]*12,-LoanAmount,0,IF(PaymentsDue="End of Period",0,1)), "")</f>
        <v/>
      </c>
    </row>
    <row r="220">
      <c r="A220" t="inlineStr">
        <is>
          <t>Loan analysis</t>
        </is>
      </c>
      <c r="B220" t="inlineStr">
        <is>
          <t>H21</t>
        </is>
      </c>
      <c r="C220" t="n">
        <v>21</v>
      </c>
      <c r="D220" t="n">
        <v>8</v>
      </c>
      <c r="E220" t="inlineStr">
        <is>
          <t>Output</t>
        </is>
      </c>
      <c r="F220" t="inlineStr">
        <is>
          <t>'=IFERROR(PMT(INDEX(Data[],ROW()-ROW(Data[[#Headers],[20]]),1)/12,Data[[#Headers],[20]]*12,-LoanAmount,0,IF(PaymentsDue="End of Period",0,1)), "")</t>
        </is>
      </c>
      <c r="G220" t="n">
        <v>64.36757446204339</v>
      </c>
      <c r="H220" t="inlineStr"/>
      <c r="I220" t="inlineStr">
        <is>
          <t>"$"#,##0.00_);[Red]\("$"#,##0.00\)</t>
        </is>
      </c>
      <c r="J220" t="b">
        <v>0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00000000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inlineStr">
        <is>
          <t>G000007</t>
        </is>
      </c>
      <c r="T220" t="inlineStr">
        <is>
          <t>Vertical</t>
        </is>
      </c>
      <c r="U220" t="n">
        <v>57</v>
      </c>
      <c r="V220" t="b">
        <v>1</v>
      </c>
      <c r="W220" t="inlineStr">
        <is>
          <t>Loan analysis!H10:H66</t>
        </is>
      </c>
      <c r="X220">
        <f>IFERROR(PMT(INDEX(Data[],ROW()-ROW(Data[[#Headers],[20]]),1)/12,Data[[#Headers],[20]]*12,-LoanAmount,0,IF(PaymentsDue="End of Period",0,1)), "")</f>
        <v/>
      </c>
    </row>
    <row r="221">
      <c r="A221" t="inlineStr">
        <is>
          <t>Loan analysis</t>
        </is>
      </c>
      <c r="B221" t="inlineStr">
        <is>
          <t>I21</t>
        </is>
      </c>
      <c r="C221" t="n">
        <v>21</v>
      </c>
      <c r="D221" t="n">
        <v>9</v>
      </c>
      <c r="E221" t="inlineStr">
        <is>
          <t>Output</t>
        </is>
      </c>
      <c r="F221" t="inlineStr">
        <is>
          <t>'=IFERROR(PMT(INDEX(Data[],ROW()-ROW(Data[[#Headers],[25]]),1)/12,Data[[#Headers],[25]]*12,-LoanAmount,0,IF(PaymentsDue="End of Period",0,1)), "")</t>
        </is>
      </c>
      <c r="G221" t="n">
        <v>56.78695444343695</v>
      </c>
      <c r="H221" t="inlineStr"/>
      <c r="I221" t="inlineStr">
        <is>
          <t>"$"#,##0.00_);[Red]\("$"#,##0.00\)</t>
        </is>
      </c>
      <c r="J221" t="b">
        <v>0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00000000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inlineStr">
        <is>
          <t>G000008</t>
        </is>
      </c>
      <c r="T221" t="inlineStr">
        <is>
          <t>Vertical</t>
        </is>
      </c>
      <c r="U221" t="n">
        <v>57</v>
      </c>
      <c r="V221" t="b">
        <v>1</v>
      </c>
      <c r="W221" t="inlineStr">
        <is>
          <t>Loan analysis!I10:I66</t>
        </is>
      </c>
      <c r="X221">
        <f>IFERROR(PMT(INDEX(Data[],ROW()-ROW(Data[[#Headers],[25]]),1)/12,Data[[#Headers],[25]]*12,-LoanAmount,0,IF(PaymentsDue="End of Period",0,1)), "")</f>
        <v/>
      </c>
    </row>
    <row r="222">
      <c r="A222" t="inlineStr">
        <is>
          <t>Loan analysis</t>
        </is>
      </c>
      <c r="B222" t="inlineStr">
        <is>
          <t>J21</t>
        </is>
      </c>
      <c r="C222" t="n">
        <v>21</v>
      </c>
      <c r="D222" t="n">
        <v>10</v>
      </c>
      <c r="E222" t="inlineStr">
        <is>
          <t>Output</t>
        </is>
      </c>
      <c r="F222" t="inlineStr">
        <is>
          <t>'=IFERROR(PMT(INDEX(Data[],ROW()-ROW(Data[[#Headers],[30]]),1)/12,Data[[#Headers],[30]]*12,-LoanAmount,0,IF(PaymentsDue="End of Period",0,1)), "")</t>
        </is>
      </c>
      <c r="G222" t="n">
        <v>51.95906236179565</v>
      </c>
      <c r="H222" t="inlineStr"/>
      <c r="I222" t="inlineStr">
        <is>
          <t>"$"#,##0.00_);[Red]\("$"#,##0.00\)</t>
        </is>
      </c>
      <c r="J222" t="b">
        <v>0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00000000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inlineStr">
        <is>
          <t>G000009</t>
        </is>
      </c>
      <c r="T222" t="inlineStr">
        <is>
          <t>Vertical</t>
        </is>
      </c>
      <c r="U222" t="n">
        <v>57</v>
      </c>
      <c r="V222" t="b">
        <v>1</v>
      </c>
      <c r="W222" t="inlineStr">
        <is>
          <t>Loan analysis!J10:J66</t>
        </is>
      </c>
      <c r="X222">
        <f>IFERROR(PMT(INDEX(Data[],ROW()-ROW(Data[[#Headers],[30]]),1)/12,Data[[#Headers],[30]]*12,-LoanAmount,0,IF(PaymentsDue="End of Period",0,1)), "")</f>
        <v/>
      </c>
    </row>
    <row r="223">
      <c r="A223" t="inlineStr">
        <is>
          <t>Loan analysis</t>
        </is>
      </c>
      <c r="B223" t="inlineStr">
        <is>
          <t>K21</t>
        </is>
      </c>
      <c r="C223" t="n">
        <v>21</v>
      </c>
      <c r="D223" t="n">
        <v>11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Loan analysis</t>
        </is>
      </c>
      <c r="B224" t="inlineStr">
        <is>
          <t>A22</t>
        </is>
      </c>
      <c r="C224" t="n">
        <v>22</v>
      </c>
      <c r="D224" t="n">
        <v>1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Loan analysis</t>
        </is>
      </c>
      <c r="B225" t="inlineStr">
        <is>
          <t>B22</t>
        </is>
      </c>
      <c r="C225" t="n">
        <v>22</v>
      </c>
      <c r="D225" t="n">
        <v>2</v>
      </c>
      <c r="E225" t="inlineStr">
        <is>
          <t>Output</t>
        </is>
      </c>
      <c r="F225" t="inlineStr">
        <is>
          <t>'=IFERROR(MAX((ROW()-ROW(Data[[#Headers],[RATE]]))*0.0025+0.0175,0.0025), "")</t>
        </is>
      </c>
      <c r="G225" t="n">
        <v>0.05</v>
      </c>
      <c r="H225" t="inlineStr"/>
      <c r="I225" t="inlineStr">
        <is>
          <t>0.00%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00000000</t>
        </is>
      </c>
      <c r="O225" t="inlineStr">
        <is>
          <t>center</t>
        </is>
      </c>
      <c r="P225" t="inlineStr">
        <is>
          <t>center</t>
        </is>
      </c>
      <c r="R225" t="b">
        <v>1</v>
      </c>
      <c r="S225" t="inlineStr">
        <is>
          <t>G000001</t>
        </is>
      </c>
      <c r="T225" t="inlineStr">
        <is>
          <t>Vertical</t>
        </is>
      </c>
      <c r="U225" t="n">
        <v>57</v>
      </c>
      <c r="V225" t="b">
        <v>1</v>
      </c>
      <c r="W225" t="inlineStr">
        <is>
          <t>Loan analysis!B10:B66</t>
        </is>
      </c>
      <c r="X225">
        <f>IFERROR(MAX((ROW()-ROW(Data[[#Headers],[RATE]]))*0.0025+0.0175,0.0025), "")</f>
        <v/>
      </c>
    </row>
    <row r="226">
      <c r="A226" t="inlineStr">
        <is>
          <t>Loan analysis</t>
        </is>
      </c>
      <c r="B226" t="inlineStr">
        <is>
          <t>C22</t>
        </is>
      </c>
      <c r="C226" t="n">
        <v>22</v>
      </c>
      <c r="D226" t="n">
        <v>3</v>
      </c>
      <c r="E226" t="inlineStr">
        <is>
          <t>Output</t>
        </is>
      </c>
      <c r="F226" t="inlineStr">
        <is>
          <t>'=IFERROR(PMT(INDEX(Data[],ROW()-ROW(Data[[#Headers],[3]]),1)/12,Data[[#Headers],[3]]*12,-LoanAmount,0,IF(PaymentsDue="End of Period",0,1)), "")</t>
        </is>
      </c>
      <c r="G226" t="n">
        <v>298.4653653576646</v>
      </c>
      <c r="H226" t="inlineStr"/>
      <c r="I226" t="inlineStr">
        <is>
          <t>"$"#,##0.00_);[Red]\("$"#,##0.00\)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00000000</t>
        </is>
      </c>
      <c r="O226" t="inlineStr">
        <is>
          <t>center</t>
        </is>
      </c>
      <c r="P226" t="inlineStr">
        <is>
          <t>center</t>
        </is>
      </c>
      <c r="R226" t="b">
        <v>1</v>
      </c>
      <c r="S226" t="inlineStr">
        <is>
          <t>G000002</t>
        </is>
      </c>
      <c r="T226" t="inlineStr">
        <is>
          <t>Vertical</t>
        </is>
      </c>
      <c r="U226" t="n">
        <v>57</v>
      </c>
      <c r="V226" t="b">
        <v>1</v>
      </c>
      <c r="W226" t="inlineStr">
        <is>
          <t>Loan analysis!C10:C66</t>
        </is>
      </c>
      <c r="X226">
        <f>IFERROR(PMT(INDEX(Data[],ROW()-ROW(Data[[#Headers],[3]]),1)/12,Data[[#Headers],[3]]*12,-LoanAmount,0,IF(PaymentsDue="End of Period",0,1)), "")</f>
        <v/>
      </c>
    </row>
    <row r="227">
      <c r="A227" t="inlineStr">
        <is>
          <t>Loan analysis</t>
        </is>
      </c>
      <c r="B227" t="inlineStr">
        <is>
          <t>D22</t>
        </is>
      </c>
      <c r="C227" t="n">
        <v>22</v>
      </c>
      <c r="D227" t="n">
        <v>4</v>
      </c>
      <c r="E227" t="inlineStr">
        <is>
          <t>Output</t>
        </is>
      </c>
      <c r="F227" t="inlineStr">
        <is>
          <t>'=IFERROR(PMT(INDEX(Data[],ROW()-ROW(Data[[#Headers],[5]]),1)/12,Data[[#Headers],[5]]*12,-LoanAmount,0,IF(PaymentsDue="End of Period",0,1)), "")</t>
        </is>
      </c>
      <c r="G227" t="n">
        <v>187.929297699694</v>
      </c>
      <c r="H227" t="inlineStr"/>
      <c r="I227" t="inlineStr">
        <is>
          <t>"$"#,##0.00_);[Red]\("$"#,##0.00\)</t>
        </is>
      </c>
      <c r="J227" t="b">
        <v>0</v>
      </c>
      <c r="K227" t="b">
        <v>0</v>
      </c>
      <c r="L227" t="n">
        <v>11</v>
      </c>
      <c r="M227" t="inlineStr">
        <is>
          <t>Values must be of type &lt;class 'str'&gt;</t>
        </is>
      </c>
      <c r="N227" t="inlineStr">
        <is>
          <t>00000000</t>
        </is>
      </c>
      <c r="O227" t="inlineStr">
        <is>
          <t>center</t>
        </is>
      </c>
      <c r="P227" t="inlineStr">
        <is>
          <t>center</t>
        </is>
      </c>
      <c r="R227" t="b">
        <v>1</v>
      </c>
      <c r="S227" t="inlineStr">
        <is>
          <t>G000003</t>
        </is>
      </c>
      <c r="T227" t="inlineStr">
        <is>
          <t>Vertical</t>
        </is>
      </c>
      <c r="U227" t="n">
        <v>57</v>
      </c>
      <c r="V227" t="b">
        <v>1</v>
      </c>
      <c r="W227" t="inlineStr">
        <is>
          <t>Loan analysis!D10:D66</t>
        </is>
      </c>
      <c r="X227">
        <f>IFERROR(PMT(INDEX(Data[],ROW()-ROW(Data[[#Headers],[5]]),1)/12,Data[[#Headers],[5]]*12,-LoanAmount,0,IF(PaymentsDue="End of Period",0,1)), "")</f>
        <v/>
      </c>
    </row>
    <row r="228">
      <c r="A228" t="inlineStr">
        <is>
          <t>Loan analysis</t>
        </is>
      </c>
      <c r="B228" t="inlineStr">
        <is>
          <t>E22</t>
        </is>
      </c>
      <c r="C228" t="n">
        <v>22</v>
      </c>
      <c r="D228" t="n">
        <v>5</v>
      </c>
      <c r="E228" t="inlineStr">
        <is>
          <t>Output</t>
        </is>
      </c>
      <c r="F228" t="inlineStr">
        <is>
          <t>'=IFERROR(PMT(INDEX(Data[],ROW()-ROW(Data[[#Headers],[10]]),1)/12,Data[[#Headers],[10]]*12,-LoanAmount,0,IF(PaymentsDue="End of Period",0,1)), "")</t>
        </is>
      </c>
      <c r="G228" t="n">
        <v>105.6254093667139</v>
      </c>
      <c r="H228" t="inlineStr"/>
      <c r="I228" t="inlineStr">
        <is>
          <t>"$"#,##0.00_);[Red]\("$"#,##0.00\)</t>
        </is>
      </c>
      <c r="J228" t="b">
        <v>0</v>
      </c>
      <c r="K228" t="b">
        <v>0</v>
      </c>
      <c r="L228" t="n">
        <v>11</v>
      </c>
      <c r="M228" t="inlineStr">
        <is>
          <t>Values must be of type &lt;class 'str'&gt;</t>
        </is>
      </c>
      <c r="N228" t="inlineStr">
        <is>
          <t>00000000</t>
        </is>
      </c>
      <c r="O228" t="inlineStr">
        <is>
          <t>center</t>
        </is>
      </c>
      <c r="P228" t="inlineStr">
        <is>
          <t>center</t>
        </is>
      </c>
      <c r="R228" t="b">
        <v>1</v>
      </c>
      <c r="S228" t="inlineStr">
        <is>
          <t>G000004</t>
        </is>
      </c>
      <c r="T228" t="inlineStr">
        <is>
          <t>Vertical</t>
        </is>
      </c>
      <c r="U228" t="n">
        <v>57</v>
      </c>
      <c r="V228" t="b">
        <v>1</v>
      </c>
      <c r="W228" t="inlineStr">
        <is>
          <t>Loan analysis!E10:E66</t>
        </is>
      </c>
      <c r="X228">
        <f>IFERROR(PMT(INDEX(Data[],ROW()-ROW(Data[[#Headers],[10]]),1)/12,Data[[#Headers],[10]]*12,-LoanAmount,0,IF(PaymentsDue="End of Period",0,1)), "")</f>
        <v/>
      </c>
    </row>
    <row r="229">
      <c r="A229" t="inlineStr">
        <is>
          <t>Loan analysis</t>
        </is>
      </c>
      <c r="B229" t="inlineStr">
        <is>
          <t>F22</t>
        </is>
      </c>
      <c r="C229" t="n">
        <v>22</v>
      </c>
      <c r="D229" t="n">
        <v>6</v>
      </c>
      <c r="E229" t="inlineStr">
        <is>
          <t>Output</t>
        </is>
      </c>
      <c r="F229" t="inlineStr">
        <is>
          <t>'=IFERROR(PMT(INDEX(Data[],ROW()-ROW(Data[[#Headers],[12]]),1)/12,Data[[#Headers],[12]]*12,-LoanAmount,0,IF(PaymentsDue="End of Period",0,1)), "")</t>
        </is>
      </c>
      <c r="G229" t="n">
        <v>92.10526940114713</v>
      </c>
      <c r="H229" t="inlineStr"/>
      <c r="I229" t="inlineStr">
        <is>
          <t>"$"#,##0.00_);[Red]\("$"#,##0.00\)</t>
        </is>
      </c>
      <c r="J229" t="b">
        <v>0</v>
      </c>
      <c r="K229" t="b">
        <v>0</v>
      </c>
      <c r="L229" t="n">
        <v>11</v>
      </c>
      <c r="M229" t="inlineStr">
        <is>
          <t>Values must be of type &lt;class 'str'&gt;</t>
        </is>
      </c>
      <c r="N229" t="inlineStr">
        <is>
          <t>00000000</t>
        </is>
      </c>
      <c r="O229" t="inlineStr">
        <is>
          <t>center</t>
        </is>
      </c>
      <c r="P229" t="inlineStr">
        <is>
          <t>center</t>
        </is>
      </c>
      <c r="R229" t="b">
        <v>1</v>
      </c>
      <c r="S229" t="inlineStr">
        <is>
          <t>G000005</t>
        </is>
      </c>
      <c r="T229" t="inlineStr">
        <is>
          <t>Vertical</t>
        </is>
      </c>
      <c r="U229" t="n">
        <v>57</v>
      </c>
      <c r="V229" t="b">
        <v>1</v>
      </c>
      <c r="W229" t="inlineStr">
        <is>
          <t>Loan analysis!F10:F66</t>
        </is>
      </c>
      <c r="X229">
        <f>IFERROR(PMT(INDEX(Data[],ROW()-ROW(Data[[#Headers],[12]]),1)/12,Data[[#Headers],[12]]*12,-LoanAmount,0,IF(PaymentsDue="End of Period",0,1)), "")</f>
        <v/>
      </c>
    </row>
    <row r="230">
      <c r="A230" t="inlineStr">
        <is>
          <t>Loan analysis</t>
        </is>
      </c>
      <c r="B230" t="inlineStr">
        <is>
          <t>G22</t>
        </is>
      </c>
      <c r="C230" t="n">
        <v>22</v>
      </c>
      <c r="D230" t="n">
        <v>7</v>
      </c>
      <c r="E230" t="inlineStr">
        <is>
          <t>Output</t>
        </is>
      </c>
      <c r="F230" t="inlineStr">
        <is>
          <t>'=IFERROR(PMT(INDEX(Data[],ROW()-ROW(Data[[#Headers],[15]]),1)/12,Data[[#Headers],[15]]*12,-LoanAmount,0,IF(PaymentsDue="End of Period",0,1)), "")</t>
        </is>
      </c>
      <c r="G230" t="n">
        <v>78.75123253857704</v>
      </c>
      <c r="H230" t="inlineStr"/>
      <c r="I230" t="inlineStr">
        <is>
          <t>"$"#,##0.00_);[Red]\("$"#,##0.00\)</t>
        </is>
      </c>
      <c r="J230" t="b">
        <v>0</v>
      </c>
      <c r="K230" t="b">
        <v>0</v>
      </c>
      <c r="L230" t="n">
        <v>11</v>
      </c>
      <c r="M230" t="inlineStr">
        <is>
          <t>Values must be of type &lt;class 'str'&gt;</t>
        </is>
      </c>
      <c r="N230" t="inlineStr">
        <is>
          <t>00000000</t>
        </is>
      </c>
      <c r="O230" t="inlineStr">
        <is>
          <t>center</t>
        </is>
      </c>
      <c r="P230" t="inlineStr">
        <is>
          <t>center</t>
        </is>
      </c>
      <c r="R230" t="b">
        <v>1</v>
      </c>
      <c r="S230" t="inlineStr">
        <is>
          <t>G000006</t>
        </is>
      </c>
      <c r="T230" t="inlineStr">
        <is>
          <t>Vertical</t>
        </is>
      </c>
      <c r="U230" t="n">
        <v>57</v>
      </c>
      <c r="V230" t="b">
        <v>1</v>
      </c>
      <c r="W230" t="inlineStr">
        <is>
          <t>Loan analysis!G10:G66</t>
        </is>
      </c>
      <c r="X230">
        <f>IFERROR(PMT(INDEX(Data[],ROW()-ROW(Data[[#Headers],[15]]),1)/12,Data[[#Headers],[15]]*12,-LoanAmount,0,IF(PaymentsDue="End of Period",0,1)), "")</f>
        <v/>
      </c>
    </row>
    <row r="231">
      <c r="A231" t="inlineStr">
        <is>
          <t>Loan analysis</t>
        </is>
      </c>
      <c r="B231" t="inlineStr">
        <is>
          <t>H22</t>
        </is>
      </c>
      <c r="C231" t="n">
        <v>22</v>
      </c>
      <c r="D231" t="n">
        <v>8</v>
      </c>
      <c r="E231" t="inlineStr">
        <is>
          <t>Output</t>
        </is>
      </c>
      <c r="F231" t="inlineStr">
        <is>
          <t>'=IFERROR(PMT(INDEX(Data[],ROW()-ROW(Data[[#Headers],[20]]),1)/12,Data[[#Headers],[20]]*12,-LoanAmount,0,IF(PaymentsDue="End of Period",0,1)), "")</t>
        </is>
      </c>
      <c r="G231" t="n">
        <v>65.72173336597417</v>
      </c>
      <c r="H231" t="inlineStr"/>
      <c r="I231" t="inlineStr">
        <is>
          <t>"$"#,##0.00_);[Red]\("$"#,##0.00\)</t>
        </is>
      </c>
      <c r="J231" t="b">
        <v>0</v>
      </c>
      <c r="K231" t="b">
        <v>0</v>
      </c>
      <c r="L231" t="n">
        <v>11</v>
      </c>
      <c r="M231" t="inlineStr">
        <is>
          <t>Values must be of type &lt;class 'str'&gt;</t>
        </is>
      </c>
      <c r="N231" t="inlineStr">
        <is>
          <t>00000000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inlineStr">
        <is>
          <t>G000007</t>
        </is>
      </c>
      <c r="T231" t="inlineStr">
        <is>
          <t>Vertical</t>
        </is>
      </c>
      <c r="U231" t="n">
        <v>57</v>
      </c>
      <c r="V231" t="b">
        <v>1</v>
      </c>
      <c r="W231" t="inlineStr">
        <is>
          <t>Loan analysis!H10:H66</t>
        </is>
      </c>
      <c r="X231">
        <f>IFERROR(PMT(INDEX(Data[],ROW()-ROW(Data[[#Headers],[20]]),1)/12,Data[[#Headers],[20]]*12,-LoanAmount,0,IF(PaymentsDue="End of Period",0,1)), "")</f>
        <v/>
      </c>
    </row>
    <row r="232">
      <c r="A232" t="inlineStr">
        <is>
          <t>Loan analysis</t>
        </is>
      </c>
      <c r="B232" t="inlineStr">
        <is>
          <t>I22</t>
        </is>
      </c>
      <c r="C232" t="n">
        <v>22</v>
      </c>
      <c r="D232" t="n">
        <v>9</v>
      </c>
      <c r="E232" t="inlineStr">
        <is>
          <t>Output</t>
        </is>
      </c>
      <c r="F232" t="inlineStr">
        <is>
          <t>'=IFERROR(PMT(INDEX(Data[],ROW()-ROW(Data[[#Headers],[25]]),1)/12,Data[[#Headers],[25]]*12,-LoanAmount,0,IF(PaymentsDue="End of Period",0,1)), "")</t>
        </is>
      </c>
      <c r="G232" t="n">
        <v>58.21643566884439</v>
      </c>
      <c r="H232" t="inlineStr"/>
      <c r="I232" t="inlineStr">
        <is>
          <t>"$"#,##0.00_);[Red]\("$"#,##0.00\)</t>
        </is>
      </c>
      <c r="J232" t="b">
        <v>0</v>
      </c>
      <c r="K232" t="b">
        <v>0</v>
      </c>
      <c r="L232" t="n">
        <v>11</v>
      </c>
      <c r="M232" t="inlineStr">
        <is>
          <t>Values must be of type &lt;class 'str'&gt;</t>
        </is>
      </c>
      <c r="N232" t="inlineStr">
        <is>
          <t>00000000</t>
        </is>
      </c>
      <c r="O232" t="inlineStr">
        <is>
          <t>center</t>
        </is>
      </c>
      <c r="P232" t="inlineStr">
        <is>
          <t>center</t>
        </is>
      </c>
      <c r="R232" t="b">
        <v>1</v>
      </c>
      <c r="S232" t="inlineStr">
        <is>
          <t>G000008</t>
        </is>
      </c>
      <c r="T232" t="inlineStr">
        <is>
          <t>Vertical</t>
        </is>
      </c>
      <c r="U232" t="n">
        <v>57</v>
      </c>
      <c r="V232" t="b">
        <v>1</v>
      </c>
      <c r="W232" t="inlineStr">
        <is>
          <t>Loan analysis!I10:I66</t>
        </is>
      </c>
      <c r="X232">
        <f>IFERROR(PMT(INDEX(Data[],ROW()-ROW(Data[[#Headers],[25]]),1)/12,Data[[#Headers],[25]]*12,-LoanAmount,0,IF(PaymentsDue="End of Period",0,1)), "")</f>
        <v/>
      </c>
    </row>
    <row r="233">
      <c r="A233" t="inlineStr">
        <is>
          <t>Loan analysis</t>
        </is>
      </c>
      <c r="B233" t="inlineStr">
        <is>
          <t>J22</t>
        </is>
      </c>
      <c r="C233" t="n">
        <v>22</v>
      </c>
      <c r="D233" t="n">
        <v>10</v>
      </c>
      <c r="E233" t="inlineStr">
        <is>
          <t>Output</t>
        </is>
      </c>
      <c r="F233" t="inlineStr">
        <is>
          <t>'=IFERROR(PMT(INDEX(Data[],ROW()-ROW(Data[[#Headers],[30]]),1)/12,Data[[#Headers],[30]]*12,-LoanAmount,0,IF(PaymentsDue="End of Period",0,1)), "")</t>
        </is>
      </c>
      <c r="G233" t="n">
        <v>53.45941473979808</v>
      </c>
      <c r="H233" t="inlineStr"/>
      <c r="I233" t="inlineStr">
        <is>
          <t>"$"#,##0.00_);[Red]\("$"#,##0.00\)</t>
        </is>
      </c>
      <c r="J233" t="b">
        <v>0</v>
      </c>
      <c r="K233" t="b">
        <v>0</v>
      </c>
      <c r="L233" t="n">
        <v>11</v>
      </c>
      <c r="M233" t="inlineStr">
        <is>
          <t>Values must be of type &lt;class 'str'&gt;</t>
        </is>
      </c>
      <c r="N233" t="inlineStr">
        <is>
          <t>00000000</t>
        </is>
      </c>
      <c r="O233" t="inlineStr">
        <is>
          <t>center</t>
        </is>
      </c>
      <c r="P233" t="inlineStr">
        <is>
          <t>center</t>
        </is>
      </c>
      <c r="R233" t="b">
        <v>1</v>
      </c>
      <c r="S233" t="inlineStr">
        <is>
          <t>G000009</t>
        </is>
      </c>
      <c r="T233" t="inlineStr">
        <is>
          <t>Vertical</t>
        </is>
      </c>
      <c r="U233" t="n">
        <v>57</v>
      </c>
      <c r="V233" t="b">
        <v>1</v>
      </c>
      <c r="W233" t="inlineStr">
        <is>
          <t>Loan analysis!J10:J66</t>
        </is>
      </c>
      <c r="X233">
        <f>IFERROR(PMT(INDEX(Data[],ROW()-ROW(Data[[#Headers],[30]]),1)/12,Data[[#Headers],[30]]*12,-LoanAmount,0,IF(PaymentsDue="End of Period",0,1)), "")</f>
        <v/>
      </c>
    </row>
    <row r="234">
      <c r="A234" t="inlineStr">
        <is>
          <t>Loan analysis</t>
        </is>
      </c>
      <c r="B234" t="inlineStr">
        <is>
          <t>K22</t>
        </is>
      </c>
      <c r="C234" t="n">
        <v>22</v>
      </c>
      <c r="D234" t="n">
        <v>11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Loan analysis</t>
        </is>
      </c>
      <c r="B235" t="inlineStr">
        <is>
          <t>A23</t>
        </is>
      </c>
      <c r="C235" t="n">
        <v>23</v>
      </c>
      <c r="D235" t="n">
        <v>1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n">
        <v/>
      </c>
      <c r="P235" t="n">
        <v/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Loan analysis</t>
        </is>
      </c>
      <c r="B236" t="inlineStr">
        <is>
          <t>B23</t>
        </is>
      </c>
      <c r="C236" t="n">
        <v>23</v>
      </c>
      <c r="D236" t="n">
        <v>2</v>
      </c>
      <c r="E236" t="inlineStr">
        <is>
          <t>Output</t>
        </is>
      </c>
      <c r="F236" t="inlineStr">
        <is>
          <t>'=IFERROR(MAX((ROW()-ROW(Data[[#Headers],[RATE]]))*0.0025+0.0175,0.0025), "")</t>
        </is>
      </c>
      <c r="G236" t="n">
        <v>0.0525</v>
      </c>
      <c r="H236" t="inlineStr"/>
      <c r="I236" t="inlineStr">
        <is>
          <t>0.00%</t>
        </is>
      </c>
      <c r="J236" t="b">
        <v>0</v>
      </c>
      <c r="K236" t="b">
        <v>0</v>
      </c>
      <c r="L236" t="n">
        <v>11</v>
      </c>
      <c r="M236" t="inlineStr">
        <is>
          <t>Values must be of type &lt;class 'str'&gt;</t>
        </is>
      </c>
      <c r="N236" t="inlineStr">
        <is>
          <t>00000000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inlineStr">
        <is>
          <t>G000001</t>
        </is>
      </c>
      <c r="T236" t="inlineStr">
        <is>
          <t>Vertical</t>
        </is>
      </c>
      <c r="U236" t="n">
        <v>57</v>
      </c>
      <c r="V236" t="b">
        <v>1</v>
      </c>
      <c r="W236" t="inlineStr">
        <is>
          <t>Loan analysis!B10:B66</t>
        </is>
      </c>
      <c r="X236">
        <f>IFERROR(MAX((ROW()-ROW(Data[[#Headers],[RATE]]))*0.0025+0.0175,0.0025), "")</f>
        <v/>
      </c>
    </row>
    <row r="237">
      <c r="A237" t="inlineStr">
        <is>
          <t>Loan analysis</t>
        </is>
      </c>
      <c r="B237" t="inlineStr">
        <is>
          <t>C23</t>
        </is>
      </c>
      <c r="C237" t="n">
        <v>23</v>
      </c>
      <c r="D237" t="n">
        <v>3</v>
      </c>
      <c r="E237" t="inlineStr">
        <is>
          <t>Output</t>
        </is>
      </c>
      <c r="F237" t="inlineStr">
        <is>
          <t>'=IFERROR(PMT(INDEX(Data[],ROW()-ROW(Data[[#Headers],[3]]),1)/12,Data[[#Headers],[3]]*12,-LoanAmount,0,IF(PaymentsDue="End of Period",0,1)), "")</t>
        </is>
      </c>
      <c r="G237" t="n">
        <v>299.5222951053262</v>
      </c>
      <c r="H237" t="inlineStr"/>
      <c r="I237" t="inlineStr">
        <is>
          <t>"$"#,##0.00_);[Red]\("$"#,##0.00\)</t>
        </is>
      </c>
      <c r="J237" t="b">
        <v>0</v>
      </c>
      <c r="K237" t="b">
        <v>0</v>
      </c>
      <c r="L237" t="n">
        <v>11</v>
      </c>
      <c r="M237" t="inlineStr">
        <is>
          <t>Values must be of type &lt;class 'str'&gt;</t>
        </is>
      </c>
      <c r="N237" t="inlineStr">
        <is>
          <t>00000000</t>
        </is>
      </c>
      <c r="O237" t="inlineStr">
        <is>
          <t>center</t>
        </is>
      </c>
      <c r="P237" t="inlineStr">
        <is>
          <t>center</t>
        </is>
      </c>
      <c r="R237" t="b">
        <v>1</v>
      </c>
      <c r="S237" t="inlineStr">
        <is>
          <t>G000002</t>
        </is>
      </c>
      <c r="T237" t="inlineStr">
        <is>
          <t>Vertical</t>
        </is>
      </c>
      <c r="U237" t="n">
        <v>57</v>
      </c>
      <c r="V237" t="b">
        <v>1</v>
      </c>
      <c r="W237" t="inlineStr">
        <is>
          <t>Loan analysis!C10:C66</t>
        </is>
      </c>
      <c r="X237">
        <f>IFERROR(PMT(INDEX(Data[],ROW()-ROW(Data[[#Headers],[3]]),1)/12,Data[[#Headers],[3]]*12,-LoanAmount,0,IF(PaymentsDue="End of Period",0,1)), "")</f>
        <v/>
      </c>
    </row>
    <row r="238">
      <c r="A238" t="inlineStr">
        <is>
          <t>Loan analysis</t>
        </is>
      </c>
      <c r="B238" t="inlineStr">
        <is>
          <t>D23</t>
        </is>
      </c>
      <c r="C238" t="n">
        <v>23</v>
      </c>
      <c r="D238" t="n">
        <v>4</v>
      </c>
      <c r="E238" t="inlineStr">
        <is>
          <t>Output</t>
        </is>
      </c>
      <c r="F238" t="inlineStr">
        <is>
          <t>'=IFERROR(PMT(INDEX(Data[],ROW()-ROW(Data[[#Headers],[5]]),1)/12,Data[[#Headers],[5]]*12,-LoanAmount,0,IF(PaymentsDue="End of Period",0,1)), "")</t>
        </is>
      </c>
      <c r="G238" t="n">
        <v>189.0328198474348</v>
      </c>
      <c r="H238" t="inlineStr"/>
      <c r="I238" t="inlineStr">
        <is>
          <t>"$"#,##0.00_);[Red]\("$"#,##0.00\)</t>
        </is>
      </c>
      <c r="J238" t="b">
        <v>0</v>
      </c>
      <c r="K238" t="b">
        <v>0</v>
      </c>
      <c r="L238" t="n">
        <v>11</v>
      </c>
      <c r="M238" t="inlineStr">
        <is>
          <t>Values must be of type &lt;class 'str'&gt;</t>
        </is>
      </c>
      <c r="N238" t="inlineStr">
        <is>
          <t>00000000</t>
        </is>
      </c>
      <c r="O238" t="inlineStr">
        <is>
          <t>center</t>
        </is>
      </c>
      <c r="P238" t="inlineStr">
        <is>
          <t>center</t>
        </is>
      </c>
      <c r="R238" t="b">
        <v>1</v>
      </c>
      <c r="S238" t="inlineStr">
        <is>
          <t>G000003</t>
        </is>
      </c>
      <c r="T238" t="inlineStr">
        <is>
          <t>Vertical</t>
        </is>
      </c>
      <c r="U238" t="n">
        <v>57</v>
      </c>
      <c r="V238" t="b">
        <v>1</v>
      </c>
      <c r="W238" t="inlineStr">
        <is>
          <t>Loan analysis!D10:D66</t>
        </is>
      </c>
      <c r="X238">
        <f>IFERROR(PMT(INDEX(Data[],ROW()-ROW(Data[[#Headers],[5]]),1)/12,Data[[#Headers],[5]]*12,-LoanAmount,0,IF(PaymentsDue="End of Period",0,1)), "")</f>
        <v/>
      </c>
    </row>
    <row r="239">
      <c r="A239" t="inlineStr">
        <is>
          <t>Loan analysis</t>
        </is>
      </c>
      <c r="B239" t="inlineStr">
        <is>
          <t>E23</t>
        </is>
      </c>
      <c r="C239" t="n">
        <v>23</v>
      </c>
      <c r="D239" t="n">
        <v>5</v>
      </c>
      <c r="E239" t="inlineStr">
        <is>
          <t>Output</t>
        </is>
      </c>
      <c r="F239" t="inlineStr">
        <is>
          <t>'=IFERROR(PMT(INDEX(Data[],ROW()-ROW(Data[[#Headers],[10]]),1)/12,Data[[#Headers],[10]]*12,-LoanAmount,0,IF(PaymentsDue="End of Period",0,1)), "")</t>
        </is>
      </c>
      <c r="G239" t="n">
        <v>106.8243448918505</v>
      </c>
      <c r="H239" t="inlineStr"/>
      <c r="I239" t="inlineStr">
        <is>
          <t>"$"#,##0.00_);[Red]\("$"#,##0.00\)</t>
        </is>
      </c>
      <c r="J239" t="b">
        <v>0</v>
      </c>
      <c r="K239" t="b">
        <v>0</v>
      </c>
      <c r="L239" t="n">
        <v>11</v>
      </c>
      <c r="M239" t="inlineStr">
        <is>
          <t>Values must be of type &lt;class 'str'&gt;</t>
        </is>
      </c>
      <c r="N239" t="inlineStr">
        <is>
          <t>00000000</t>
        </is>
      </c>
      <c r="O239" t="inlineStr">
        <is>
          <t>center</t>
        </is>
      </c>
      <c r="P239" t="inlineStr">
        <is>
          <t>center</t>
        </is>
      </c>
      <c r="R239" t="b">
        <v>1</v>
      </c>
      <c r="S239" t="inlineStr">
        <is>
          <t>G000004</t>
        </is>
      </c>
      <c r="T239" t="inlineStr">
        <is>
          <t>Vertical</t>
        </is>
      </c>
      <c r="U239" t="n">
        <v>57</v>
      </c>
      <c r="V239" t="b">
        <v>1</v>
      </c>
      <c r="W239" t="inlineStr">
        <is>
          <t>Loan analysis!E10:E66</t>
        </is>
      </c>
      <c r="X239">
        <f>IFERROR(PMT(INDEX(Data[],ROW()-ROW(Data[[#Headers],[10]]),1)/12,Data[[#Headers],[10]]*12,-LoanAmount,0,IF(PaymentsDue="End of Period",0,1)), "")</f>
        <v/>
      </c>
    </row>
    <row r="240">
      <c r="A240" t="inlineStr">
        <is>
          <t>Loan analysis</t>
        </is>
      </c>
      <c r="B240" t="inlineStr">
        <is>
          <t>F23</t>
        </is>
      </c>
      <c r="C240" t="n">
        <v>23</v>
      </c>
      <c r="D240" t="n">
        <v>6</v>
      </c>
      <c r="E240" t="inlineStr">
        <is>
          <t>Output</t>
        </is>
      </c>
      <c r="F240" t="inlineStr">
        <is>
          <t>'=IFERROR(PMT(INDEX(Data[],ROW()-ROW(Data[[#Headers],[12]]),1)/12,Data[[#Headers],[12]]*12,-LoanAmount,0,IF(PaymentsDue="End of Period",0,1)), "")</t>
        </is>
      </c>
      <c r="G240" t="n">
        <v>93.33979324613409</v>
      </c>
      <c r="H240" t="inlineStr"/>
      <c r="I240" t="inlineStr">
        <is>
          <t>"$"#,##0.00_);[Red]\("$"#,##0.00\)</t>
        </is>
      </c>
      <c r="J240" t="b">
        <v>0</v>
      </c>
      <c r="K240" t="b">
        <v>0</v>
      </c>
      <c r="L240" t="n">
        <v>11</v>
      </c>
      <c r="M240" t="inlineStr">
        <is>
          <t>Values must be of type &lt;class 'str'&gt;</t>
        </is>
      </c>
      <c r="N240" t="inlineStr">
        <is>
          <t>00000000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inlineStr">
        <is>
          <t>G000005</t>
        </is>
      </c>
      <c r="T240" t="inlineStr">
        <is>
          <t>Vertical</t>
        </is>
      </c>
      <c r="U240" t="n">
        <v>57</v>
      </c>
      <c r="V240" t="b">
        <v>1</v>
      </c>
      <c r="W240" t="inlineStr">
        <is>
          <t>Loan analysis!F10:F66</t>
        </is>
      </c>
      <c r="X240">
        <f>IFERROR(PMT(INDEX(Data[],ROW()-ROW(Data[[#Headers],[12]]),1)/12,Data[[#Headers],[12]]*12,-LoanAmount,0,IF(PaymentsDue="End of Period",0,1)), "")</f>
        <v/>
      </c>
    </row>
    <row r="241">
      <c r="A241" t="inlineStr">
        <is>
          <t>Loan analysis</t>
        </is>
      </c>
      <c r="B241" t="inlineStr">
        <is>
          <t>G23</t>
        </is>
      </c>
      <c r="C241" t="n">
        <v>23</v>
      </c>
      <c r="D241" t="n">
        <v>7</v>
      </c>
      <c r="E241" t="inlineStr">
        <is>
          <t>Output</t>
        </is>
      </c>
      <c r="F241" t="inlineStr">
        <is>
          <t>'=IFERROR(PMT(INDEX(Data[],ROW()-ROW(Data[[#Headers],[15]]),1)/12,Data[[#Headers],[15]]*12,-LoanAmount,0,IF(PaymentsDue="End of Period",0,1)), "")</t>
        </is>
      </c>
      <c r="G241" t="n">
        <v>80.03760701382407</v>
      </c>
      <c r="H241" t="inlineStr"/>
      <c r="I241" t="inlineStr">
        <is>
          <t>"$"#,##0.00_);[Red]\("$"#,##0.00\)</t>
        </is>
      </c>
      <c r="J241" t="b">
        <v>0</v>
      </c>
      <c r="K241" t="b">
        <v>0</v>
      </c>
      <c r="L241" t="n">
        <v>11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center</t>
        </is>
      </c>
      <c r="P241" t="inlineStr">
        <is>
          <t>center</t>
        </is>
      </c>
      <c r="R241" t="b">
        <v>1</v>
      </c>
      <c r="S241" t="inlineStr">
        <is>
          <t>G000006</t>
        </is>
      </c>
      <c r="T241" t="inlineStr">
        <is>
          <t>Vertical</t>
        </is>
      </c>
      <c r="U241" t="n">
        <v>57</v>
      </c>
      <c r="V241" t="b">
        <v>1</v>
      </c>
      <c r="W241" t="inlineStr">
        <is>
          <t>Loan analysis!G10:G66</t>
        </is>
      </c>
      <c r="X241">
        <f>IFERROR(PMT(INDEX(Data[],ROW()-ROW(Data[[#Headers],[15]]),1)/12,Data[[#Headers],[15]]*12,-LoanAmount,0,IF(PaymentsDue="End of Period",0,1)), "")</f>
        <v/>
      </c>
    </row>
    <row r="242">
      <c r="A242" t="inlineStr">
        <is>
          <t>Loan analysis</t>
        </is>
      </c>
      <c r="B242" t="inlineStr">
        <is>
          <t>H23</t>
        </is>
      </c>
      <c r="C242" t="n">
        <v>23</v>
      </c>
      <c r="D242" t="n">
        <v>8</v>
      </c>
      <c r="E242" t="inlineStr">
        <is>
          <t>Output</t>
        </is>
      </c>
      <c r="F242" t="inlineStr">
        <is>
          <t>'=IFERROR(PMT(INDEX(Data[],ROW()-ROW(Data[[#Headers],[20]]),1)/12,Data[[#Headers],[20]]*12,-LoanAmount,0,IF(PaymentsDue="End of Period",0,1)), "")</t>
        </is>
      </c>
      <c r="G242" t="n">
        <v>67.09089397337966</v>
      </c>
      <c r="H242" t="inlineStr"/>
      <c r="I242" t="inlineStr">
        <is>
          <t>"$"#,##0.00_);[Red]\("$"#,##0.00\)</t>
        </is>
      </c>
      <c r="J242" t="b">
        <v>0</v>
      </c>
      <c r="K242" t="b">
        <v>0</v>
      </c>
      <c r="L242" t="n">
        <v>11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center</t>
        </is>
      </c>
      <c r="P242" t="inlineStr">
        <is>
          <t>center</t>
        </is>
      </c>
      <c r="R242" t="b">
        <v>1</v>
      </c>
      <c r="S242" t="inlineStr">
        <is>
          <t>G000007</t>
        </is>
      </c>
      <c r="T242" t="inlineStr">
        <is>
          <t>Vertical</t>
        </is>
      </c>
      <c r="U242" t="n">
        <v>57</v>
      </c>
      <c r="V242" t="b">
        <v>1</v>
      </c>
      <c r="W242" t="inlineStr">
        <is>
          <t>Loan analysis!H10:H66</t>
        </is>
      </c>
      <c r="X242">
        <f>IFERROR(PMT(INDEX(Data[],ROW()-ROW(Data[[#Headers],[20]]),1)/12,Data[[#Headers],[20]]*12,-LoanAmount,0,IF(PaymentsDue="End of Period",0,1)), "")</f>
        <v/>
      </c>
    </row>
    <row r="243">
      <c r="A243" t="inlineStr">
        <is>
          <t>Loan analysis</t>
        </is>
      </c>
      <c r="B243" t="inlineStr">
        <is>
          <t>I23</t>
        </is>
      </c>
      <c r="C243" t="n">
        <v>23</v>
      </c>
      <c r="D243" t="n">
        <v>9</v>
      </c>
      <c r="E243" t="inlineStr">
        <is>
          <t>Output</t>
        </is>
      </c>
      <c r="F243" t="inlineStr">
        <is>
          <t>'=IFERROR(PMT(INDEX(Data[],ROW()-ROW(Data[[#Headers],[25]]),1)/12,Data[[#Headers],[25]]*12,-LoanAmount,0,IF(PaymentsDue="End of Period",0,1)), "")</t>
        </is>
      </c>
      <c r="G243" t="n">
        <v>59.66374264306418</v>
      </c>
      <c r="H243" t="inlineStr"/>
      <c r="I243" t="inlineStr">
        <is>
          <t>"$"#,##0.00_);[Red]\("$"#,##0.00\)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00000000</t>
        </is>
      </c>
      <c r="O243" t="inlineStr">
        <is>
          <t>center</t>
        </is>
      </c>
      <c r="P243" t="inlineStr">
        <is>
          <t>center</t>
        </is>
      </c>
      <c r="R243" t="b">
        <v>1</v>
      </c>
      <c r="S243" t="inlineStr">
        <is>
          <t>G000008</t>
        </is>
      </c>
      <c r="T243" t="inlineStr">
        <is>
          <t>Vertical</t>
        </is>
      </c>
      <c r="U243" t="n">
        <v>57</v>
      </c>
      <c r="V243" t="b">
        <v>1</v>
      </c>
      <c r="W243" t="inlineStr">
        <is>
          <t>Loan analysis!I10:I66</t>
        </is>
      </c>
      <c r="X243">
        <f>IFERROR(PMT(INDEX(Data[],ROW()-ROW(Data[[#Headers],[25]]),1)/12,Data[[#Headers],[25]]*12,-LoanAmount,0,IF(PaymentsDue="End of Period",0,1)), "")</f>
        <v/>
      </c>
    </row>
    <row r="244">
      <c r="A244" t="inlineStr">
        <is>
          <t>Loan analysis</t>
        </is>
      </c>
      <c r="B244" t="inlineStr">
        <is>
          <t>J23</t>
        </is>
      </c>
      <c r="C244" t="n">
        <v>23</v>
      </c>
      <c r="D244" t="n">
        <v>10</v>
      </c>
      <c r="E244" t="inlineStr">
        <is>
          <t>Output</t>
        </is>
      </c>
      <c r="F244" t="inlineStr">
        <is>
          <t>'=IFERROR(PMT(INDEX(Data[],ROW()-ROW(Data[[#Headers],[30]]),1)/12,Data[[#Headers],[30]]*12,-LoanAmount,0,IF(PaymentsDue="End of Period",0,1)), "")</t>
        </is>
      </c>
      <c r="G244" t="n">
        <v>54.97983344287724</v>
      </c>
      <c r="H244" t="inlineStr"/>
      <c r="I244" t="inlineStr">
        <is>
          <t>"$"#,##0.00_);[Red]\("$"#,##0.00\)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00000000</t>
        </is>
      </c>
      <c r="O244" t="inlineStr">
        <is>
          <t>center</t>
        </is>
      </c>
      <c r="P244" t="inlineStr">
        <is>
          <t>center</t>
        </is>
      </c>
      <c r="R244" t="b">
        <v>1</v>
      </c>
      <c r="S244" t="inlineStr">
        <is>
          <t>G000009</t>
        </is>
      </c>
      <c r="T244" t="inlineStr">
        <is>
          <t>Vertical</t>
        </is>
      </c>
      <c r="U244" t="n">
        <v>57</v>
      </c>
      <c r="V244" t="b">
        <v>1</v>
      </c>
      <c r="W244" t="inlineStr">
        <is>
          <t>Loan analysis!J10:J66</t>
        </is>
      </c>
      <c r="X244">
        <f>IFERROR(PMT(INDEX(Data[],ROW()-ROW(Data[[#Headers],[30]]),1)/12,Data[[#Headers],[30]]*12,-LoanAmount,0,IF(PaymentsDue="End of Period",0,1)), "")</f>
        <v/>
      </c>
    </row>
    <row r="245">
      <c r="A245" t="inlineStr">
        <is>
          <t>Loan analysis</t>
        </is>
      </c>
      <c r="B245" t="inlineStr">
        <is>
          <t>K23</t>
        </is>
      </c>
      <c r="C245" t="n">
        <v>23</v>
      </c>
      <c r="D245" t="n">
        <v>11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n">
        <v/>
      </c>
      <c r="P245" t="n">
        <v/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Loan analysis</t>
        </is>
      </c>
      <c r="B246" t="inlineStr">
        <is>
          <t>A24</t>
        </is>
      </c>
      <c r="C246" t="n">
        <v>24</v>
      </c>
      <c r="D246" t="n">
        <v>1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n">
        <v/>
      </c>
      <c r="P246" t="n">
        <v/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Loan analysis</t>
        </is>
      </c>
      <c r="B247" t="inlineStr">
        <is>
          <t>B24</t>
        </is>
      </c>
      <c r="C247" t="n">
        <v>24</v>
      </c>
      <c r="D247" t="n">
        <v>2</v>
      </c>
      <c r="E247" t="inlineStr">
        <is>
          <t>Output</t>
        </is>
      </c>
      <c r="F247" t="inlineStr">
        <is>
          <t>'=IFERROR(MAX((ROW()-ROW(Data[[#Headers],[RATE]]))*0.0025+0.0175,0.0025), "")</t>
        </is>
      </c>
      <c r="G247" t="n">
        <v>0.055</v>
      </c>
      <c r="H247" t="inlineStr"/>
      <c r="I247" t="inlineStr">
        <is>
          <t>0.00%</t>
        </is>
      </c>
      <c r="J247" t="b">
        <v>0</v>
      </c>
      <c r="K247" t="b">
        <v>0</v>
      </c>
      <c r="L247" t="n">
        <v>11</v>
      </c>
      <c r="M247" t="inlineStr">
        <is>
          <t>Values must be of type &lt;class 'str'&gt;</t>
        </is>
      </c>
      <c r="N247" t="inlineStr">
        <is>
          <t>00000000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inlineStr">
        <is>
          <t>G000001</t>
        </is>
      </c>
      <c r="T247" t="inlineStr">
        <is>
          <t>Vertical</t>
        </is>
      </c>
      <c r="U247" t="n">
        <v>57</v>
      </c>
      <c r="V247" t="b">
        <v>1</v>
      </c>
      <c r="W247" t="inlineStr">
        <is>
          <t>Loan analysis!B10:B66</t>
        </is>
      </c>
      <c r="X247">
        <f>IFERROR(MAX((ROW()-ROW(Data[[#Headers],[RATE]]))*0.0025+0.0175,0.0025), "")</f>
        <v/>
      </c>
    </row>
    <row r="248">
      <c r="A248" t="inlineStr">
        <is>
          <t>Loan analysis</t>
        </is>
      </c>
      <c r="B248" t="inlineStr">
        <is>
          <t>C24</t>
        </is>
      </c>
      <c r="C248" t="n">
        <v>24</v>
      </c>
      <c r="D248" t="n">
        <v>3</v>
      </c>
      <c r="E248" t="inlineStr">
        <is>
          <t>Output</t>
        </is>
      </c>
      <c r="F248" t="inlineStr">
        <is>
          <t>'=IFERROR(PMT(INDEX(Data[],ROW()-ROW(Data[[#Headers],[3]]),1)/12,Data[[#Headers],[3]]*12,-LoanAmount,0,IF(PaymentsDue="End of Period",0,1)), "")</t>
        </is>
      </c>
      <c r="G248" t="n">
        <v>300.5813535061994</v>
      </c>
      <c r="H248" t="inlineStr"/>
      <c r="I248" t="inlineStr">
        <is>
          <t>"$"#,##0.00_);[Red]\("$"#,##0.00\)</t>
        </is>
      </c>
      <c r="J248" t="b">
        <v>0</v>
      </c>
      <c r="K248" t="b">
        <v>0</v>
      </c>
      <c r="L248" t="n">
        <v>11</v>
      </c>
      <c r="M248" t="inlineStr">
        <is>
          <t>Values must be of type &lt;class 'str'&gt;</t>
        </is>
      </c>
      <c r="N248" t="inlineStr">
        <is>
          <t>00000000</t>
        </is>
      </c>
      <c r="O248" t="inlineStr">
        <is>
          <t>center</t>
        </is>
      </c>
      <c r="P248" t="inlineStr">
        <is>
          <t>center</t>
        </is>
      </c>
      <c r="R248" t="b">
        <v>1</v>
      </c>
      <c r="S248" t="inlineStr">
        <is>
          <t>G000002</t>
        </is>
      </c>
      <c r="T248" t="inlineStr">
        <is>
          <t>Vertical</t>
        </is>
      </c>
      <c r="U248" t="n">
        <v>57</v>
      </c>
      <c r="V248" t="b">
        <v>1</v>
      </c>
      <c r="W248" t="inlineStr">
        <is>
          <t>Loan analysis!C10:C66</t>
        </is>
      </c>
      <c r="X248">
        <f>IFERROR(PMT(INDEX(Data[],ROW()-ROW(Data[[#Headers],[3]]),1)/12,Data[[#Headers],[3]]*12,-LoanAmount,0,IF(PaymentsDue="End of Period",0,1)), "")</f>
        <v/>
      </c>
    </row>
    <row r="249">
      <c r="A249" t="inlineStr">
        <is>
          <t>Loan analysis</t>
        </is>
      </c>
      <c r="B249" t="inlineStr">
        <is>
          <t>D24</t>
        </is>
      </c>
      <c r="C249" t="n">
        <v>24</v>
      </c>
      <c r="D249" t="n">
        <v>4</v>
      </c>
      <c r="E249" t="inlineStr">
        <is>
          <t>Output</t>
        </is>
      </c>
      <c r="F249" t="inlineStr">
        <is>
          <t>'=IFERROR(PMT(INDEX(Data[],ROW()-ROW(Data[[#Headers],[5]]),1)/12,Data[[#Headers],[5]]*12,-LoanAmount,0,IF(PaymentsDue="End of Period",0,1)), "")</t>
        </is>
      </c>
      <c r="G249" t="n">
        <v>190.1401460484338</v>
      </c>
      <c r="H249" t="inlineStr"/>
      <c r="I249" t="inlineStr">
        <is>
          <t>"$"#,##0.00_);[Red]\("$"#,##0.00\)</t>
        </is>
      </c>
      <c r="J249" t="b">
        <v>0</v>
      </c>
      <c r="K249" t="b">
        <v>0</v>
      </c>
      <c r="L249" t="n">
        <v>11</v>
      </c>
      <c r="M249" t="inlineStr">
        <is>
          <t>Values must be of type &lt;class 'str'&gt;</t>
        </is>
      </c>
      <c r="N249" t="inlineStr">
        <is>
          <t>00000000</t>
        </is>
      </c>
      <c r="O249" t="inlineStr">
        <is>
          <t>center</t>
        </is>
      </c>
      <c r="P249" t="inlineStr">
        <is>
          <t>center</t>
        </is>
      </c>
      <c r="R249" t="b">
        <v>1</v>
      </c>
      <c r="S249" t="inlineStr">
        <is>
          <t>G000003</t>
        </is>
      </c>
      <c r="T249" t="inlineStr">
        <is>
          <t>Vertical</t>
        </is>
      </c>
      <c r="U249" t="n">
        <v>57</v>
      </c>
      <c r="V249" t="b">
        <v>1</v>
      </c>
      <c r="W249" t="inlineStr">
        <is>
          <t>Loan analysis!D10:D66</t>
        </is>
      </c>
      <c r="X249">
        <f>IFERROR(PMT(INDEX(Data[],ROW()-ROW(Data[[#Headers],[5]]),1)/12,Data[[#Headers],[5]]*12,-LoanAmount,0,IF(PaymentsDue="End of Period",0,1)), "")</f>
        <v/>
      </c>
    </row>
    <row r="250">
      <c r="A250" t="inlineStr">
        <is>
          <t>Loan analysis</t>
        </is>
      </c>
      <c r="B250" t="inlineStr">
        <is>
          <t>E24</t>
        </is>
      </c>
      <c r="C250" t="n">
        <v>24</v>
      </c>
      <c r="D250" t="n">
        <v>5</v>
      </c>
      <c r="E250" t="inlineStr">
        <is>
          <t>Output</t>
        </is>
      </c>
      <c r="F250" t="inlineStr">
        <is>
          <t>'=IFERROR(PMT(INDEX(Data[],ROW()-ROW(Data[[#Headers],[10]]),1)/12,Data[[#Headers],[10]]*12,-LoanAmount,0,IF(PaymentsDue="End of Period",0,1)), "")</t>
        </is>
      </c>
      <c r="G250" t="n">
        <v>108.0311352572185</v>
      </c>
      <c r="H250" t="inlineStr"/>
      <c r="I250" t="inlineStr">
        <is>
          <t>"$"#,##0.00_);[Red]\("$"#,##0.00\)</t>
        </is>
      </c>
      <c r="J250" t="b">
        <v>0</v>
      </c>
      <c r="K250" t="b">
        <v>0</v>
      </c>
      <c r="L250" t="n">
        <v>11</v>
      </c>
      <c r="M250" t="inlineStr">
        <is>
          <t>Values must be of type &lt;class 'str'&gt;</t>
        </is>
      </c>
      <c r="N250" t="inlineStr">
        <is>
          <t>00000000</t>
        </is>
      </c>
      <c r="O250" t="inlineStr">
        <is>
          <t>center</t>
        </is>
      </c>
      <c r="P250" t="inlineStr">
        <is>
          <t>center</t>
        </is>
      </c>
      <c r="R250" t="b">
        <v>1</v>
      </c>
      <c r="S250" t="inlineStr">
        <is>
          <t>G000004</t>
        </is>
      </c>
      <c r="T250" t="inlineStr">
        <is>
          <t>Vertical</t>
        </is>
      </c>
      <c r="U250" t="n">
        <v>57</v>
      </c>
      <c r="V250" t="b">
        <v>1</v>
      </c>
      <c r="W250" t="inlineStr">
        <is>
          <t>Loan analysis!E10:E66</t>
        </is>
      </c>
      <c r="X250">
        <f>IFERROR(PMT(INDEX(Data[],ROW()-ROW(Data[[#Headers],[10]]),1)/12,Data[[#Headers],[10]]*12,-LoanAmount,0,IF(PaymentsDue="End of Period",0,1)), "")</f>
        <v/>
      </c>
    </row>
    <row r="251">
      <c r="A251" t="inlineStr">
        <is>
          <t>Loan analysis</t>
        </is>
      </c>
      <c r="B251" t="inlineStr">
        <is>
          <t>F24</t>
        </is>
      </c>
      <c r="C251" t="n">
        <v>24</v>
      </c>
      <c r="D251" t="n">
        <v>6</v>
      </c>
      <c r="E251" t="inlineStr">
        <is>
          <t>Output</t>
        </is>
      </c>
      <c r="F251" t="inlineStr">
        <is>
          <t>'=IFERROR(PMT(INDEX(Data[],ROW()-ROW(Data[[#Headers],[12]]),1)/12,Data[[#Headers],[12]]*12,-LoanAmount,0,IF(PaymentsDue="End of Period",0,1)), "")</t>
        </is>
      </c>
      <c r="G251" t="n">
        <v>94.58370823267036</v>
      </c>
      <c r="H251" t="inlineStr"/>
      <c r="I251" t="inlineStr">
        <is>
          <t>"$"#,##0.00_);[Red]\("$"#,##0.00\)</t>
        </is>
      </c>
      <c r="J251" t="b">
        <v>0</v>
      </c>
      <c r="K251" t="b">
        <v>0</v>
      </c>
      <c r="L251" t="n">
        <v>11</v>
      </c>
      <c r="M251" t="inlineStr">
        <is>
          <t>Values must be of type &lt;class 'str'&gt;</t>
        </is>
      </c>
      <c r="N251" t="inlineStr">
        <is>
          <t>00000000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inlineStr">
        <is>
          <t>G000005</t>
        </is>
      </c>
      <c r="T251" t="inlineStr">
        <is>
          <t>Vertical</t>
        </is>
      </c>
      <c r="U251" t="n">
        <v>57</v>
      </c>
      <c r="V251" t="b">
        <v>1</v>
      </c>
      <c r="W251" t="inlineStr">
        <is>
          <t>Loan analysis!F10:F66</t>
        </is>
      </c>
      <c r="X251">
        <f>IFERROR(PMT(INDEX(Data[],ROW()-ROW(Data[[#Headers],[12]]),1)/12,Data[[#Headers],[12]]*12,-LoanAmount,0,IF(PaymentsDue="End of Period",0,1)), "")</f>
        <v/>
      </c>
    </row>
    <row r="252">
      <c r="A252" t="inlineStr">
        <is>
          <t>Loan analysis</t>
        </is>
      </c>
      <c r="B252" t="inlineStr">
        <is>
          <t>G24</t>
        </is>
      </c>
      <c r="C252" t="n">
        <v>24</v>
      </c>
      <c r="D252" t="n">
        <v>7</v>
      </c>
      <c r="E252" t="inlineStr">
        <is>
          <t>Output</t>
        </is>
      </c>
      <c r="F252" t="inlineStr">
        <is>
          <t>'=IFERROR(PMT(INDEX(Data[],ROW()-ROW(Data[[#Headers],[15]]),1)/12,Data[[#Headers],[15]]*12,-LoanAmount,0,IF(PaymentsDue="End of Period",0,1)), "")</t>
        </is>
      </c>
      <c r="G252" t="n">
        <v>81.33555749028346</v>
      </c>
      <c r="H252" t="inlineStr"/>
      <c r="I252" t="inlineStr">
        <is>
          <t>"$"#,##0.00_);[Red]\("$"#,##0.00\)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00000000</t>
        </is>
      </c>
      <c r="O252" t="inlineStr">
        <is>
          <t>center</t>
        </is>
      </c>
      <c r="P252" t="inlineStr">
        <is>
          <t>center</t>
        </is>
      </c>
      <c r="R252" t="b">
        <v>1</v>
      </c>
      <c r="S252" t="inlineStr">
        <is>
          <t>G000006</t>
        </is>
      </c>
      <c r="T252" t="inlineStr">
        <is>
          <t>Vertical</t>
        </is>
      </c>
      <c r="U252" t="n">
        <v>57</v>
      </c>
      <c r="V252" t="b">
        <v>1</v>
      </c>
      <c r="W252" t="inlineStr">
        <is>
          <t>Loan analysis!G10:G66</t>
        </is>
      </c>
      <c r="X252">
        <f>IFERROR(PMT(INDEX(Data[],ROW()-ROW(Data[[#Headers],[15]]),1)/12,Data[[#Headers],[15]]*12,-LoanAmount,0,IF(PaymentsDue="End of Period",0,1)), "")</f>
        <v/>
      </c>
    </row>
    <row r="253">
      <c r="A253" t="inlineStr">
        <is>
          <t>Loan analysis</t>
        </is>
      </c>
      <c r="B253" t="inlineStr">
        <is>
          <t>H24</t>
        </is>
      </c>
      <c r="C253" t="n">
        <v>24</v>
      </c>
      <c r="D253" t="n">
        <v>8</v>
      </c>
      <c r="E253" t="inlineStr">
        <is>
          <t>Output</t>
        </is>
      </c>
      <c r="F253" t="inlineStr">
        <is>
          <t>'=IFERROR(PMT(INDEX(Data[],ROW()-ROW(Data[[#Headers],[20]]),1)/12,Data[[#Headers],[20]]*12,-LoanAmount,0,IF(PaymentsDue="End of Period",0,1)), "")</t>
        </is>
      </c>
      <c r="G253" t="n">
        <v>68.47488755131367</v>
      </c>
      <c r="H253" t="inlineStr"/>
      <c r="I253" t="inlineStr">
        <is>
          <t>"$"#,##0.00_);[Red]\("$"#,##0.00\)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00000000</t>
        </is>
      </c>
      <c r="O253" t="inlineStr">
        <is>
          <t>center</t>
        </is>
      </c>
      <c r="P253" t="inlineStr">
        <is>
          <t>center</t>
        </is>
      </c>
      <c r="R253" t="b">
        <v>1</v>
      </c>
      <c r="S253" t="inlineStr">
        <is>
          <t>G000007</t>
        </is>
      </c>
      <c r="T253" t="inlineStr">
        <is>
          <t>Vertical</t>
        </is>
      </c>
      <c r="U253" t="n">
        <v>57</v>
      </c>
      <c r="V253" t="b">
        <v>1</v>
      </c>
      <c r="W253" t="inlineStr">
        <is>
          <t>Loan analysis!H10:H66</t>
        </is>
      </c>
      <c r="X253">
        <f>IFERROR(PMT(INDEX(Data[],ROW()-ROW(Data[[#Headers],[20]]),1)/12,Data[[#Headers],[20]]*12,-LoanAmount,0,IF(PaymentsDue="End of Period",0,1)), "")</f>
        <v/>
      </c>
    </row>
    <row r="254">
      <c r="A254" t="inlineStr">
        <is>
          <t>Loan analysis</t>
        </is>
      </c>
      <c r="B254" t="inlineStr">
        <is>
          <t>I24</t>
        </is>
      </c>
      <c r="C254" t="n">
        <v>24</v>
      </c>
      <c r="D254" t="n">
        <v>9</v>
      </c>
      <c r="E254" t="inlineStr">
        <is>
          <t>Output</t>
        </is>
      </c>
      <c r="F254" t="inlineStr">
        <is>
          <t>'=IFERROR(PMT(INDEX(Data[],ROW()-ROW(Data[[#Headers],[25]]),1)/12,Data[[#Headers],[25]]*12,-LoanAmount,0,IF(PaymentsDue="End of Period",0,1)), "")</t>
        </is>
      </c>
      <c r="G254" t="n">
        <v>61.12857658546365</v>
      </c>
      <c r="H254" t="inlineStr"/>
      <c r="I254" t="inlineStr">
        <is>
          <t>"$"#,##0.00_);[Red]\("$"#,##0.00\)</t>
        </is>
      </c>
      <c r="J254" t="b">
        <v>0</v>
      </c>
      <c r="K254" t="b">
        <v>0</v>
      </c>
      <c r="L254" t="n">
        <v>11</v>
      </c>
      <c r="M254" t="inlineStr">
        <is>
          <t>Values must be of type &lt;class 'str'&gt;</t>
        </is>
      </c>
      <c r="N254" t="inlineStr">
        <is>
          <t>00000000</t>
        </is>
      </c>
      <c r="O254" t="inlineStr">
        <is>
          <t>center</t>
        </is>
      </c>
      <c r="P254" t="inlineStr">
        <is>
          <t>center</t>
        </is>
      </c>
      <c r="R254" t="b">
        <v>1</v>
      </c>
      <c r="S254" t="inlineStr">
        <is>
          <t>G000008</t>
        </is>
      </c>
      <c r="T254" t="inlineStr">
        <is>
          <t>Vertical</t>
        </is>
      </c>
      <c r="U254" t="n">
        <v>57</v>
      </c>
      <c r="V254" t="b">
        <v>1</v>
      </c>
      <c r="W254" t="inlineStr">
        <is>
          <t>Loan analysis!I10:I66</t>
        </is>
      </c>
      <c r="X254">
        <f>IFERROR(PMT(INDEX(Data[],ROW()-ROW(Data[[#Headers],[25]]),1)/12,Data[[#Headers],[25]]*12,-LoanAmount,0,IF(PaymentsDue="End of Period",0,1)), "")</f>
        <v/>
      </c>
    </row>
    <row r="255">
      <c r="A255" t="inlineStr">
        <is>
          <t>Loan analysis</t>
        </is>
      </c>
      <c r="B255" t="inlineStr">
        <is>
          <t>J24</t>
        </is>
      </c>
      <c r="C255" t="n">
        <v>24</v>
      </c>
      <c r="D255" t="n">
        <v>10</v>
      </c>
      <c r="E255" t="inlineStr">
        <is>
          <t>Output</t>
        </is>
      </c>
      <c r="F255" t="inlineStr">
        <is>
          <t>'=IFERROR(PMT(INDEX(Data[],ROW()-ROW(Data[[#Headers],[30]]),1)/12,Data[[#Headers],[30]]*12,-LoanAmount,0,IF(PaymentsDue="End of Period",0,1)), "")</t>
        </is>
      </c>
      <c r="G255" t="n">
        <v>56.51985081844906</v>
      </c>
      <c r="H255" t="inlineStr"/>
      <c r="I255" t="inlineStr">
        <is>
          <t>"$"#,##0.00_);[Red]\("$"#,##0.00\)</t>
        </is>
      </c>
      <c r="J255" t="b">
        <v>0</v>
      </c>
      <c r="K255" t="b">
        <v>0</v>
      </c>
      <c r="L255" t="n">
        <v>11</v>
      </c>
      <c r="M255" t="inlineStr">
        <is>
          <t>Values must be of type &lt;class 'str'&gt;</t>
        </is>
      </c>
      <c r="N255" t="inlineStr">
        <is>
          <t>00000000</t>
        </is>
      </c>
      <c r="O255" t="inlineStr">
        <is>
          <t>center</t>
        </is>
      </c>
      <c r="P255" t="inlineStr">
        <is>
          <t>center</t>
        </is>
      </c>
      <c r="R255" t="b">
        <v>1</v>
      </c>
      <c r="S255" t="inlineStr">
        <is>
          <t>G000009</t>
        </is>
      </c>
      <c r="T255" t="inlineStr">
        <is>
          <t>Vertical</t>
        </is>
      </c>
      <c r="U255" t="n">
        <v>57</v>
      </c>
      <c r="V255" t="b">
        <v>1</v>
      </c>
      <c r="W255" t="inlineStr">
        <is>
          <t>Loan analysis!J10:J66</t>
        </is>
      </c>
      <c r="X255">
        <f>IFERROR(PMT(INDEX(Data[],ROW()-ROW(Data[[#Headers],[30]]),1)/12,Data[[#Headers],[30]]*12,-LoanAmount,0,IF(PaymentsDue="End of Period",0,1)), "")</f>
        <v/>
      </c>
    </row>
    <row r="256">
      <c r="A256" t="inlineStr">
        <is>
          <t>Loan analysis</t>
        </is>
      </c>
      <c r="B256" t="inlineStr">
        <is>
          <t>K24</t>
        </is>
      </c>
      <c r="C256" t="n">
        <v>24</v>
      </c>
      <c r="D256" t="n">
        <v>11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11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n">
        <v/>
      </c>
      <c r="P256" t="n">
        <v/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Loan analysis</t>
        </is>
      </c>
      <c r="B257" t="inlineStr">
        <is>
          <t>A25</t>
        </is>
      </c>
      <c r="C257" t="n">
        <v>25</v>
      </c>
      <c r="D257" t="n">
        <v>1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11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n">
        <v/>
      </c>
      <c r="P257" t="n">
        <v/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Loan analysis</t>
        </is>
      </c>
      <c r="B258" t="inlineStr">
        <is>
          <t>B25</t>
        </is>
      </c>
      <c r="C258" t="n">
        <v>25</v>
      </c>
      <c r="D258" t="n">
        <v>2</v>
      </c>
      <c r="E258" t="inlineStr">
        <is>
          <t>Output</t>
        </is>
      </c>
      <c r="F258" t="inlineStr">
        <is>
          <t>'=IFERROR(MAX((ROW()-ROW(Data[[#Headers],[RATE]]))*0.0025+0.0175,0.0025), "")</t>
        </is>
      </c>
      <c r="G258" t="n">
        <v>0.0575</v>
      </c>
      <c r="H258" t="inlineStr"/>
      <c r="I258" t="inlineStr">
        <is>
          <t>0.00%</t>
        </is>
      </c>
      <c r="J258" t="b">
        <v>0</v>
      </c>
      <c r="K258" t="b">
        <v>0</v>
      </c>
      <c r="L258" t="n">
        <v>11</v>
      </c>
      <c r="M258" t="inlineStr">
        <is>
          <t>Values must be of type &lt;class 'str'&gt;</t>
        </is>
      </c>
      <c r="N258" t="inlineStr">
        <is>
          <t>00000000</t>
        </is>
      </c>
      <c r="O258" t="inlineStr">
        <is>
          <t>center</t>
        </is>
      </c>
      <c r="P258" t="inlineStr">
        <is>
          <t>center</t>
        </is>
      </c>
      <c r="R258" t="b">
        <v>1</v>
      </c>
      <c r="S258" t="inlineStr">
        <is>
          <t>G000001</t>
        </is>
      </c>
      <c r="T258" t="inlineStr">
        <is>
          <t>Vertical</t>
        </is>
      </c>
      <c r="U258" t="n">
        <v>57</v>
      </c>
      <c r="V258" t="b">
        <v>1</v>
      </c>
      <c r="W258" t="inlineStr">
        <is>
          <t>Loan analysis!B10:B66</t>
        </is>
      </c>
      <c r="X258">
        <f>IFERROR(MAX((ROW()-ROW(Data[[#Headers],[RATE]]))*0.0025+0.0175,0.0025), "")</f>
        <v/>
      </c>
    </row>
    <row r="259">
      <c r="A259" t="inlineStr">
        <is>
          <t>Loan analysis</t>
        </is>
      </c>
      <c r="B259" t="inlineStr">
        <is>
          <t>C25</t>
        </is>
      </c>
      <c r="C259" t="n">
        <v>25</v>
      </c>
      <c r="D259" t="n">
        <v>3</v>
      </c>
      <c r="E259" t="inlineStr">
        <is>
          <t>Output</t>
        </is>
      </c>
      <c r="F259" t="inlineStr">
        <is>
          <t>'=IFERROR(PMT(INDEX(Data[],ROW()-ROW(Data[[#Headers],[3]]),1)/12,Data[[#Headers],[3]]*12,-LoanAmount,0,IF(PaymentsDue="End of Period",0,1)), "")</t>
        </is>
      </c>
      <c r="G259" t="n">
        <v>301.6425378219598</v>
      </c>
      <c r="H259" t="inlineStr"/>
      <c r="I259" t="inlineStr">
        <is>
          <t>"$"#,##0.00_);[Red]\("$"#,##0.00\)</t>
        </is>
      </c>
      <c r="J259" t="b">
        <v>0</v>
      </c>
      <c r="K259" t="b">
        <v>0</v>
      </c>
      <c r="L259" t="n">
        <v>11</v>
      </c>
      <c r="M259" t="inlineStr">
        <is>
          <t>Values must be of type &lt;class 'str'&gt;</t>
        </is>
      </c>
      <c r="N259" t="inlineStr">
        <is>
          <t>00000000</t>
        </is>
      </c>
      <c r="O259" t="inlineStr">
        <is>
          <t>center</t>
        </is>
      </c>
      <c r="P259" t="inlineStr">
        <is>
          <t>center</t>
        </is>
      </c>
      <c r="R259" t="b">
        <v>1</v>
      </c>
      <c r="S259" t="inlineStr">
        <is>
          <t>G000002</t>
        </is>
      </c>
      <c r="T259" t="inlineStr">
        <is>
          <t>Vertical</t>
        </is>
      </c>
      <c r="U259" t="n">
        <v>57</v>
      </c>
      <c r="V259" t="b">
        <v>1</v>
      </c>
      <c r="W259" t="inlineStr">
        <is>
          <t>Loan analysis!C10:C66</t>
        </is>
      </c>
      <c r="X259">
        <f>IFERROR(PMT(INDEX(Data[],ROW()-ROW(Data[[#Headers],[3]]),1)/12,Data[[#Headers],[3]]*12,-LoanAmount,0,IF(PaymentsDue="End of Period",0,1)), "")</f>
        <v/>
      </c>
    </row>
    <row r="260">
      <c r="A260" t="inlineStr">
        <is>
          <t>Loan analysis</t>
        </is>
      </c>
      <c r="B260" t="inlineStr">
        <is>
          <t>D25</t>
        </is>
      </c>
      <c r="C260" t="n">
        <v>25</v>
      </c>
      <c r="D260" t="n">
        <v>4</v>
      </c>
      <c r="E260" t="inlineStr">
        <is>
          <t>Output</t>
        </is>
      </c>
      <c r="F260" t="inlineStr">
        <is>
          <t>'=IFERROR(PMT(INDEX(Data[],ROW()-ROW(Data[[#Headers],[5]]),1)/12,Data[[#Headers],[5]]*12,-LoanAmount,0,IF(PaymentsDue="End of Period",0,1)), "")</t>
        </is>
      </c>
      <c r="G260" t="n">
        <v>191.2512697734243</v>
      </c>
      <c r="H260" t="inlineStr"/>
      <c r="I260" t="inlineStr">
        <is>
          <t>"$"#,##0.00_);[Red]\("$"#,##0.00\)</t>
        </is>
      </c>
      <c r="J260" t="b">
        <v>0</v>
      </c>
      <c r="K260" t="b">
        <v>0</v>
      </c>
      <c r="L260" t="n">
        <v>11</v>
      </c>
      <c r="M260" t="inlineStr">
        <is>
          <t>Values must be of type &lt;class 'str'&gt;</t>
        </is>
      </c>
      <c r="N260" t="inlineStr">
        <is>
          <t>00000000</t>
        </is>
      </c>
      <c r="O260" t="inlineStr">
        <is>
          <t>center</t>
        </is>
      </c>
      <c r="P260" t="inlineStr">
        <is>
          <t>center</t>
        </is>
      </c>
      <c r="R260" t="b">
        <v>1</v>
      </c>
      <c r="S260" t="inlineStr">
        <is>
          <t>G000003</t>
        </is>
      </c>
      <c r="T260" t="inlineStr">
        <is>
          <t>Vertical</t>
        </is>
      </c>
      <c r="U260" t="n">
        <v>57</v>
      </c>
      <c r="V260" t="b">
        <v>1</v>
      </c>
      <c r="W260" t="inlineStr">
        <is>
          <t>Loan analysis!D10:D66</t>
        </is>
      </c>
      <c r="X260">
        <f>IFERROR(PMT(INDEX(Data[],ROW()-ROW(Data[[#Headers],[5]]),1)/12,Data[[#Headers],[5]]*12,-LoanAmount,0,IF(PaymentsDue="End of Period",0,1)), "")</f>
        <v/>
      </c>
    </row>
    <row r="261">
      <c r="A261" t="inlineStr">
        <is>
          <t>Loan analysis</t>
        </is>
      </c>
      <c r="B261" t="inlineStr">
        <is>
          <t>E25</t>
        </is>
      </c>
      <c r="C261" t="n">
        <v>25</v>
      </c>
      <c r="D261" t="n">
        <v>5</v>
      </c>
      <c r="E261" t="inlineStr">
        <is>
          <t>Output</t>
        </is>
      </c>
      <c r="F261" t="inlineStr">
        <is>
          <t>'=IFERROR(PMT(INDEX(Data[],ROW()-ROW(Data[[#Headers],[10]]),1)/12,Data[[#Headers],[10]]*12,-LoanAmount,0,IF(PaymentsDue="End of Period",0,1)), "")</t>
        </is>
      </c>
      <c r="G261" t="n">
        <v>109.2457508464967</v>
      </c>
      <c r="H261" t="inlineStr"/>
      <c r="I261" t="inlineStr">
        <is>
          <t>"$"#,##0.00_);[Red]\("$"#,##0.00\)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00000000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inlineStr">
        <is>
          <t>G000004</t>
        </is>
      </c>
      <c r="T261" t="inlineStr">
        <is>
          <t>Vertical</t>
        </is>
      </c>
      <c r="U261" t="n">
        <v>57</v>
      </c>
      <c r="V261" t="b">
        <v>1</v>
      </c>
      <c r="W261" t="inlineStr">
        <is>
          <t>Loan analysis!E10:E66</t>
        </is>
      </c>
      <c r="X261">
        <f>IFERROR(PMT(INDEX(Data[],ROW()-ROW(Data[[#Headers],[10]]),1)/12,Data[[#Headers],[10]]*12,-LoanAmount,0,IF(PaymentsDue="End of Period",0,1)), "")</f>
        <v/>
      </c>
    </row>
    <row r="262">
      <c r="A262" t="inlineStr">
        <is>
          <t>Loan analysis</t>
        </is>
      </c>
      <c r="B262" t="inlineStr">
        <is>
          <t>F25</t>
        </is>
      </c>
      <c r="C262" t="n">
        <v>25</v>
      </c>
      <c r="D262" t="n">
        <v>6</v>
      </c>
      <c r="E262" t="inlineStr">
        <is>
          <t>Output</t>
        </is>
      </c>
      <c r="F262" t="inlineStr">
        <is>
          <t>'=IFERROR(PMT(INDEX(Data[],ROW()-ROW(Data[[#Headers],[12]]),1)/12,Data[[#Headers],[12]]*12,-LoanAmount,0,IF(PaymentsDue="End of Period",0,1)), "")</t>
        </is>
      </c>
      <c r="G262" t="n">
        <v>95.83696776121339</v>
      </c>
      <c r="H262" t="inlineStr"/>
      <c r="I262" t="inlineStr">
        <is>
          <t>"$"#,##0.00_);[Red]\("$"#,##0.00\)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00000000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inlineStr">
        <is>
          <t>G000005</t>
        </is>
      </c>
      <c r="T262" t="inlineStr">
        <is>
          <t>Vertical</t>
        </is>
      </c>
      <c r="U262" t="n">
        <v>57</v>
      </c>
      <c r="V262" t="b">
        <v>1</v>
      </c>
      <c r="W262" t="inlineStr">
        <is>
          <t>Loan analysis!F10:F66</t>
        </is>
      </c>
      <c r="X262">
        <f>IFERROR(PMT(INDEX(Data[],ROW()-ROW(Data[[#Headers],[12]]),1)/12,Data[[#Headers],[12]]*12,-LoanAmount,0,IF(PaymentsDue="End of Period",0,1)), "")</f>
        <v/>
      </c>
    </row>
    <row r="263">
      <c r="A263" t="inlineStr">
        <is>
          <t>Loan analysis</t>
        </is>
      </c>
      <c r="B263" t="inlineStr">
        <is>
          <t>G25</t>
        </is>
      </c>
      <c r="C263" t="n">
        <v>25</v>
      </c>
      <c r="D263" t="n">
        <v>7</v>
      </c>
      <c r="E263" t="inlineStr">
        <is>
          <t>Output</t>
        </is>
      </c>
      <c r="F263" t="inlineStr">
        <is>
          <t>'=IFERROR(PMT(INDEX(Data[],ROW()-ROW(Data[[#Headers],[15]]),1)/12,Data[[#Headers],[15]]*12,-LoanAmount,0,IF(PaymentsDue="End of Period",0,1)), "")</t>
        </is>
      </c>
      <c r="G263" t="n">
        <v>82.64500140357447</v>
      </c>
      <c r="H263" t="inlineStr"/>
      <c r="I263" t="inlineStr">
        <is>
          <t>"$"#,##0.00_);[Red]\("$"#,##0.00\)</t>
        </is>
      </c>
      <c r="J263" t="b">
        <v>0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00000000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inlineStr">
        <is>
          <t>G000006</t>
        </is>
      </c>
      <c r="T263" t="inlineStr">
        <is>
          <t>Vertical</t>
        </is>
      </c>
      <c r="U263" t="n">
        <v>57</v>
      </c>
      <c r="V263" t="b">
        <v>1</v>
      </c>
      <c r="W263" t="inlineStr">
        <is>
          <t>Loan analysis!G10:G66</t>
        </is>
      </c>
      <c r="X263">
        <f>IFERROR(PMT(INDEX(Data[],ROW()-ROW(Data[[#Headers],[15]]),1)/12,Data[[#Headers],[15]]*12,-LoanAmount,0,IF(PaymentsDue="End of Period",0,1)), "")</f>
        <v/>
      </c>
    </row>
    <row r="264">
      <c r="A264" t="inlineStr">
        <is>
          <t>Loan analysis</t>
        </is>
      </c>
      <c r="B264" t="inlineStr">
        <is>
          <t>H25</t>
        </is>
      </c>
      <c r="C264" t="n">
        <v>25</v>
      </c>
      <c r="D264" t="n">
        <v>8</v>
      </c>
      <c r="E264" t="inlineStr">
        <is>
          <t>Output</t>
        </is>
      </c>
      <c r="F264" t="inlineStr">
        <is>
          <t>'=IFERROR(PMT(INDEX(Data[],ROW()-ROW(Data[[#Headers],[20]]),1)/12,Data[[#Headers],[20]]*12,-LoanAmount,0,IF(PaymentsDue="End of Period",0,1)), "")</t>
        </is>
      </c>
      <c r="G264" t="n">
        <v>69.87354007424965</v>
      </c>
      <c r="H264" t="inlineStr"/>
      <c r="I264" t="inlineStr">
        <is>
          <t>"$"#,##0.00_);[Red]\("$"#,##0.00\)</t>
        </is>
      </c>
      <c r="J264" t="b">
        <v>0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00000000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inlineStr">
        <is>
          <t>G000007</t>
        </is>
      </c>
      <c r="T264" t="inlineStr">
        <is>
          <t>Vertical</t>
        </is>
      </c>
      <c r="U264" t="n">
        <v>57</v>
      </c>
      <c r="V264" t="b">
        <v>1</v>
      </c>
      <c r="W264" t="inlineStr">
        <is>
          <t>Loan analysis!H10:H66</t>
        </is>
      </c>
      <c r="X264">
        <f>IFERROR(PMT(INDEX(Data[],ROW()-ROW(Data[[#Headers],[20]]),1)/12,Data[[#Headers],[20]]*12,-LoanAmount,0,IF(PaymentsDue="End of Period",0,1)), "")</f>
        <v/>
      </c>
    </row>
    <row r="265">
      <c r="A265" t="inlineStr">
        <is>
          <t>Loan analysis</t>
        </is>
      </c>
      <c r="B265" t="inlineStr">
        <is>
          <t>I25</t>
        </is>
      </c>
      <c r="C265" t="n">
        <v>25</v>
      </c>
      <c r="D265" t="n">
        <v>9</v>
      </c>
      <c r="E265" t="inlineStr">
        <is>
          <t>Output</t>
        </is>
      </c>
      <c r="F265" t="inlineStr">
        <is>
          <t>'=IFERROR(PMT(INDEX(Data[],ROW()-ROW(Data[[#Headers],[25]]),1)/12,Data[[#Headers],[25]]*12,-LoanAmount,0,IF(PaymentsDue="End of Period",0,1)), "")</t>
        </is>
      </c>
      <c r="G265" t="n">
        <v>62.61063096887329</v>
      </c>
      <c r="H265" t="inlineStr"/>
      <c r="I265" t="inlineStr">
        <is>
          <t>"$"#,##0.00_);[Red]\("$"#,##0.00\)</t>
        </is>
      </c>
      <c r="J265" t="b">
        <v>0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00000000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inlineStr">
        <is>
          <t>G000008</t>
        </is>
      </c>
      <c r="T265" t="inlineStr">
        <is>
          <t>Vertical</t>
        </is>
      </c>
      <c r="U265" t="n">
        <v>57</v>
      </c>
      <c r="V265" t="b">
        <v>1</v>
      </c>
      <c r="W265" t="inlineStr">
        <is>
          <t>Loan analysis!I10:I66</t>
        </is>
      </c>
      <c r="X265">
        <f>IFERROR(PMT(INDEX(Data[],ROW()-ROW(Data[[#Headers],[25]]),1)/12,Data[[#Headers],[25]]*12,-LoanAmount,0,IF(PaymentsDue="End of Period",0,1)), "")</f>
        <v/>
      </c>
    </row>
    <row r="266">
      <c r="A266" t="inlineStr">
        <is>
          <t>Loan analysis</t>
        </is>
      </c>
      <c r="B266" t="inlineStr">
        <is>
          <t>J25</t>
        </is>
      </c>
      <c r="C266" t="n">
        <v>25</v>
      </c>
      <c r="D266" t="n">
        <v>10</v>
      </c>
      <c r="E266" t="inlineStr">
        <is>
          <t>Output</t>
        </is>
      </c>
      <c r="F266" t="inlineStr">
        <is>
          <t>'=IFERROR(PMT(INDEX(Data[],ROW()-ROW(Data[[#Headers],[30]]),1)/12,Data[[#Headers],[30]]*12,-LoanAmount,0,IF(PaymentsDue="End of Period",0,1)), "")</t>
        </is>
      </c>
      <c r="G266" t="n">
        <v>58.07899048163082</v>
      </c>
      <c r="H266" t="inlineStr"/>
      <c r="I266" t="inlineStr">
        <is>
          <t>"$"#,##0.00_);[Red]\("$"#,##0.00\)</t>
        </is>
      </c>
      <c r="J266" t="b">
        <v>0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00000000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inlineStr">
        <is>
          <t>G000009</t>
        </is>
      </c>
      <c r="T266" t="inlineStr">
        <is>
          <t>Vertical</t>
        </is>
      </c>
      <c r="U266" t="n">
        <v>57</v>
      </c>
      <c r="V266" t="b">
        <v>1</v>
      </c>
      <c r="W266" t="inlineStr">
        <is>
          <t>Loan analysis!J10:J66</t>
        </is>
      </c>
      <c r="X266">
        <f>IFERROR(PMT(INDEX(Data[],ROW()-ROW(Data[[#Headers],[30]]),1)/12,Data[[#Headers],[30]]*12,-LoanAmount,0,IF(PaymentsDue="End of Period",0,1)), "")</f>
        <v/>
      </c>
    </row>
    <row r="267">
      <c r="A267" t="inlineStr">
        <is>
          <t>Loan analysis</t>
        </is>
      </c>
      <c r="B267" t="inlineStr">
        <is>
          <t>K25</t>
        </is>
      </c>
      <c r="C267" t="n">
        <v>25</v>
      </c>
      <c r="D267" t="n">
        <v>11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n">
        <v/>
      </c>
      <c r="P267" t="n">
        <v/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Loan analysis</t>
        </is>
      </c>
      <c r="B268" t="inlineStr">
        <is>
          <t>A26</t>
        </is>
      </c>
      <c r="C268" t="n">
        <v>26</v>
      </c>
      <c r="D268" t="n">
        <v>1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n">
        <v/>
      </c>
      <c r="P268" t="n">
        <v/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Loan analysis</t>
        </is>
      </c>
      <c r="B269" t="inlineStr">
        <is>
          <t>B26</t>
        </is>
      </c>
      <c r="C269" t="n">
        <v>26</v>
      </c>
      <c r="D269" t="n">
        <v>2</v>
      </c>
      <c r="E269" t="inlineStr">
        <is>
          <t>Output</t>
        </is>
      </c>
      <c r="F269" t="inlineStr">
        <is>
          <t>'=IFERROR(MAX((ROW()-ROW(Data[[#Headers],[RATE]]))*0.0025+0.0175,0.0025), "")</t>
        </is>
      </c>
      <c r="G269" t="n">
        <v>0.06</v>
      </c>
      <c r="H269" t="inlineStr"/>
      <c r="I269" t="inlineStr">
        <is>
          <t>0.00%</t>
        </is>
      </c>
      <c r="J269" t="b">
        <v>0</v>
      </c>
      <c r="K269" t="b">
        <v>0</v>
      </c>
      <c r="L269" t="n">
        <v>11</v>
      </c>
      <c r="M269" t="inlineStr">
        <is>
          <t>Values must be of type &lt;class 'str'&gt;</t>
        </is>
      </c>
      <c r="N269" t="inlineStr">
        <is>
          <t>00000000</t>
        </is>
      </c>
      <c r="O269" t="inlineStr">
        <is>
          <t>center</t>
        </is>
      </c>
      <c r="P269" t="inlineStr">
        <is>
          <t>center</t>
        </is>
      </c>
      <c r="R269" t="b">
        <v>1</v>
      </c>
      <c r="S269" t="inlineStr">
        <is>
          <t>G000001</t>
        </is>
      </c>
      <c r="T269" t="inlineStr">
        <is>
          <t>Vertical</t>
        </is>
      </c>
      <c r="U269" t="n">
        <v>57</v>
      </c>
      <c r="V269" t="b">
        <v>1</v>
      </c>
      <c r="W269" t="inlineStr">
        <is>
          <t>Loan analysis!B10:B66</t>
        </is>
      </c>
      <c r="X269">
        <f>IFERROR(MAX((ROW()-ROW(Data[[#Headers],[RATE]]))*0.0025+0.0175,0.0025), "")</f>
        <v/>
      </c>
    </row>
    <row r="270">
      <c r="A270" t="inlineStr">
        <is>
          <t>Loan analysis</t>
        </is>
      </c>
      <c r="B270" t="inlineStr">
        <is>
          <t>C26</t>
        </is>
      </c>
      <c r="C270" t="n">
        <v>26</v>
      </c>
      <c r="D270" t="n">
        <v>3</v>
      </c>
      <c r="E270" t="inlineStr">
        <is>
          <t>Output</t>
        </is>
      </c>
      <c r="F270" t="inlineStr">
        <is>
          <t>'=IFERROR(PMT(INDEX(Data[],ROW()-ROW(Data[[#Headers],[3]]),1)/12,Data[[#Headers],[3]]*12,-LoanAmount,0,IF(PaymentsDue="End of Period",0,1)), "")</t>
        </is>
      </c>
      <c r="G270" t="n">
        <v>302.7058452891056</v>
      </c>
      <c r="H270" t="inlineStr"/>
      <c r="I270" t="inlineStr">
        <is>
          <t>"$"#,##0.00_);[Red]\("$"#,##0.00\)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00000000</t>
        </is>
      </c>
      <c r="O270" t="inlineStr">
        <is>
          <t>center</t>
        </is>
      </c>
      <c r="P270" t="inlineStr">
        <is>
          <t>center</t>
        </is>
      </c>
      <c r="R270" t="b">
        <v>1</v>
      </c>
      <c r="S270" t="inlineStr">
        <is>
          <t>G000002</t>
        </is>
      </c>
      <c r="T270" t="inlineStr">
        <is>
          <t>Vertical</t>
        </is>
      </c>
      <c r="U270" t="n">
        <v>57</v>
      </c>
      <c r="V270" t="b">
        <v>1</v>
      </c>
      <c r="W270" t="inlineStr">
        <is>
          <t>Loan analysis!C10:C66</t>
        </is>
      </c>
      <c r="X270">
        <f>IFERROR(PMT(INDEX(Data[],ROW()-ROW(Data[[#Headers],[3]]),1)/12,Data[[#Headers],[3]]*12,-LoanAmount,0,IF(PaymentsDue="End of Period",0,1)), "")</f>
        <v/>
      </c>
    </row>
    <row r="271">
      <c r="A271" t="inlineStr">
        <is>
          <t>Loan analysis</t>
        </is>
      </c>
      <c r="B271" t="inlineStr">
        <is>
          <t>D26</t>
        </is>
      </c>
      <c r="C271" t="n">
        <v>26</v>
      </c>
      <c r="D271" t="n">
        <v>4</v>
      </c>
      <c r="E271" t="inlineStr">
        <is>
          <t>Output</t>
        </is>
      </c>
      <c r="F271" t="inlineStr">
        <is>
          <t>'=IFERROR(PMT(INDEX(Data[],ROW()-ROW(Data[[#Headers],[5]]),1)/12,Data[[#Headers],[5]]*12,-LoanAmount,0,IF(PaymentsDue="End of Period",0,1)), "")</t>
        </is>
      </c>
      <c r="G271" t="n">
        <v>192.3661843724171</v>
      </c>
      <c r="H271" t="inlineStr"/>
      <c r="I271" t="inlineStr">
        <is>
          <t>"$"#,##0.00_);[Red]\("$"#,##0.00\)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00000000</t>
        </is>
      </c>
      <c r="O271" t="inlineStr">
        <is>
          <t>center</t>
        </is>
      </c>
      <c r="P271" t="inlineStr">
        <is>
          <t>center</t>
        </is>
      </c>
      <c r="R271" t="b">
        <v>1</v>
      </c>
      <c r="S271" t="inlineStr">
        <is>
          <t>G000003</t>
        </is>
      </c>
      <c r="T271" t="inlineStr">
        <is>
          <t>Vertical</t>
        </is>
      </c>
      <c r="U271" t="n">
        <v>57</v>
      </c>
      <c r="V271" t="b">
        <v>1</v>
      </c>
      <c r="W271" t="inlineStr">
        <is>
          <t>Loan analysis!D10:D66</t>
        </is>
      </c>
      <c r="X271">
        <f>IFERROR(PMT(INDEX(Data[],ROW()-ROW(Data[[#Headers],[5]]),1)/12,Data[[#Headers],[5]]*12,-LoanAmount,0,IF(PaymentsDue="End of Period",0,1)), "")</f>
        <v/>
      </c>
    </row>
    <row r="272">
      <c r="A272" t="inlineStr">
        <is>
          <t>Loan analysis</t>
        </is>
      </c>
      <c r="B272" t="inlineStr">
        <is>
          <t>E26</t>
        </is>
      </c>
      <c r="C272" t="n">
        <v>26</v>
      </c>
      <c r="D272" t="n">
        <v>5</v>
      </c>
      <c r="E272" t="inlineStr">
        <is>
          <t>Output</t>
        </is>
      </c>
      <c r="F272" t="inlineStr">
        <is>
          <t>'=IFERROR(PMT(INDEX(Data[],ROW()-ROW(Data[[#Headers],[10]]),1)/12,Data[[#Headers],[10]]*12,-LoanAmount,0,IF(PaymentsDue="End of Period",0,1)), "")</t>
        </is>
      </c>
      <c r="G272" t="n">
        <v>110.4681611359696</v>
      </c>
      <c r="H272" t="inlineStr"/>
      <c r="I272" t="inlineStr">
        <is>
          <t>"$"#,##0.00_);[Red]\("$"#,##0.00\)</t>
        </is>
      </c>
      <c r="J272" t="b">
        <v>0</v>
      </c>
      <c r="K272" t="b">
        <v>0</v>
      </c>
      <c r="L272" t="n">
        <v>11</v>
      </c>
      <c r="M272" t="inlineStr">
        <is>
          <t>Values must be of type &lt;class 'str'&gt;</t>
        </is>
      </c>
      <c r="N272" t="inlineStr">
        <is>
          <t>00000000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inlineStr">
        <is>
          <t>G000004</t>
        </is>
      </c>
      <c r="T272" t="inlineStr">
        <is>
          <t>Vertical</t>
        </is>
      </c>
      <c r="U272" t="n">
        <v>57</v>
      </c>
      <c r="V272" t="b">
        <v>1</v>
      </c>
      <c r="W272" t="inlineStr">
        <is>
          <t>Loan analysis!E10:E66</t>
        </is>
      </c>
      <c r="X272">
        <f>IFERROR(PMT(INDEX(Data[],ROW()-ROW(Data[[#Headers],[10]]),1)/12,Data[[#Headers],[10]]*12,-LoanAmount,0,IF(PaymentsDue="End of Period",0,1)), "")</f>
        <v/>
      </c>
    </row>
    <row r="273">
      <c r="A273" t="inlineStr">
        <is>
          <t>Loan analysis</t>
        </is>
      </c>
      <c r="B273" t="inlineStr">
        <is>
          <t>F26</t>
        </is>
      </c>
      <c r="C273" t="n">
        <v>26</v>
      </c>
      <c r="D273" t="n">
        <v>6</v>
      </c>
      <c r="E273" t="inlineStr">
        <is>
          <t>Output</t>
        </is>
      </c>
      <c r="F273" t="inlineStr">
        <is>
          <t>'=IFERROR(PMT(INDEX(Data[],ROW()-ROW(Data[[#Headers],[12]]),1)/12,Data[[#Headers],[12]]*12,-LoanAmount,0,IF(PaymentsDue="End of Period",0,1)), "")</t>
        </is>
      </c>
      <c r="G273" t="n">
        <v>97.09952373893319</v>
      </c>
      <c r="H273" t="inlineStr"/>
      <c r="I273" t="inlineStr">
        <is>
          <t>"$"#,##0.00_);[Red]\("$"#,##0.00\)</t>
        </is>
      </c>
      <c r="J273" t="b">
        <v>0</v>
      </c>
      <c r="K273" t="b">
        <v>0</v>
      </c>
      <c r="L273" t="n">
        <v>11</v>
      </c>
      <c r="M273" t="inlineStr">
        <is>
          <t>Values must be of type &lt;class 'str'&gt;</t>
        </is>
      </c>
      <c r="N273" t="inlineStr">
        <is>
          <t>00000000</t>
        </is>
      </c>
      <c r="O273" t="inlineStr">
        <is>
          <t>center</t>
        </is>
      </c>
      <c r="P273" t="inlineStr">
        <is>
          <t>center</t>
        </is>
      </c>
      <c r="R273" t="b">
        <v>1</v>
      </c>
      <c r="S273" t="inlineStr">
        <is>
          <t>G000005</t>
        </is>
      </c>
      <c r="T273" t="inlineStr">
        <is>
          <t>Vertical</t>
        </is>
      </c>
      <c r="U273" t="n">
        <v>57</v>
      </c>
      <c r="V273" t="b">
        <v>1</v>
      </c>
      <c r="W273" t="inlineStr">
        <is>
          <t>Loan analysis!F10:F66</t>
        </is>
      </c>
      <c r="X273">
        <f>IFERROR(PMT(INDEX(Data[],ROW()-ROW(Data[[#Headers],[12]]),1)/12,Data[[#Headers],[12]]*12,-LoanAmount,0,IF(PaymentsDue="End of Period",0,1)), "")</f>
        <v/>
      </c>
    </row>
    <row r="274">
      <c r="A274" t="inlineStr">
        <is>
          <t>Loan analysis</t>
        </is>
      </c>
      <c r="B274" t="inlineStr">
        <is>
          <t>G26</t>
        </is>
      </c>
      <c r="C274" t="n">
        <v>26</v>
      </c>
      <c r="D274" t="n">
        <v>7</v>
      </c>
      <c r="E274" t="inlineStr">
        <is>
          <t>Output</t>
        </is>
      </c>
      <c r="F274" t="inlineStr">
        <is>
          <t>'=IFERROR(PMT(INDEX(Data[],ROW()-ROW(Data[[#Headers],[15]]),1)/12,Data[[#Headers],[15]]*12,-LoanAmount,0,IF(PaymentsDue="End of Period",0,1)), "")</t>
        </is>
      </c>
      <c r="G274" t="n">
        <v>83.96585353715933</v>
      </c>
      <c r="H274" t="inlineStr"/>
      <c r="I274" t="inlineStr">
        <is>
          <t>"$"#,##0.00_);[Red]\("$"#,##0.00\)</t>
        </is>
      </c>
      <c r="J274" t="b">
        <v>0</v>
      </c>
      <c r="K274" t="b">
        <v>0</v>
      </c>
      <c r="L274" t="n">
        <v>11</v>
      </c>
      <c r="M274" t="inlineStr">
        <is>
          <t>Values must be of type &lt;class 'str'&gt;</t>
        </is>
      </c>
      <c r="N274" t="inlineStr">
        <is>
          <t>00000000</t>
        </is>
      </c>
      <c r="O274" t="inlineStr">
        <is>
          <t>center</t>
        </is>
      </c>
      <c r="P274" t="inlineStr">
        <is>
          <t>center</t>
        </is>
      </c>
      <c r="R274" t="b">
        <v>1</v>
      </c>
      <c r="S274" t="inlineStr">
        <is>
          <t>G000006</t>
        </is>
      </c>
      <c r="T274" t="inlineStr">
        <is>
          <t>Vertical</t>
        </is>
      </c>
      <c r="U274" t="n">
        <v>57</v>
      </c>
      <c r="V274" t="b">
        <v>1</v>
      </c>
      <c r="W274" t="inlineStr">
        <is>
          <t>Loan analysis!G10:G66</t>
        </is>
      </c>
      <c r="X274">
        <f>IFERROR(PMT(INDEX(Data[],ROW()-ROW(Data[[#Headers],[15]]),1)/12,Data[[#Headers],[15]]*12,-LoanAmount,0,IF(PaymentsDue="End of Period",0,1)), "")</f>
        <v/>
      </c>
    </row>
    <row r="275">
      <c r="A275" t="inlineStr">
        <is>
          <t>Loan analysis</t>
        </is>
      </c>
      <c r="B275" t="inlineStr">
        <is>
          <t>H26</t>
        </is>
      </c>
      <c r="C275" t="n">
        <v>26</v>
      </c>
      <c r="D275" t="n">
        <v>8</v>
      </c>
      <c r="E275" t="inlineStr">
        <is>
          <t>Output</t>
        </is>
      </c>
      <c r="F275" t="inlineStr">
        <is>
          <t>'=IFERROR(PMT(INDEX(Data[],ROW()-ROW(Data[[#Headers],[20]]),1)/12,Data[[#Headers],[20]]*12,-LoanAmount,0,IF(PaymentsDue="End of Period",0,1)), "")</t>
        </is>
      </c>
      <c r="G275" t="n">
        <v>71.28667248538953</v>
      </c>
      <c r="H275" t="inlineStr"/>
      <c r="I275" t="inlineStr">
        <is>
          <t>"$"#,##0.00_);[Red]\("$"#,##0.00\)</t>
        </is>
      </c>
      <c r="J275" t="b">
        <v>0</v>
      </c>
      <c r="K275" t="b">
        <v>0</v>
      </c>
      <c r="L275" t="n">
        <v>11</v>
      </c>
      <c r="M275" t="inlineStr">
        <is>
          <t>Values must be of type &lt;class 'str'&gt;</t>
        </is>
      </c>
      <c r="N275" t="inlineStr">
        <is>
          <t>00000000</t>
        </is>
      </c>
      <c r="O275" t="inlineStr">
        <is>
          <t>center</t>
        </is>
      </c>
      <c r="P275" t="inlineStr">
        <is>
          <t>center</t>
        </is>
      </c>
      <c r="R275" t="b">
        <v>1</v>
      </c>
      <c r="S275" t="inlineStr">
        <is>
          <t>G000007</t>
        </is>
      </c>
      <c r="T275" t="inlineStr">
        <is>
          <t>Vertical</t>
        </is>
      </c>
      <c r="U275" t="n">
        <v>57</v>
      </c>
      <c r="V275" t="b">
        <v>1</v>
      </c>
      <c r="W275" t="inlineStr">
        <is>
          <t>Loan analysis!H10:H66</t>
        </is>
      </c>
      <c r="X275">
        <f>IFERROR(PMT(INDEX(Data[],ROW()-ROW(Data[[#Headers],[20]]),1)/12,Data[[#Headers],[20]]*12,-LoanAmount,0,IF(PaymentsDue="End of Period",0,1)), "")</f>
        <v/>
      </c>
    </row>
    <row r="276">
      <c r="A276" t="inlineStr">
        <is>
          <t>Loan analysis</t>
        </is>
      </c>
      <c r="B276" t="inlineStr">
        <is>
          <t>I26</t>
        </is>
      </c>
      <c r="C276" t="n">
        <v>26</v>
      </c>
      <c r="D276" t="n">
        <v>9</v>
      </c>
      <c r="E276" t="inlineStr">
        <is>
          <t>Output</t>
        </is>
      </c>
      <c r="F276" t="inlineStr">
        <is>
          <t>'=IFERROR(PMT(INDEX(Data[],ROW()-ROW(Data[[#Headers],[25]]),1)/12,Data[[#Headers],[25]]*12,-LoanAmount,0,IF(PaymentsDue="End of Period",0,1)), "")</t>
        </is>
      </c>
      <c r="G276" t="n">
        <v>64.10959218761279</v>
      </c>
      <c r="H276" t="inlineStr"/>
      <c r="I276" t="inlineStr">
        <is>
          <t>"$"#,##0.00_);[Red]\("$"#,##0.00\)</t>
        </is>
      </c>
      <c r="J276" t="b">
        <v>0</v>
      </c>
      <c r="K276" t="b">
        <v>0</v>
      </c>
      <c r="L276" t="n">
        <v>11</v>
      </c>
      <c r="M276" t="inlineStr">
        <is>
          <t>Values must be of type &lt;class 'str'&gt;</t>
        </is>
      </c>
      <c r="N276" t="inlineStr">
        <is>
          <t>00000000</t>
        </is>
      </c>
      <c r="O276" t="inlineStr">
        <is>
          <t>center</t>
        </is>
      </c>
      <c r="P276" t="inlineStr">
        <is>
          <t>center</t>
        </is>
      </c>
      <c r="R276" t="b">
        <v>1</v>
      </c>
      <c r="S276" t="inlineStr">
        <is>
          <t>G000008</t>
        </is>
      </c>
      <c r="T276" t="inlineStr">
        <is>
          <t>Vertical</t>
        </is>
      </c>
      <c r="U276" t="n">
        <v>57</v>
      </c>
      <c r="V276" t="b">
        <v>1</v>
      </c>
      <c r="W276" t="inlineStr">
        <is>
          <t>Loan analysis!I10:I66</t>
        </is>
      </c>
      <c r="X276">
        <f>IFERROR(PMT(INDEX(Data[],ROW()-ROW(Data[[#Headers],[25]]),1)/12,Data[[#Headers],[25]]*12,-LoanAmount,0,IF(PaymentsDue="End of Period",0,1)), "")</f>
        <v/>
      </c>
    </row>
    <row r="277">
      <c r="A277" t="inlineStr">
        <is>
          <t>Loan analysis</t>
        </is>
      </c>
      <c r="B277" t="inlineStr">
        <is>
          <t>J26</t>
        </is>
      </c>
      <c r="C277" t="n">
        <v>26</v>
      </c>
      <c r="D277" t="n">
        <v>10</v>
      </c>
      <c r="E277" t="inlineStr">
        <is>
          <t>Output</t>
        </is>
      </c>
      <c r="F277" t="inlineStr">
        <is>
          <t>'=IFERROR(PMT(INDEX(Data[],ROW()-ROW(Data[[#Headers],[30]]),1)/12,Data[[#Headers],[30]]*12,-LoanAmount,0,IF(PaymentsDue="End of Period",0,1)), "")</t>
        </is>
      </c>
      <c r="G277" t="n">
        <v>59.65676867191565</v>
      </c>
      <c r="H277" t="inlineStr"/>
      <c r="I277" t="inlineStr">
        <is>
          <t>"$"#,##0.00_);[Red]\("$"#,##0.00\)</t>
        </is>
      </c>
      <c r="J277" t="b">
        <v>0</v>
      </c>
      <c r="K277" t="b">
        <v>0</v>
      </c>
      <c r="L277" t="n">
        <v>11</v>
      </c>
      <c r="M277" t="inlineStr">
        <is>
          <t>Values must be of type &lt;class 'str'&gt;</t>
        </is>
      </c>
      <c r="N277" t="inlineStr">
        <is>
          <t>00000000</t>
        </is>
      </c>
      <c r="O277" t="inlineStr">
        <is>
          <t>center</t>
        </is>
      </c>
      <c r="P277" t="inlineStr">
        <is>
          <t>center</t>
        </is>
      </c>
      <c r="R277" t="b">
        <v>1</v>
      </c>
      <c r="S277" t="inlineStr">
        <is>
          <t>G000009</t>
        </is>
      </c>
      <c r="T277" t="inlineStr">
        <is>
          <t>Vertical</t>
        </is>
      </c>
      <c r="U277" t="n">
        <v>57</v>
      </c>
      <c r="V277" t="b">
        <v>1</v>
      </c>
      <c r="W277" t="inlineStr">
        <is>
          <t>Loan analysis!J10:J66</t>
        </is>
      </c>
      <c r="X277">
        <f>IFERROR(PMT(INDEX(Data[],ROW()-ROW(Data[[#Headers],[30]]),1)/12,Data[[#Headers],[30]]*12,-LoanAmount,0,IF(PaymentsDue="End of Period",0,1)), "")</f>
        <v/>
      </c>
    </row>
    <row r="278">
      <c r="A278" t="inlineStr">
        <is>
          <t>Loan analysis</t>
        </is>
      </c>
      <c r="B278" t="inlineStr">
        <is>
          <t>K26</t>
        </is>
      </c>
      <c r="C278" t="n">
        <v>26</v>
      </c>
      <c r="D278" t="n">
        <v>11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11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n">
        <v/>
      </c>
      <c r="P278" t="n">
        <v/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Loan analysis</t>
        </is>
      </c>
      <c r="B279" t="inlineStr">
        <is>
          <t>L26</t>
        </is>
      </c>
      <c r="C279" t="n">
        <v>26</v>
      </c>
      <c r="D279" t="n">
        <v>12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00000000</t>
        </is>
      </c>
      <c r="O279" t="n">
        <v/>
      </c>
      <c r="P279" t="n">
        <v/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Loan analysis</t>
        </is>
      </c>
      <c r="B280" t="inlineStr">
        <is>
          <t>A27</t>
        </is>
      </c>
      <c r="C280" t="n">
        <v>27</v>
      </c>
      <c r="D280" t="n">
        <v>1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n">
        <v/>
      </c>
      <c r="P280" t="n">
        <v/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Loan analysis</t>
        </is>
      </c>
      <c r="B281" t="inlineStr">
        <is>
          <t>B27</t>
        </is>
      </c>
      <c r="C281" t="n">
        <v>27</v>
      </c>
      <c r="D281" t="n">
        <v>2</v>
      </c>
      <c r="E281" t="inlineStr">
        <is>
          <t>Output</t>
        </is>
      </c>
      <c r="F281" t="inlineStr">
        <is>
          <t>'=IFERROR(MAX((ROW()-ROW(Data[[#Headers],[RATE]]))*0.0025+0.0175,0.0025), "")</t>
        </is>
      </c>
      <c r="G281" t="n">
        <v>0.0625</v>
      </c>
      <c r="H281" t="inlineStr"/>
      <c r="I281" t="inlineStr">
        <is>
          <t>0.00%</t>
        </is>
      </c>
      <c r="J281" t="b">
        <v>0</v>
      </c>
      <c r="K281" t="b">
        <v>0</v>
      </c>
      <c r="L281" t="n">
        <v>11</v>
      </c>
      <c r="M281" t="inlineStr">
        <is>
          <t>Values must be of type &lt;class 'str'&gt;</t>
        </is>
      </c>
      <c r="N281" t="inlineStr">
        <is>
          <t>00000000</t>
        </is>
      </c>
      <c r="O281" t="inlineStr">
        <is>
          <t>center</t>
        </is>
      </c>
      <c r="P281" t="inlineStr">
        <is>
          <t>center</t>
        </is>
      </c>
      <c r="R281" t="b">
        <v>1</v>
      </c>
      <c r="S281" t="inlineStr">
        <is>
          <t>G000001</t>
        </is>
      </c>
      <c r="T281" t="inlineStr">
        <is>
          <t>Vertical</t>
        </is>
      </c>
      <c r="U281" t="n">
        <v>57</v>
      </c>
      <c r="V281" t="b">
        <v>1</v>
      </c>
      <c r="W281" t="inlineStr">
        <is>
          <t>Loan analysis!B10:B66</t>
        </is>
      </c>
      <c r="X281">
        <f>IFERROR(MAX((ROW()-ROW(Data[[#Headers],[RATE]]))*0.0025+0.0175,0.0025), "")</f>
        <v/>
      </c>
    </row>
    <row r="282">
      <c r="A282" t="inlineStr">
        <is>
          <t>Loan analysis</t>
        </is>
      </c>
      <c r="B282" t="inlineStr">
        <is>
          <t>C27</t>
        </is>
      </c>
      <c r="C282" t="n">
        <v>27</v>
      </c>
      <c r="D282" t="n">
        <v>3</v>
      </c>
      <c r="E282" t="inlineStr">
        <is>
          <t>Output</t>
        </is>
      </c>
      <c r="F282" t="inlineStr">
        <is>
          <t>'=IFERROR(PMT(INDEX(Data[],ROW()-ROW(Data[[#Headers],[3]]),1)/12,Data[[#Headers],[3]]*12,-LoanAmount,0,IF(PaymentsDue="End of Period",0,1)), "")</t>
        </is>
      </c>
      <c r="G282" t="n">
        <v>303.7712731190534</v>
      </c>
      <c r="H282" t="inlineStr"/>
      <c r="I282" t="inlineStr">
        <is>
          <t>"$"#,##0.00_);[Red]\("$"#,##0.00\)</t>
        </is>
      </c>
      <c r="J282" t="b">
        <v>0</v>
      </c>
      <c r="K282" t="b">
        <v>0</v>
      </c>
      <c r="L282" t="n">
        <v>11</v>
      </c>
      <c r="M282" t="inlineStr">
        <is>
          <t>Values must be of type &lt;class 'str'&gt;</t>
        </is>
      </c>
      <c r="N282" t="inlineStr">
        <is>
          <t>00000000</t>
        </is>
      </c>
      <c r="O282" t="inlineStr">
        <is>
          <t>center</t>
        </is>
      </c>
      <c r="P282" t="inlineStr">
        <is>
          <t>center</t>
        </is>
      </c>
      <c r="R282" t="b">
        <v>1</v>
      </c>
      <c r="S282" t="inlineStr">
        <is>
          <t>G000002</t>
        </is>
      </c>
      <c r="T282" t="inlineStr">
        <is>
          <t>Vertical</t>
        </is>
      </c>
      <c r="U282" t="n">
        <v>57</v>
      </c>
      <c r="V282" t="b">
        <v>1</v>
      </c>
      <c r="W282" t="inlineStr">
        <is>
          <t>Loan analysis!C10:C66</t>
        </is>
      </c>
      <c r="X282">
        <f>IFERROR(PMT(INDEX(Data[],ROW()-ROW(Data[[#Headers],[3]]),1)/12,Data[[#Headers],[3]]*12,-LoanAmount,0,IF(PaymentsDue="End of Period",0,1)), "")</f>
        <v/>
      </c>
    </row>
    <row r="283">
      <c r="A283" t="inlineStr">
        <is>
          <t>Loan analysis</t>
        </is>
      </c>
      <c r="B283" t="inlineStr">
        <is>
          <t>D27</t>
        </is>
      </c>
      <c r="C283" t="n">
        <v>27</v>
      </c>
      <c r="D283" t="n">
        <v>4</v>
      </c>
      <c r="E283" t="inlineStr">
        <is>
          <t>Output</t>
        </is>
      </c>
      <c r="F283" t="inlineStr">
        <is>
          <t>'=IFERROR(PMT(INDEX(Data[],ROW()-ROW(Data[[#Headers],[5]]),1)/12,Data[[#Headers],[5]]*12,-LoanAmount,0,IF(PaymentsDue="End of Period",0,1)), "")</t>
        </is>
      </c>
      <c r="G283" t="n">
        <v>193.484883075349</v>
      </c>
      <c r="H283" t="inlineStr"/>
      <c r="I283" t="inlineStr">
        <is>
          <t>"$"#,##0.00_);[Red]\("$"#,##0.00\)</t>
        </is>
      </c>
      <c r="J283" t="b">
        <v>0</v>
      </c>
      <c r="K283" t="b">
        <v>0</v>
      </c>
      <c r="L283" t="n">
        <v>11</v>
      </c>
      <c r="M283" t="inlineStr">
        <is>
          <t>Values must be of type &lt;class 'str'&gt;</t>
        </is>
      </c>
      <c r="N283" t="inlineStr">
        <is>
          <t>00000000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inlineStr">
        <is>
          <t>G000003</t>
        </is>
      </c>
      <c r="T283" t="inlineStr">
        <is>
          <t>Vertical</t>
        </is>
      </c>
      <c r="U283" t="n">
        <v>57</v>
      </c>
      <c r="V283" t="b">
        <v>1</v>
      </c>
      <c r="W283" t="inlineStr">
        <is>
          <t>Loan analysis!D10:D66</t>
        </is>
      </c>
      <c r="X283">
        <f>IFERROR(PMT(INDEX(Data[],ROW()-ROW(Data[[#Headers],[5]]),1)/12,Data[[#Headers],[5]]*12,-LoanAmount,0,IF(PaymentsDue="End of Period",0,1)), "")</f>
        <v/>
      </c>
    </row>
    <row r="284">
      <c r="A284" t="inlineStr">
        <is>
          <t>Loan analysis</t>
        </is>
      </c>
      <c r="B284" t="inlineStr">
        <is>
          <t>E27</t>
        </is>
      </c>
      <c r="C284" t="n">
        <v>27</v>
      </c>
      <c r="D284" t="n">
        <v>5</v>
      </c>
      <c r="E284" t="inlineStr">
        <is>
          <t>Output</t>
        </is>
      </c>
      <c r="F284" t="inlineStr">
        <is>
          <t>'=IFERROR(PMT(INDEX(Data[],ROW()-ROW(Data[[#Headers],[10]]),1)/12,Data[[#Headers],[10]]*12,-LoanAmount,0,IF(PaymentsDue="End of Period",0,1)), "")</t>
        </is>
      </c>
      <c r="G284" t="n">
        <v>111.6983347067591</v>
      </c>
      <c r="H284" t="inlineStr"/>
      <c r="I284" t="inlineStr">
        <is>
          <t>"$"#,##0.00_);[Red]\("$"#,##0.00\)</t>
        </is>
      </c>
      <c r="J284" t="b">
        <v>0</v>
      </c>
      <c r="K284" t="b">
        <v>0</v>
      </c>
      <c r="L284" t="n">
        <v>11</v>
      </c>
      <c r="M284" t="inlineStr">
        <is>
          <t>Values must be of type &lt;class 'str'&gt;</t>
        </is>
      </c>
      <c r="N284" t="inlineStr">
        <is>
          <t>00000000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inlineStr">
        <is>
          <t>G000004</t>
        </is>
      </c>
      <c r="T284" t="inlineStr">
        <is>
          <t>Vertical</t>
        </is>
      </c>
      <c r="U284" t="n">
        <v>57</v>
      </c>
      <c r="V284" t="b">
        <v>1</v>
      </c>
      <c r="W284" t="inlineStr">
        <is>
          <t>Loan analysis!E10:E66</t>
        </is>
      </c>
      <c r="X284">
        <f>IFERROR(PMT(INDEX(Data[],ROW()-ROW(Data[[#Headers],[10]]),1)/12,Data[[#Headers],[10]]*12,-LoanAmount,0,IF(PaymentsDue="End of Period",0,1)), "")</f>
        <v/>
      </c>
    </row>
    <row r="285">
      <c r="A285" t="inlineStr">
        <is>
          <t>Loan analysis</t>
        </is>
      </c>
      <c r="B285" t="inlineStr">
        <is>
          <t>F27</t>
        </is>
      </c>
      <c r="C285" t="n">
        <v>27</v>
      </c>
      <c r="D285" t="n">
        <v>6</v>
      </c>
      <c r="E285" t="inlineStr">
        <is>
          <t>Output</t>
        </is>
      </c>
      <c r="F285" t="inlineStr">
        <is>
          <t>'=IFERROR(PMT(INDEX(Data[],ROW()-ROW(Data[[#Headers],[12]]),1)/12,Data[[#Headers],[12]]*12,-LoanAmount,0,IF(PaymentsDue="End of Period",0,1)), "")</t>
        </is>
      </c>
      <c r="G285" t="n">
        <v>98.37132660734247</v>
      </c>
      <c r="H285" t="inlineStr"/>
      <c r="I285" t="inlineStr">
        <is>
          <t>"$"#,##0.00_);[Red]\("$"#,##0.00\)</t>
        </is>
      </c>
      <c r="J285" t="b">
        <v>0</v>
      </c>
      <c r="K285" t="b">
        <v>0</v>
      </c>
      <c r="L285" t="n">
        <v>11</v>
      </c>
      <c r="M285" t="inlineStr">
        <is>
          <t>Values must be of type &lt;class 'str'&gt;</t>
        </is>
      </c>
      <c r="N285" t="inlineStr">
        <is>
          <t>00000000</t>
        </is>
      </c>
      <c r="O285" t="inlineStr">
        <is>
          <t>center</t>
        </is>
      </c>
      <c r="P285" t="inlineStr">
        <is>
          <t>center</t>
        </is>
      </c>
      <c r="R285" t="b">
        <v>1</v>
      </c>
      <c r="S285" t="inlineStr">
        <is>
          <t>G000005</t>
        </is>
      </c>
      <c r="T285" t="inlineStr">
        <is>
          <t>Vertical</t>
        </is>
      </c>
      <c r="U285" t="n">
        <v>57</v>
      </c>
      <c r="V285" t="b">
        <v>1</v>
      </c>
      <c r="W285" t="inlineStr">
        <is>
          <t>Loan analysis!F10:F66</t>
        </is>
      </c>
      <c r="X285">
        <f>IFERROR(PMT(INDEX(Data[],ROW()-ROW(Data[[#Headers],[12]]),1)/12,Data[[#Headers],[12]]*12,-LoanAmount,0,IF(PaymentsDue="End of Period",0,1)), "")</f>
        <v/>
      </c>
    </row>
    <row r="286">
      <c r="A286" t="inlineStr">
        <is>
          <t>Loan analysis</t>
        </is>
      </c>
      <c r="B286" t="inlineStr">
        <is>
          <t>G27</t>
        </is>
      </c>
      <c r="C286" t="n">
        <v>27</v>
      </c>
      <c r="D286" t="n">
        <v>7</v>
      </c>
      <c r="E286" t="inlineStr">
        <is>
          <t>Output</t>
        </is>
      </c>
      <c r="F286" t="inlineStr">
        <is>
          <t>'=IFERROR(PMT(INDEX(Data[],ROW()-ROW(Data[[#Headers],[15]]),1)/12,Data[[#Headers],[15]]*12,-LoanAmount,0,IF(PaymentsDue="End of Period",0,1)), "")</t>
        </is>
      </c>
      <c r="G286" t="n">
        <v>85.29802609742599</v>
      </c>
      <c r="H286" t="inlineStr"/>
      <c r="I286" t="inlineStr">
        <is>
          <t>"$"#,##0.00_);[Red]\("$"#,##0.00\)</t>
        </is>
      </c>
      <c r="J286" t="b">
        <v>0</v>
      </c>
      <c r="K286" t="b">
        <v>0</v>
      </c>
      <c r="L286" t="n">
        <v>11</v>
      </c>
      <c r="M286" t="inlineStr">
        <is>
          <t>Values must be of type &lt;class 'str'&gt;</t>
        </is>
      </c>
      <c r="N286" t="inlineStr">
        <is>
          <t>00000000</t>
        </is>
      </c>
      <c r="O286" t="inlineStr">
        <is>
          <t>center</t>
        </is>
      </c>
      <c r="P286" t="inlineStr">
        <is>
          <t>center</t>
        </is>
      </c>
      <c r="R286" t="b">
        <v>1</v>
      </c>
      <c r="S286" t="inlineStr">
        <is>
          <t>G000006</t>
        </is>
      </c>
      <c r="T286" t="inlineStr">
        <is>
          <t>Vertical</t>
        </is>
      </c>
      <c r="U286" t="n">
        <v>57</v>
      </c>
      <c r="V286" t="b">
        <v>1</v>
      </c>
      <c r="W286" t="inlineStr">
        <is>
          <t>Loan analysis!G10:G66</t>
        </is>
      </c>
      <c r="X286">
        <f>IFERROR(PMT(INDEX(Data[],ROW()-ROW(Data[[#Headers],[15]]),1)/12,Data[[#Headers],[15]]*12,-LoanAmount,0,IF(PaymentsDue="End of Period",0,1)), "")</f>
        <v/>
      </c>
    </row>
    <row r="287">
      <c r="A287" t="inlineStr">
        <is>
          <t>Loan analysis</t>
        </is>
      </c>
      <c r="B287" t="inlineStr">
        <is>
          <t>H27</t>
        </is>
      </c>
      <c r="C287" t="n">
        <v>27</v>
      </c>
      <c r="D287" t="n">
        <v>8</v>
      </c>
      <c r="E287" t="inlineStr">
        <is>
          <t>Output</t>
        </is>
      </c>
      <c r="F287" t="inlineStr">
        <is>
          <t>'=IFERROR(PMT(INDEX(Data[],ROW()-ROW(Data[[#Headers],[20]]),1)/12,Data[[#Headers],[20]]*12,-LoanAmount,0,IF(PaymentsDue="End of Period",0,1)), "")</t>
        </is>
      </c>
      <c r="G287" t="n">
        <v>72.71410096191359</v>
      </c>
      <c r="H287" t="inlineStr"/>
      <c r="I287" t="inlineStr">
        <is>
          <t>"$"#,##0.00_);[Red]\("$"#,##0.00\)</t>
        </is>
      </c>
      <c r="J287" t="b">
        <v>0</v>
      </c>
      <c r="K287" t="b">
        <v>0</v>
      </c>
      <c r="L287" t="n">
        <v>11</v>
      </c>
      <c r="M287" t="inlineStr">
        <is>
          <t>Values must be of type &lt;class 'str'&gt;</t>
        </is>
      </c>
      <c r="N287" t="inlineStr">
        <is>
          <t>00000000</t>
        </is>
      </c>
      <c r="O287" t="inlineStr">
        <is>
          <t>center</t>
        </is>
      </c>
      <c r="P287" t="inlineStr">
        <is>
          <t>center</t>
        </is>
      </c>
      <c r="R287" t="b">
        <v>1</v>
      </c>
      <c r="S287" t="inlineStr">
        <is>
          <t>G000007</t>
        </is>
      </c>
      <c r="T287" t="inlineStr">
        <is>
          <t>Vertical</t>
        </is>
      </c>
      <c r="U287" t="n">
        <v>57</v>
      </c>
      <c r="V287" t="b">
        <v>1</v>
      </c>
      <c r="W287" t="inlineStr">
        <is>
          <t>Loan analysis!H10:H66</t>
        </is>
      </c>
      <c r="X287">
        <f>IFERROR(PMT(INDEX(Data[],ROW()-ROW(Data[[#Headers],[20]]),1)/12,Data[[#Headers],[20]]*12,-LoanAmount,0,IF(PaymentsDue="End of Period",0,1)), "")</f>
        <v/>
      </c>
    </row>
    <row r="288">
      <c r="A288" t="inlineStr">
        <is>
          <t>Loan analysis</t>
        </is>
      </c>
      <c r="B288" t="inlineStr">
        <is>
          <t>I27</t>
        </is>
      </c>
      <c r="C288" t="n">
        <v>27</v>
      </c>
      <c r="D288" t="n">
        <v>9</v>
      </c>
      <c r="E288" t="inlineStr">
        <is>
          <t>Output</t>
        </is>
      </c>
      <c r="F288" t="inlineStr">
        <is>
          <t>'=IFERROR(PMT(INDEX(Data[],ROW()-ROW(Data[[#Headers],[25]]),1)/12,Data[[#Headers],[25]]*12,-LoanAmount,0,IF(PaymentsDue="End of Period",0,1)), "")</t>
        </is>
      </c>
      <c r="G288" t="n">
        <v>65.62514022615974</v>
      </c>
      <c r="H288" t="inlineStr"/>
      <c r="I288" t="inlineStr">
        <is>
          <t>"$"#,##0.00_);[Red]\("$"#,##0.00\)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00000000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inlineStr">
        <is>
          <t>G000008</t>
        </is>
      </c>
      <c r="T288" t="inlineStr">
        <is>
          <t>Vertical</t>
        </is>
      </c>
      <c r="U288" t="n">
        <v>57</v>
      </c>
      <c r="V288" t="b">
        <v>1</v>
      </c>
      <c r="W288" t="inlineStr">
        <is>
          <t>Loan analysis!I10:I66</t>
        </is>
      </c>
      <c r="X288">
        <f>IFERROR(PMT(INDEX(Data[],ROW()-ROW(Data[[#Headers],[25]]),1)/12,Data[[#Headers],[25]]*12,-LoanAmount,0,IF(PaymentsDue="End of Period",0,1)), "")</f>
        <v/>
      </c>
    </row>
    <row r="289">
      <c r="A289" t="inlineStr">
        <is>
          <t>Loan analysis</t>
        </is>
      </c>
      <c r="B289" t="inlineStr">
        <is>
          <t>J27</t>
        </is>
      </c>
      <c r="C289" t="n">
        <v>27</v>
      </c>
      <c r="D289" t="n">
        <v>10</v>
      </c>
      <c r="E289" t="inlineStr">
        <is>
          <t>Output</t>
        </is>
      </c>
      <c r="F289" t="inlineStr">
        <is>
          <t>'=IFERROR(PMT(INDEX(Data[],ROW()-ROW(Data[[#Headers],[30]]),1)/12,Data[[#Headers],[30]]*12,-LoanAmount,0,IF(PaymentsDue="End of Period",0,1)), "")</t>
        </is>
      </c>
      <c r="G289" t="n">
        <v>61.25269558645968</v>
      </c>
      <c r="H289" t="inlineStr"/>
      <c r="I289" t="inlineStr">
        <is>
          <t>"$"#,##0.00_);[Red]\("$"#,##0.00\)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00000000</t>
        </is>
      </c>
      <c r="O289" t="inlineStr">
        <is>
          <t>center</t>
        </is>
      </c>
      <c r="P289" t="inlineStr">
        <is>
          <t>center</t>
        </is>
      </c>
      <c r="R289" t="b">
        <v>1</v>
      </c>
      <c r="S289" t="inlineStr">
        <is>
          <t>G000009</t>
        </is>
      </c>
      <c r="T289" t="inlineStr">
        <is>
          <t>Vertical</t>
        </is>
      </c>
      <c r="U289" t="n">
        <v>57</v>
      </c>
      <c r="V289" t="b">
        <v>1</v>
      </c>
      <c r="W289" t="inlineStr">
        <is>
          <t>Loan analysis!J10:J66</t>
        </is>
      </c>
      <c r="X289">
        <f>IFERROR(PMT(INDEX(Data[],ROW()-ROW(Data[[#Headers],[30]]),1)/12,Data[[#Headers],[30]]*12,-LoanAmount,0,IF(PaymentsDue="End of Period",0,1)), "")</f>
        <v/>
      </c>
    </row>
    <row r="290">
      <c r="A290" t="inlineStr">
        <is>
          <t>Loan analysis</t>
        </is>
      </c>
      <c r="B290" t="inlineStr">
        <is>
          <t>K27</t>
        </is>
      </c>
      <c r="C290" t="n">
        <v>27</v>
      </c>
      <c r="D290" t="n">
        <v>11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n">
        <v/>
      </c>
      <c r="P290" t="n">
        <v/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Loan analysis</t>
        </is>
      </c>
      <c r="B291" t="inlineStr">
        <is>
          <t>L27</t>
        </is>
      </c>
      <c r="C291" t="n">
        <v>27</v>
      </c>
      <c r="D291" t="n">
        <v>12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Values must be of type &lt;class 'str'&gt;</t>
        </is>
      </c>
      <c r="N291" t="inlineStr">
        <is>
          <t>00000000</t>
        </is>
      </c>
      <c r="O291" t="n">
        <v/>
      </c>
      <c r="P291" t="n">
        <v/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Loan analysis</t>
        </is>
      </c>
      <c r="B292" t="inlineStr">
        <is>
          <t>A28</t>
        </is>
      </c>
      <c r="C292" t="n">
        <v>28</v>
      </c>
      <c r="D292" t="n">
        <v>1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n">
        <v/>
      </c>
      <c r="P292" t="n">
        <v/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Loan analysis</t>
        </is>
      </c>
      <c r="B293" t="inlineStr">
        <is>
          <t>B28</t>
        </is>
      </c>
      <c r="C293" t="n">
        <v>28</v>
      </c>
      <c r="D293" t="n">
        <v>2</v>
      </c>
      <c r="E293" t="inlineStr">
        <is>
          <t>Output</t>
        </is>
      </c>
      <c r="F293" t="inlineStr">
        <is>
          <t>'=IFERROR(MAX((ROW()-ROW(Data[[#Headers],[RATE]]))*0.0025+0.0175,0.0025), "")</t>
        </is>
      </c>
      <c r="G293" t="n">
        <v>0.065</v>
      </c>
      <c r="H293" t="inlineStr"/>
      <c r="I293" t="inlineStr">
        <is>
          <t>0.00%</t>
        </is>
      </c>
      <c r="J293" t="b">
        <v>0</v>
      </c>
      <c r="K293" t="b">
        <v>0</v>
      </c>
      <c r="L293" t="n">
        <v>11</v>
      </c>
      <c r="M293" t="inlineStr">
        <is>
          <t>Values must be of type &lt;class 'str'&gt;</t>
        </is>
      </c>
      <c r="N293" t="inlineStr">
        <is>
          <t>00000000</t>
        </is>
      </c>
      <c r="O293" t="inlineStr">
        <is>
          <t>center</t>
        </is>
      </c>
      <c r="P293" t="inlineStr">
        <is>
          <t>center</t>
        </is>
      </c>
      <c r="R293" t="b">
        <v>1</v>
      </c>
      <c r="S293" t="inlineStr">
        <is>
          <t>G000001</t>
        </is>
      </c>
      <c r="T293" t="inlineStr">
        <is>
          <t>Vertical</t>
        </is>
      </c>
      <c r="U293" t="n">
        <v>57</v>
      </c>
      <c r="V293" t="b">
        <v>1</v>
      </c>
      <c r="W293" t="inlineStr">
        <is>
          <t>Loan analysis!B10:B66</t>
        </is>
      </c>
      <c r="X293">
        <f>IFERROR(MAX((ROW()-ROW(Data[[#Headers],[RATE]]))*0.0025+0.0175,0.0025), "")</f>
        <v/>
      </c>
    </row>
    <row r="294">
      <c r="A294" t="inlineStr">
        <is>
          <t>Loan analysis</t>
        </is>
      </c>
      <c r="B294" t="inlineStr">
        <is>
          <t>C28</t>
        </is>
      </c>
      <c r="C294" t="n">
        <v>28</v>
      </c>
      <c r="D294" t="n">
        <v>3</v>
      </c>
      <c r="E294" t="inlineStr">
        <is>
          <t>Output</t>
        </is>
      </c>
      <c r="F294" t="inlineStr">
        <is>
          <t>'=IFERROR(PMT(INDEX(Data[],ROW()-ROW(Data[[#Headers],[3]]),1)/12,Data[[#Headers],[3]]*12,-LoanAmount,0,IF(PaymentsDue="End of Period",0,1)), "")</t>
        </is>
      </c>
      <c r="G294" t="n">
        <v>304.8388184982324</v>
      </c>
      <c r="H294" t="inlineStr"/>
      <c r="I294" t="inlineStr">
        <is>
          <t>"$"#,##0.00_);[Red]\("$"#,##0.00\)</t>
        </is>
      </c>
      <c r="J294" t="b">
        <v>0</v>
      </c>
      <c r="K294" t="b">
        <v>0</v>
      </c>
      <c r="L294" t="n">
        <v>11</v>
      </c>
      <c r="M294" t="inlineStr">
        <is>
          <t>Values must be of type &lt;class 'str'&gt;</t>
        </is>
      </c>
      <c r="N294" t="inlineStr">
        <is>
          <t>00000000</t>
        </is>
      </c>
      <c r="O294" t="inlineStr">
        <is>
          <t>center</t>
        </is>
      </c>
      <c r="P294" t="inlineStr">
        <is>
          <t>center</t>
        </is>
      </c>
      <c r="R294" t="b">
        <v>1</v>
      </c>
      <c r="S294" t="inlineStr">
        <is>
          <t>G000002</t>
        </is>
      </c>
      <c r="T294" t="inlineStr">
        <is>
          <t>Vertical</t>
        </is>
      </c>
      <c r="U294" t="n">
        <v>57</v>
      </c>
      <c r="V294" t="b">
        <v>1</v>
      </c>
      <c r="W294" t="inlineStr">
        <is>
          <t>Loan analysis!C10:C66</t>
        </is>
      </c>
      <c r="X294">
        <f>IFERROR(PMT(INDEX(Data[],ROW()-ROW(Data[[#Headers],[3]]),1)/12,Data[[#Headers],[3]]*12,-LoanAmount,0,IF(PaymentsDue="End of Period",0,1)), "")</f>
        <v/>
      </c>
    </row>
    <row r="295">
      <c r="A295" t="inlineStr">
        <is>
          <t>Loan analysis</t>
        </is>
      </c>
      <c r="B295" t="inlineStr">
        <is>
          <t>D28</t>
        </is>
      </c>
      <c r="C295" t="n">
        <v>28</v>
      </c>
      <c r="D295" t="n">
        <v>4</v>
      </c>
      <c r="E295" t="inlineStr">
        <is>
          <t>Output</t>
        </is>
      </c>
      <c r="F295" t="inlineStr">
        <is>
          <t>'=IFERROR(PMT(INDEX(Data[],ROW()-ROW(Data[[#Headers],[5]]),1)/12,Data[[#Headers],[5]]*12,-LoanAmount,0,IF(PaymentsDue="End of Period",0,1)), "")</t>
        </is>
      </c>
      <c r="G295" t="n">
        <v>194.6073589927414</v>
      </c>
      <c r="H295" t="inlineStr"/>
      <c r="I295" t="inlineStr">
        <is>
          <t>"$"#,##0.00_);[Red]\("$"#,##0.00\)</t>
        </is>
      </c>
      <c r="J295" t="b">
        <v>0</v>
      </c>
      <c r="K295" t="b">
        <v>0</v>
      </c>
      <c r="L295" t="n">
        <v>11</v>
      </c>
      <c r="M295" t="inlineStr">
        <is>
          <t>Values must be of type &lt;class 'str'&gt;</t>
        </is>
      </c>
      <c r="N295" t="inlineStr">
        <is>
          <t>00000000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inlineStr">
        <is>
          <t>G000003</t>
        </is>
      </c>
      <c r="T295" t="inlineStr">
        <is>
          <t>Vertical</t>
        </is>
      </c>
      <c r="U295" t="n">
        <v>57</v>
      </c>
      <c r="V295" t="b">
        <v>1</v>
      </c>
      <c r="W295" t="inlineStr">
        <is>
          <t>Loan analysis!D10:D66</t>
        </is>
      </c>
      <c r="X295">
        <f>IFERROR(PMT(INDEX(Data[],ROW()-ROW(Data[[#Headers],[5]]),1)/12,Data[[#Headers],[5]]*12,-LoanAmount,0,IF(PaymentsDue="End of Period",0,1)), "")</f>
        <v/>
      </c>
    </row>
    <row r="296">
      <c r="A296" t="inlineStr">
        <is>
          <t>Loan analysis</t>
        </is>
      </c>
      <c r="B296" t="inlineStr">
        <is>
          <t>E28</t>
        </is>
      </c>
      <c r="C296" t="n">
        <v>28</v>
      </c>
      <c r="D296" t="n">
        <v>5</v>
      </c>
      <c r="E296" t="inlineStr">
        <is>
          <t>Output</t>
        </is>
      </c>
      <c r="F296" t="inlineStr">
        <is>
          <t>'=IFERROR(PMT(INDEX(Data[],ROW()-ROW(Data[[#Headers],[10]]),1)/12,Data[[#Headers],[10]]*12,-LoanAmount,0,IF(PaymentsDue="End of Period",0,1)), "")</t>
        </is>
      </c>
      <c r="G296" t="n">
        <v>112.9362392573819</v>
      </c>
      <c r="H296" t="inlineStr"/>
      <c r="I296" t="inlineStr">
        <is>
          <t>"$"#,##0.00_);[Red]\("$"#,##0.00\)</t>
        </is>
      </c>
      <c r="J296" t="b">
        <v>0</v>
      </c>
      <c r="K296" t="b">
        <v>0</v>
      </c>
      <c r="L296" t="n">
        <v>11</v>
      </c>
      <c r="M296" t="inlineStr">
        <is>
          <t>Values must be of type &lt;class 'str'&gt;</t>
        </is>
      </c>
      <c r="N296" t="inlineStr">
        <is>
          <t>00000000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inlineStr">
        <is>
          <t>G000004</t>
        </is>
      </c>
      <c r="T296" t="inlineStr">
        <is>
          <t>Vertical</t>
        </is>
      </c>
      <c r="U296" t="n">
        <v>57</v>
      </c>
      <c r="V296" t="b">
        <v>1</v>
      </c>
      <c r="W296" t="inlineStr">
        <is>
          <t>Loan analysis!E10:E66</t>
        </is>
      </c>
      <c r="X296">
        <f>IFERROR(PMT(INDEX(Data[],ROW()-ROW(Data[[#Headers],[10]]),1)/12,Data[[#Headers],[10]]*12,-LoanAmount,0,IF(PaymentsDue="End of Period",0,1)), "")</f>
        <v/>
      </c>
    </row>
    <row r="297">
      <c r="A297" t="inlineStr">
        <is>
          <t>Loan analysis</t>
        </is>
      </c>
      <c r="B297" t="inlineStr">
        <is>
          <t>F28</t>
        </is>
      </c>
      <c r="C297" t="n">
        <v>28</v>
      </c>
      <c r="D297" t="n">
        <v>6</v>
      </c>
      <c r="E297" t="inlineStr">
        <is>
          <t>Output</t>
        </is>
      </c>
      <c r="F297" t="inlineStr">
        <is>
          <t>'=IFERROR(PMT(INDEX(Data[],ROW()-ROW(Data[[#Headers],[12]]),1)/12,Data[[#Headers],[12]]*12,-LoanAmount,0,IF(PaymentsDue="End of Period",0,1)), "")</t>
        </is>
      </c>
      <c r="G297" t="n">
        <v>99.65232537064145</v>
      </c>
      <c r="H297" t="inlineStr"/>
      <c r="I297" t="inlineStr">
        <is>
          <t>"$"#,##0.00_);[Red]\("$"#,##0.00\)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00000000</t>
        </is>
      </c>
      <c r="O297" t="inlineStr">
        <is>
          <t>center</t>
        </is>
      </c>
      <c r="P297" t="inlineStr">
        <is>
          <t>center</t>
        </is>
      </c>
      <c r="R297" t="b">
        <v>1</v>
      </c>
      <c r="S297" t="inlineStr">
        <is>
          <t>G000005</t>
        </is>
      </c>
      <c r="T297" t="inlineStr">
        <is>
          <t>Vertical</t>
        </is>
      </c>
      <c r="U297" t="n">
        <v>57</v>
      </c>
      <c r="V297" t="b">
        <v>1</v>
      </c>
      <c r="W297" t="inlineStr">
        <is>
          <t>Loan analysis!F10:F66</t>
        </is>
      </c>
      <c r="X297">
        <f>IFERROR(PMT(INDEX(Data[],ROW()-ROW(Data[[#Headers],[12]]),1)/12,Data[[#Headers],[12]]*12,-LoanAmount,0,IF(PaymentsDue="End of Period",0,1)), "")</f>
        <v/>
      </c>
    </row>
    <row r="298">
      <c r="A298" t="inlineStr">
        <is>
          <t>Loan analysis</t>
        </is>
      </c>
      <c r="B298" t="inlineStr">
        <is>
          <t>G28</t>
        </is>
      </c>
      <c r="C298" t="n">
        <v>28</v>
      </c>
      <c r="D298" t="n">
        <v>7</v>
      </c>
      <c r="E298" t="inlineStr">
        <is>
          <t>Output</t>
        </is>
      </c>
      <c r="F298" t="inlineStr">
        <is>
          <t>'=IFERROR(PMT(INDEX(Data[],ROW()-ROW(Data[[#Headers],[15]]),1)/12,Data[[#Headers],[15]]*12,-LoanAmount,0,IF(PaymentsDue="End of Period",0,1)), "")</t>
        </is>
      </c>
      <c r="G298" t="n">
        <v>86.64142879045453</v>
      </c>
      <c r="H298" t="inlineStr"/>
      <c r="I298" t="inlineStr">
        <is>
          <t>"$"#,##0.00_);[Red]\("$"#,##0.00\)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00000000</t>
        </is>
      </c>
      <c r="O298" t="inlineStr">
        <is>
          <t>center</t>
        </is>
      </c>
      <c r="P298" t="inlineStr">
        <is>
          <t>center</t>
        </is>
      </c>
      <c r="R298" t="b">
        <v>1</v>
      </c>
      <c r="S298" t="inlineStr">
        <is>
          <t>G000006</t>
        </is>
      </c>
      <c r="T298" t="inlineStr">
        <is>
          <t>Vertical</t>
        </is>
      </c>
      <c r="U298" t="n">
        <v>57</v>
      </c>
      <c r="V298" t="b">
        <v>1</v>
      </c>
      <c r="W298" t="inlineStr">
        <is>
          <t>Loan analysis!G10:G66</t>
        </is>
      </c>
      <c r="X298">
        <f>IFERROR(PMT(INDEX(Data[],ROW()-ROW(Data[[#Headers],[15]]),1)/12,Data[[#Headers],[15]]*12,-LoanAmount,0,IF(PaymentsDue="End of Period",0,1)), "")</f>
        <v/>
      </c>
    </row>
    <row r="299">
      <c r="A299" t="inlineStr">
        <is>
          <t>Loan analysis</t>
        </is>
      </c>
      <c r="B299" t="inlineStr">
        <is>
          <t>H28</t>
        </is>
      </c>
      <c r="C299" t="n">
        <v>28</v>
      </c>
      <c r="D299" t="n">
        <v>8</v>
      </c>
      <c r="E299" t="inlineStr">
        <is>
          <t>Output</t>
        </is>
      </c>
      <c r="F299" t="inlineStr">
        <is>
          <t>'=IFERROR(PMT(INDEX(Data[],ROW()-ROW(Data[[#Headers],[20]]),1)/12,Data[[#Headers],[20]]*12,-LoanAmount,0,IF(PaymentsDue="End of Period",0,1)), "")</t>
        </is>
      </c>
      <c r="G299" t="n">
        <v>74.15563718343277</v>
      </c>
      <c r="H299" t="inlineStr"/>
      <c r="I299" t="inlineStr">
        <is>
          <t>"$"#,##0.00_);[Red]\("$"#,##0.00\)</t>
        </is>
      </c>
      <c r="J299" t="b">
        <v>0</v>
      </c>
      <c r="K299" t="b">
        <v>0</v>
      </c>
      <c r="L299" t="n">
        <v>11</v>
      </c>
      <c r="M299" t="inlineStr">
        <is>
          <t>Values must be of type &lt;class 'str'&gt;</t>
        </is>
      </c>
      <c r="N299" t="inlineStr">
        <is>
          <t>00000000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inlineStr">
        <is>
          <t>G000007</t>
        </is>
      </c>
      <c r="T299" t="inlineStr">
        <is>
          <t>Vertical</t>
        </is>
      </c>
      <c r="U299" t="n">
        <v>57</v>
      </c>
      <c r="V299" t="b">
        <v>1</v>
      </c>
      <c r="W299" t="inlineStr">
        <is>
          <t>Loan analysis!H10:H66</t>
        </is>
      </c>
      <c r="X299">
        <f>IFERROR(PMT(INDEX(Data[],ROW()-ROW(Data[[#Headers],[20]]),1)/12,Data[[#Headers],[20]]*12,-LoanAmount,0,IF(PaymentsDue="End of Period",0,1)), "")</f>
        <v/>
      </c>
    </row>
    <row r="300">
      <c r="A300" t="inlineStr">
        <is>
          <t>Loan analysis</t>
        </is>
      </c>
      <c r="B300" t="inlineStr">
        <is>
          <t>I28</t>
        </is>
      </c>
      <c r="C300" t="n">
        <v>28</v>
      </c>
      <c r="D300" t="n">
        <v>9</v>
      </c>
      <c r="E300" t="inlineStr">
        <is>
          <t>Output</t>
        </is>
      </c>
      <c r="F300" t="inlineStr">
        <is>
          <t>'=IFERROR(PMT(INDEX(Data[],ROW()-ROW(Data[[#Headers],[25]]),1)/12,Data[[#Headers],[25]]*12,-LoanAmount,0,IF(PaymentsDue="End of Period",0,1)), "")</t>
        </is>
      </c>
      <c r="G300" t="n">
        <v>67.15694932591525</v>
      </c>
      <c r="H300" t="inlineStr"/>
      <c r="I300" t="inlineStr">
        <is>
          <t>"$"#,##0.00_);[Red]\("$"#,##0.00\)</t>
        </is>
      </c>
      <c r="J300" t="b">
        <v>0</v>
      </c>
      <c r="K300" t="b">
        <v>0</v>
      </c>
      <c r="L300" t="n">
        <v>11</v>
      </c>
      <c r="M300" t="inlineStr">
        <is>
          <t>Values must be of type &lt;class 'str'&gt;</t>
        </is>
      </c>
      <c r="N300" t="inlineStr">
        <is>
          <t>00000000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inlineStr">
        <is>
          <t>G000008</t>
        </is>
      </c>
      <c r="T300" t="inlineStr">
        <is>
          <t>Vertical</t>
        </is>
      </c>
      <c r="U300" t="n">
        <v>57</v>
      </c>
      <c r="V300" t="b">
        <v>1</v>
      </c>
      <c r="W300" t="inlineStr">
        <is>
          <t>Loan analysis!I10:I66</t>
        </is>
      </c>
      <c r="X300">
        <f>IFERROR(PMT(INDEX(Data[],ROW()-ROW(Data[[#Headers],[25]]),1)/12,Data[[#Headers],[25]]*12,-LoanAmount,0,IF(PaymentsDue="End of Period",0,1)), "")</f>
        <v/>
      </c>
    </row>
    <row r="301">
      <c r="A301" t="inlineStr">
        <is>
          <t>Loan analysis</t>
        </is>
      </c>
      <c r="B301" t="inlineStr">
        <is>
          <t>J28</t>
        </is>
      </c>
      <c r="C301" t="n">
        <v>28</v>
      </c>
      <c r="D301" t="n">
        <v>10</v>
      </c>
      <c r="E301" t="inlineStr">
        <is>
          <t>Output</t>
        </is>
      </c>
      <c r="F301" t="inlineStr">
        <is>
          <t>'=IFERROR(PMT(INDEX(Data[],ROW()-ROW(Data[[#Headers],[30]]),1)/12,Data[[#Headers],[30]]*12,-LoanAmount,0,IF(PaymentsDue="End of Period",0,1)), "")</t>
        </is>
      </c>
      <c r="G301" t="n">
        <v>62.86627668392512</v>
      </c>
      <c r="H301" t="inlineStr"/>
      <c r="I301" t="inlineStr">
        <is>
          <t>"$"#,##0.00_);[Red]\("$"#,##0.00\)</t>
        </is>
      </c>
      <c r="J301" t="b">
        <v>0</v>
      </c>
      <c r="K301" t="b">
        <v>0</v>
      </c>
      <c r="L301" t="n">
        <v>11</v>
      </c>
      <c r="M301" t="inlineStr">
        <is>
          <t>Values must be of type &lt;class 'str'&gt;</t>
        </is>
      </c>
      <c r="N301" t="inlineStr">
        <is>
          <t>00000000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inlineStr">
        <is>
          <t>G000009</t>
        </is>
      </c>
      <c r="T301" t="inlineStr">
        <is>
          <t>Vertical</t>
        </is>
      </c>
      <c r="U301" t="n">
        <v>57</v>
      </c>
      <c r="V301" t="b">
        <v>1</v>
      </c>
      <c r="W301" t="inlineStr">
        <is>
          <t>Loan analysis!J10:J66</t>
        </is>
      </c>
      <c r="X301">
        <f>IFERROR(PMT(INDEX(Data[],ROW()-ROW(Data[[#Headers],[30]]),1)/12,Data[[#Headers],[30]]*12,-LoanAmount,0,IF(PaymentsDue="End of Period",0,1)), "")</f>
        <v/>
      </c>
    </row>
    <row r="302">
      <c r="A302" t="inlineStr">
        <is>
          <t>Loan analysis</t>
        </is>
      </c>
      <c r="B302" t="inlineStr">
        <is>
          <t>K28</t>
        </is>
      </c>
      <c r="C302" t="n">
        <v>28</v>
      </c>
      <c r="D302" t="n">
        <v>11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n">
        <v/>
      </c>
      <c r="P302" t="n">
        <v/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Loan analysis</t>
        </is>
      </c>
      <c r="B303" t="inlineStr">
        <is>
          <t>L28</t>
        </is>
      </c>
      <c r="C303" t="n">
        <v>28</v>
      </c>
      <c r="D303" t="n">
        <v>12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Values must be of type &lt;class 'str'&gt;</t>
        </is>
      </c>
      <c r="N303" t="inlineStr">
        <is>
          <t>00000000</t>
        </is>
      </c>
      <c r="O303" t="n">
        <v/>
      </c>
      <c r="P303" t="n">
        <v/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Loan analysis</t>
        </is>
      </c>
      <c r="B304" t="inlineStr">
        <is>
          <t>A29</t>
        </is>
      </c>
      <c r="C304" t="n">
        <v>29</v>
      </c>
      <c r="D304" t="n">
        <v>1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n">
        <v/>
      </c>
      <c r="P304" t="n">
        <v/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Loan analysis</t>
        </is>
      </c>
      <c r="B305" t="inlineStr">
        <is>
          <t>B29</t>
        </is>
      </c>
      <c r="C305" t="n">
        <v>29</v>
      </c>
      <c r="D305" t="n">
        <v>2</v>
      </c>
      <c r="E305" t="inlineStr">
        <is>
          <t>Output</t>
        </is>
      </c>
      <c r="F305" t="inlineStr">
        <is>
          <t>'=IFERROR(MAX((ROW()-ROW(Data[[#Headers],[RATE]]))*0.0025+0.0175,0.0025), "")</t>
        </is>
      </c>
      <c r="G305" t="n">
        <v>0.0675</v>
      </c>
      <c r="H305" t="inlineStr"/>
      <c r="I305" t="inlineStr">
        <is>
          <t>0.00%</t>
        </is>
      </c>
      <c r="J305" t="b">
        <v>0</v>
      </c>
      <c r="K305" t="b">
        <v>0</v>
      </c>
      <c r="L305" t="n">
        <v>11</v>
      </c>
      <c r="M305" t="inlineStr">
        <is>
          <t>Values must be of type &lt;class 'str'&gt;</t>
        </is>
      </c>
      <c r="N305" t="inlineStr">
        <is>
          <t>00000000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inlineStr">
        <is>
          <t>G000001</t>
        </is>
      </c>
      <c r="T305" t="inlineStr">
        <is>
          <t>Vertical</t>
        </is>
      </c>
      <c r="U305" t="n">
        <v>57</v>
      </c>
      <c r="V305" t="b">
        <v>1</v>
      </c>
      <c r="W305" t="inlineStr">
        <is>
          <t>Loan analysis!B10:B66</t>
        </is>
      </c>
      <c r="X305">
        <f>IFERROR(MAX((ROW()-ROW(Data[[#Headers],[RATE]]))*0.0025+0.0175,0.0025), "")</f>
        <v/>
      </c>
    </row>
    <row r="306">
      <c r="A306" t="inlineStr">
        <is>
          <t>Loan analysis</t>
        </is>
      </c>
      <c r="B306" t="inlineStr">
        <is>
          <t>C29</t>
        </is>
      </c>
      <c r="C306" t="n">
        <v>29</v>
      </c>
      <c r="D306" t="n">
        <v>3</v>
      </c>
      <c r="E306" t="inlineStr">
        <is>
          <t>Output</t>
        </is>
      </c>
      <c r="F306" t="inlineStr">
        <is>
          <t>'=IFERROR(PMT(INDEX(Data[],ROW()-ROW(Data[[#Headers],[3]]),1)/12,Data[[#Headers],[3]]*12,-LoanAmount,0,IF(PaymentsDue="End of Period",0,1)), "")</t>
        </is>
      </c>
      <c r="G306" t="n">
        <v>305.9084785881832</v>
      </c>
      <c r="H306" t="inlineStr"/>
      <c r="I306" t="inlineStr">
        <is>
          <t>"$"#,##0.00_);[Red]\("$"#,##0.00\)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00000000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inlineStr">
        <is>
          <t>G000002</t>
        </is>
      </c>
      <c r="T306" t="inlineStr">
        <is>
          <t>Vertical</t>
        </is>
      </c>
      <c r="U306" t="n">
        <v>57</v>
      </c>
      <c r="V306" t="b">
        <v>1</v>
      </c>
      <c r="W306" t="inlineStr">
        <is>
          <t>Loan analysis!C10:C66</t>
        </is>
      </c>
      <c r="X306">
        <f>IFERROR(PMT(INDEX(Data[],ROW()-ROW(Data[[#Headers],[3]]),1)/12,Data[[#Headers],[3]]*12,-LoanAmount,0,IF(PaymentsDue="End of Period",0,1)), "")</f>
        <v/>
      </c>
    </row>
    <row r="307">
      <c r="A307" t="inlineStr">
        <is>
          <t>Loan analysis</t>
        </is>
      </c>
      <c r="B307" t="inlineStr">
        <is>
          <t>D29</t>
        </is>
      </c>
      <c r="C307" t="n">
        <v>29</v>
      </c>
      <c r="D307" t="n">
        <v>4</v>
      </c>
      <c r="E307" t="inlineStr">
        <is>
          <t>Output</t>
        </is>
      </c>
      <c r="F307" t="inlineStr">
        <is>
          <t>'=IFERROR(PMT(INDEX(Data[],ROW()-ROW(Data[[#Headers],[5]]),1)/12,Data[[#Headers],[5]]*12,-LoanAmount,0,IF(PaymentsDue="End of Period",0,1)), "")</t>
        </is>
      </c>
      <c r="G307" t="n">
        <v>195.7336051163731</v>
      </c>
      <c r="H307" t="inlineStr"/>
      <c r="I307" t="inlineStr">
        <is>
          <t>"$"#,##0.00_);[Red]\("$"#,##0.00\)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00000000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inlineStr">
        <is>
          <t>G000003</t>
        </is>
      </c>
      <c r="T307" t="inlineStr">
        <is>
          <t>Vertical</t>
        </is>
      </c>
      <c r="U307" t="n">
        <v>57</v>
      </c>
      <c r="V307" t="b">
        <v>1</v>
      </c>
      <c r="W307" t="inlineStr">
        <is>
          <t>Loan analysis!D10:D66</t>
        </is>
      </c>
      <c r="X307">
        <f>IFERROR(PMT(INDEX(Data[],ROW()-ROW(Data[[#Headers],[5]]),1)/12,Data[[#Headers],[5]]*12,-LoanAmount,0,IF(PaymentsDue="End of Period",0,1)), "")</f>
        <v/>
      </c>
    </row>
    <row r="308">
      <c r="A308" t="inlineStr">
        <is>
          <t>Loan analysis</t>
        </is>
      </c>
      <c r="B308" t="inlineStr">
        <is>
          <t>E29</t>
        </is>
      </c>
      <c r="C308" t="n">
        <v>29</v>
      </c>
      <c r="D308" t="n">
        <v>5</v>
      </c>
      <c r="E308" t="inlineStr">
        <is>
          <t>Output</t>
        </is>
      </c>
      <c r="F308" t="inlineStr">
        <is>
          <t>'=IFERROR(PMT(INDEX(Data[],ROW()-ROW(Data[[#Headers],[10]]),1)/12,Data[[#Headers],[10]]*12,-LoanAmount,0,IF(PaymentsDue="End of Period",0,1)), "")</t>
        </is>
      </c>
      <c r="G308" t="n">
        <v>114.1818416166223</v>
      </c>
      <c r="H308" t="inlineStr"/>
      <c r="I308" t="inlineStr">
        <is>
          <t>"$"#,##0.00_);[Red]\("$"#,##0.00\)</t>
        </is>
      </c>
      <c r="J308" t="b">
        <v>0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00000000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inlineStr">
        <is>
          <t>G000004</t>
        </is>
      </c>
      <c r="T308" t="inlineStr">
        <is>
          <t>Vertical</t>
        </is>
      </c>
      <c r="U308" t="n">
        <v>57</v>
      </c>
      <c r="V308" t="b">
        <v>1</v>
      </c>
      <c r="W308" t="inlineStr">
        <is>
          <t>Loan analysis!E10:E66</t>
        </is>
      </c>
      <c r="X308">
        <f>IFERROR(PMT(INDEX(Data[],ROW()-ROW(Data[[#Headers],[10]]),1)/12,Data[[#Headers],[10]]*12,-LoanAmount,0,IF(PaymentsDue="End of Period",0,1)), "")</f>
        <v/>
      </c>
    </row>
    <row r="309">
      <c r="A309" t="inlineStr">
        <is>
          <t>Loan analysis</t>
        </is>
      </c>
      <c r="B309" t="inlineStr">
        <is>
          <t>F29</t>
        </is>
      </c>
      <c r="C309" t="n">
        <v>29</v>
      </c>
      <c r="D309" t="n">
        <v>6</v>
      </c>
      <c r="E309" t="inlineStr">
        <is>
          <t>Output</t>
        </is>
      </c>
      <c r="F309" t="inlineStr">
        <is>
          <t>'=IFERROR(PMT(INDEX(Data[],ROW()-ROW(Data[[#Headers],[12]]),1)/12,Data[[#Headers],[12]]*12,-LoanAmount,0,IF(PaymentsDue="End of Period",0,1)), "")</t>
        </is>
      </c>
      <c r="G309" t="n">
        <v>100.9424676247468</v>
      </c>
      <c r="H309" t="inlineStr"/>
      <c r="I309" t="inlineStr">
        <is>
          <t>"$"#,##0.00_);[Red]\("$"#,##0.00\)</t>
        </is>
      </c>
      <c r="J309" t="b">
        <v>0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00000000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inlineStr">
        <is>
          <t>G000005</t>
        </is>
      </c>
      <c r="T309" t="inlineStr">
        <is>
          <t>Vertical</t>
        </is>
      </c>
      <c r="U309" t="n">
        <v>57</v>
      </c>
      <c r="V309" t="b">
        <v>1</v>
      </c>
      <c r="W309" t="inlineStr">
        <is>
          <t>Loan analysis!F10:F66</t>
        </is>
      </c>
      <c r="X309">
        <f>IFERROR(PMT(INDEX(Data[],ROW()-ROW(Data[[#Headers],[12]]),1)/12,Data[[#Headers],[12]]*12,-LoanAmount,0,IF(PaymentsDue="End of Period",0,1)), "")</f>
        <v/>
      </c>
    </row>
    <row r="310">
      <c r="A310" t="inlineStr">
        <is>
          <t>Loan analysis</t>
        </is>
      </c>
      <c r="B310" t="inlineStr">
        <is>
          <t>G29</t>
        </is>
      </c>
      <c r="C310" t="n">
        <v>29</v>
      </c>
      <c r="D310" t="n">
        <v>7</v>
      </c>
      <c r="E310" t="inlineStr">
        <is>
          <t>Output</t>
        </is>
      </c>
      <c r="F310" t="inlineStr">
        <is>
          <t>'=IFERROR(PMT(INDEX(Data[],ROW()-ROW(Data[[#Headers],[15]]),1)/12,Data[[#Headers],[15]]*12,-LoanAmount,0,IF(PaymentsDue="End of Period",0,1)), "")</t>
        </is>
      </c>
      <c r="G310" t="n">
        <v>87.99596890033773</v>
      </c>
      <c r="H310" t="inlineStr"/>
      <c r="I310" t="inlineStr">
        <is>
          <t>"$"#,##0.00_);[Red]\("$"#,##0.00\)</t>
        </is>
      </c>
      <c r="J310" t="b">
        <v>0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00000000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inlineStr">
        <is>
          <t>G000006</t>
        </is>
      </c>
      <c r="T310" t="inlineStr">
        <is>
          <t>Vertical</t>
        </is>
      </c>
      <c r="U310" t="n">
        <v>57</v>
      </c>
      <c r="V310" t="b">
        <v>1</v>
      </c>
      <c r="W310" t="inlineStr">
        <is>
          <t>Loan analysis!G10:G66</t>
        </is>
      </c>
      <c r="X310">
        <f>IFERROR(PMT(INDEX(Data[],ROW()-ROW(Data[[#Headers],[15]]),1)/12,Data[[#Headers],[15]]*12,-LoanAmount,0,IF(PaymentsDue="End of Period",0,1)), "")</f>
        <v/>
      </c>
    </row>
    <row r="311">
      <c r="A311" t="inlineStr">
        <is>
          <t>Loan analysis</t>
        </is>
      </c>
      <c r="B311" t="inlineStr">
        <is>
          <t>H29</t>
        </is>
      </c>
      <c r="C311" t="n">
        <v>29</v>
      </c>
      <c r="D311" t="n">
        <v>8</v>
      </c>
      <c r="E311" t="inlineStr">
        <is>
          <t>Output</t>
        </is>
      </c>
      <c r="F311" t="inlineStr">
        <is>
          <t>'=IFERROR(PMT(INDEX(Data[],ROW()-ROW(Data[[#Headers],[20]]),1)/12,Data[[#Headers],[20]]*12,-LoanAmount,0,IF(PaymentsDue="End of Period",0,1)), "")</t>
        </is>
      </c>
      <c r="G311" t="n">
        <v>75.61108860291417</v>
      </c>
      <c r="H311" t="inlineStr"/>
      <c r="I311" t="inlineStr">
        <is>
          <t>"$"#,##0.00_);[Red]\("$"#,##0.00\)</t>
        </is>
      </c>
      <c r="J311" t="b">
        <v>0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00000000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inlineStr">
        <is>
          <t>G000007</t>
        </is>
      </c>
      <c r="T311" t="inlineStr">
        <is>
          <t>Vertical</t>
        </is>
      </c>
      <c r="U311" t="n">
        <v>57</v>
      </c>
      <c r="V311" t="b">
        <v>1</v>
      </c>
      <c r="W311" t="inlineStr">
        <is>
          <t>Loan analysis!H10:H66</t>
        </is>
      </c>
      <c r="X311">
        <f>IFERROR(PMT(INDEX(Data[],ROW()-ROW(Data[[#Headers],[20]]),1)/12,Data[[#Headers],[20]]*12,-LoanAmount,0,IF(PaymentsDue="End of Period",0,1)), "")</f>
        <v/>
      </c>
    </row>
    <row r="312">
      <c r="A312" t="inlineStr">
        <is>
          <t>Loan analysis</t>
        </is>
      </c>
      <c r="B312" t="inlineStr">
        <is>
          <t>I29</t>
        </is>
      </c>
      <c r="C312" t="n">
        <v>29</v>
      </c>
      <c r="D312" t="n">
        <v>9</v>
      </c>
      <c r="E312" t="inlineStr">
        <is>
          <t>Output</t>
        </is>
      </c>
      <c r="F312" t="inlineStr">
        <is>
          <t>'=IFERROR(PMT(INDEX(Data[],ROW()-ROW(Data[[#Headers],[25]]),1)/12,Data[[#Headers],[25]]*12,-LoanAmount,0,IF(PaymentsDue="End of Period",0,1)), "")</t>
        </is>
      </c>
      <c r="G312" t="n">
        <v>68.70468864762181</v>
      </c>
      <c r="H312" t="inlineStr"/>
      <c r="I312" t="inlineStr">
        <is>
          <t>"$"#,##0.00_);[Red]\("$"#,##0.00\)</t>
        </is>
      </c>
      <c r="J312" t="b">
        <v>0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00000000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inlineStr">
        <is>
          <t>G000008</t>
        </is>
      </c>
      <c r="T312" t="inlineStr">
        <is>
          <t>Vertical</t>
        </is>
      </c>
      <c r="U312" t="n">
        <v>57</v>
      </c>
      <c r="V312" t="b">
        <v>1</v>
      </c>
      <c r="W312" t="inlineStr">
        <is>
          <t>Loan analysis!I10:I66</t>
        </is>
      </c>
      <c r="X312">
        <f>IFERROR(PMT(INDEX(Data[],ROW()-ROW(Data[[#Headers],[25]]),1)/12,Data[[#Headers],[25]]*12,-LoanAmount,0,IF(PaymentsDue="End of Period",0,1)), "")</f>
        <v/>
      </c>
    </row>
    <row r="313">
      <c r="A313" t="inlineStr">
        <is>
          <t>Loan analysis</t>
        </is>
      </c>
      <c r="B313" t="inlineStr">
        <is>
          <t>J29</t>
        </is>
      </c>
      <c r="C313" t="n">
        <v>29</v>
      </c>
      <c r="D313" t="n">
        <v>10</v>
      </c>
      <c r="E313" t="inlineStr">
        <is>
          <t>Output</t>
        </is>
      </c>
      <c r="F313" t="inlineStr">
        <is>
          <t>'=IFERROR(PMT(INDEX(Data[],ROW()-ROW(Data[[#Headers],[30]]),1)/12,Data[[#Headers],[30]]*12,-LoanAmount,0,IF(PaymentsDue="End of Period",0,1)), "")</t>
        </is>
      </c>
      <c r="G313" t="n">
        <v>64.49701395333402</v>
      </c>
      <c r="H313" t="inlineStr"/>
      <c r="I313" t="inlineStr">
        <is>
          <t>"$"#,##0.00_);[Red]\("$"#,##0.00\)</t>
        </is>
      </c>
      <c r="J313" t="b">
        <v>0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00000000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inlineStr">
        <is>
          <t>G000009</t>
        </is>
      </c>
      <c r="T313" t="inlineStr">
        <is>
          <t>Vertical</t>
        </is>
      </c>
      <c r="U313" t="n">
        <v>57</v>
      </c>
      <c r="V313" t="b">
        <v>1</v>
      </c>
      <c r="W313" t="inlineStr">
        <is>
          <t>Loan analysis!J10:J66</t>
        </is>
      </c>
      <c r="X313">
        <f>IFERROR(PMT(INDEX(Data[],ROW()-ROW(Data[[#Headers],[30]]),1)/12,Data[[#Headers],[30]]*12,-LoanAmount,0,IF(PaymentsDue="End of Period",0,1)), "")</f>
        <v/>
      </c>
    </row>
    <row r="314">
      <c r="A314" t="inlineStr">
        <is>
          <t>Loan analysis</t>
        </is>
      </c>
      <c r="B314" t="inlineStr">
        <is>
          <t>K29</t>
        </is>
      </c>
      <c r="C314" t="n">
        <v>29</v>
      </c>
      <c r="D314" t="n">
        <v>11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Loan analysis</t>
        </is>
      </c>
      <c r="B315" t="inlineStr">
        <is>
          <t>L29</t>
        </is>
      </c>
      <c r="C315" t="n">
        <v>29</v>
      </c>
      <c r="D315" t="n">
        <v>12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00000000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Loan analysis</t>
        </is>
      </c>
      <c r="B316" t="inlineStr">
        <is>
          <t>A30</t>
        </is>
      </c>
      <c r="C316" t="n">
        <v>30</v>
      </c>
      <c r="D316" t="n">
        <v>1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Loan analysis</t>
        </is>
      </c>
      <c r="B317" t="inlineStr">
        <is>
          <t>B30</t>
        </is>
      </c>
      <c r="C317" t="n">
        <v>30</v>
      </c>
      <c r="D317" t="n">
        <v>2</v>
      </c>
      <c r="E317" t="inlineStr">
        <is>
          <t>Output</t>
        </is>
      </c>
      <c r="F317" t="inlineStr">
        <is>
          <t>'=IFERROR(MAX((ROW()-ROW(Data[[#Headers],[RATE]]))*0.0025+0.0175,0.0025), "")</t>
        </is>
      </c>
      <c r="G317" t="n">
        <v>0.07000000000000001</v>
      </c>
      <c r="H317" t="inlineStr"/>
      <c r="I317" t="inlineStr">
        <is>
          <t>0.00%</t>
        </is>
      </c>
      <c r="J317" t="b">
        <v>0</v>
      </c>
      <c r="K317" t="b">
        <v>0</v>
      </c>
      <c r="L317" t="n">
        <v>11</v>
      </c>
      <c r="M317" t="inlineStr">
        <is>
          <t>Values must be of type &lt;class 'str'&gt;</t>
        </is>
      </c>
      <c r="N317" t="inlineStr">
        <is>
          <t>00000000</t>
        </is>
      </c>
      <c r="O317" t="inlineStr">
        <is>
          <t>center</t>
        </is>
      </c>
      <c r="P317" t="inlineStr">
        <is>
          <t>center</t>
        </is>
      </c>
      <c r="R317" t="b">
        <v>1</v>
      </c>
      <c r="S317" t="inlineStr">
        <is>
          <t>G000001</t>
        </is>
      </c>
      <c r="T317" t="inlineStr">
        <is>
          <t>Vertical</t>
        </is>
      </c>
      <c r="U317" t="n">
        <v>57</v>
      </c>
      <c r="V317" t="b">
        <v>1</v>
      </c>
      <c r="W317" t="inlineStr">
        <is>
          <t>Loan analysis!B10:B66</t>
        </is>
      </c>
      <c r="X317">
        <f>IFERROR(MAX((ROW()-ROW(Data[[#Headers],[RATE]]))*0.0025+0.0175,0.0025), "")</f>
        <v/>
      </c>
    </row>
    <row r="318">
      <c r="A318" t="inlineStr">
        <is>
          <t>Loan analysis</t>
        </is>
      </c>
      <c r="B318" t="inlineStr">
        <is>
          <t>C30</t>
        </is>
      </c>
      <c r="C318" t="n">
        <v>30</v>
      </c>
      <c r="D318" t="n">
        <v>3</v>
      </c>
      <c r="E318" t="inlineStr">
        <is>
          <t>Output</t>
        </is>
      </c>
      <c r="F318" t="inlineStr">
        <is>
          <t>'=IFERROR(PMT(INDEX(Data[],ROW()-ROW(Data[[#Headers],[3]]),1)/12,Data[[#Headers],[3]]*12,-LoanAmount,0,IF(PaymentsDue="End of Period",0,1)), "")</t>
        </is>
      </c>
      <c r="G318" t="n">
        <v>306.9802505256531</v>
      </c>
      <c r="H318" t="inlineStr"/>
      <c r="I318" t="inlineStr">
        <is>
          <t>"$"#,##0.00_);[Red]\("$"#,##0.00\)</t>
        </is>
      </c>
      <c r="J318" t="b">
        <v>0</v>
      </c>
      <c r="K318" t="b">
        <v>0</v>
      </c>
      <c r="L318" t="n">
        <v>11</v>
      </c>
      <c r="M318" t="inlineStr">
        <is>
          <t>Values must be of type &lt;class 'str'&gt;</t>
        </is>
      </c>
      <c r="N318" t="inlineStr">
        <is>
          <t>00000000</t>
        </is>
      </c>
      <c r="O318" t="inlineStr">
        <is>
          <t>center</t>
        </is>
      </c>
      <c r="P318" t="inlineStr">
        <is>
          <t>center</t>
        </is>
      </c>
      <c r="R318" t="b">
        <v>1</v>
      </c>
      <c r="S318" t="inlineStr">
        <is>
          <t>G000002</t>
        </is>
      </c>
      <c r="T318" t="inlineStr">
        <is>
          <t>Vertical</t>
        </is>
      </c>
      <c r="U318" t="n">
        <v>57</v>
      </c>
      <c r="V318" t="b">
        <v>1</v>
      </c>
      <c r="W318" t="inlineStr">
        <is>
          <t>Loan analysis!C10:C66</t>
        </is>
      </c>
      <c r="X318">
        <f>IFERROR(PMT(INDEX(Data[],ROW()-ROW(Data[[#Headers],[3]]),1)/12,Data[[#Headers],[3]]*12,-LoanAmount,0,IF(PaymentsDue="End of Period",0,1)), "")</f>
        <v/>
      </c>
    </row>
    <row r="319">
      <c r="A319" t="inlineStr">
        <is>
          <t>Loan analysis</t>
        </is>
      </c>
      <c r="B319" t="inlineStr">
        <is>
          <t>D30</t>
        </is>
      </c>
      <c r="C319" t="n">
        <v>30</v>
      </c>
      <c r="D319" t="n">
        <v>4</v>
      </c>
      <c r="E319" t="inlineStr">
        <is>
          <t>Output</t>
        </is>
      </c>
      <c r="F319" t="inlineStr">
        <is>
          <t>'=IFERROR(PMT(INDEX(Data[],ROW()-ROW(Data[[#Headers],[5]]),1)/12,Data[[#Headers],[5]]*12,-LoanAmount,0,IF(PaymentsDue="End of Period",0,1)), "")</t>
        </is>
      </c>
      <c r="G319" t="n">
        <v>196.8636143199622</v>
      </c>
      <c r="H319" t="inlineStr"/>
      <c r="I319" t="inlineStr">
        <is>
          <t>"$"#,##0.00_);[Red]\("$"#,##0.00\)</t>
        </is>
      </c>
      <c r="J319" t="b">
        <v>0</v>
      </c>
      <c r="K319" t="b">
        <v>0</v>
      </c>
      <c r="L319" t="n">
        <v>11</v>
      </c>
      <c r="M319" t="inlineStr">
        <is>
          <t>Values must be of type &lt;class 'str'&gt;</t>
        </is>
      </c>
      <c r="N319" t="inlineStr">
        <is>
          <t>00000000</t>
        </is>
      </c>
      <c r="O319" t="inlineStr">
        <is>
          <t>center</t>
        </is>
      </c>
      <c r="P319" t="inlineStr">
        <is>
          <t>center</t>
        </is>
      </c>
      <c r="R319" t="b">
        <v>1</v>
      </c>
      <c r="S319" t="inlineStr">
        <is>
          <t>G000003</t>
        </is>
      </c>
      <c r="T319" t="inlineStr">
        <is>
          <t>Vertical</t>
        </is>
      </c>
      <c r="U319" t="n">
        <v>57</v>
      </c>
      <c r="V319" t="b">
        <v>1</v>
      </c>
      <c r="W319" t="inlineStr">
        <is>
          <t>Loan analysis!D10:D66</t>
        </is>
      </c>
      <c r="X319">
        <f>IFERROR(PMT(INDEX(Data[],ROW()-ROW(Data[[#Headers],[5]]),1)/12,Data[[#Headers],[5]]*12,-LoanAmount,0,IF(PaymentsDue="End of Period",0,1)), "")</f>
        <v/>
      </c>
    </row>
    <row r="320">
      <c r="A320" t="inlineStr">
        <is>
          <t>Loan analysis</t>
        </is>
      </c>
      <c r="B320" t="inlineStr">
        <is>
          <t>E30</t>
        </is>
      </c>
      <c r="C320" t="n">
        <v>30</v>
      </c>
      <c r="D320" t="n">
        <v>5</v>
      </c>
      <c r="E320" t="inlineStr">
        <is>
          <t>Output</t>
        </is>
      </c>
      <c r="F320" t="inlineStr">
        <is>
          <t>'=IFERROR(PMT(INDEX(Data[],ROW()-ROW(Data[[#Headers],[10]]),1)/12,Data[[#Headers],[10]]*12,-LoanAmount,0,IF(PaymentsDue="End of Period",0,1)), "")</t>
        </is>
      </c>
      <c r="G320" t="n">
        <v>115.4351077567099</v>
      </c>
      <c r="H320" t="inlineStr"/>
      <c r="I320" t="inlineStr">
        <is>
          <t>"$"#,##0.00_);[Red]\("$"#,##0.00\)</t>
        </is>
      </c>
      <c r="J320" t="b">
        <v>0</v>
      </c>
      <c r="K320" t="b">
        <v>0</v>
      </c>
      <c r="L320" t="n">
        <v>11</v>
      </c>
      <c r="M320" t="inlineStr">
        <is>
          <t>Values must be of type &lt;class 'str'&gt;</t>
        </is>
      </c>
      <c r="N320" t="inlineStr">
        <is>
          <t>00000000</t>
        </is>
      </c>
      <c r="O320" t="inlineStr">
        <is>
          <t>center</t>
        </is>
      </c>
      <c r="P320" t="inlineStr">
        <is>
          <t>center</t>
        </is>
      </c>
      <c r="R320" t="b">
        <v>1</v>
      </c>
      <c r="S320" t="inlineStr">
        <is>
          <t>G000004</t>
        </is>
      </c>
      <c r="T320" t="inlineStr">
        <is>
          <t>Vertical</t>
        </is>
      </c>
      <c r="U320" t="n">
        <v>57</v>
      </c>
      <c r="V320" t="b">
        <v>1</v>
      </c>
      <c r="W320" t="inlineStr">
        <is>
          <t>Loan analysis!E10:E66</t>
        </is>
      </c>
      <c r="X320">
        <f>IFERROR(PMT(INDEX(Data[],ROW()-ROW(Data[[#Headers],[10]]),1)/12,Data[[#Headers],[10]]*12,-LoanAmount,0,IF(PaymentsDue="End of Period",0,1)), "")</f>
        <v/>
      </c>
    </row>
    <row r="321">
      <c r="A321" t="inlineStr">
        <is>
          <t>Loan analysis</t>
        </is>
      </c>
      <c r="B321" t="inlineStr">
        <is>
          <t>F30</t>
        </is>
      </c>
      <c r="C321" t="n">
        <v>30</v>
      </c>
      <c r="D321" t="n">
        <v>6</v>
      </c>
      <c r="E321" t="inlineStr">
        <is>
          <t>Output</t>
        </is>
      </c>
      <c r="F321" t="inlineStr">
        <is>
          <t>'=IFERROR(PMT(INDEX(Data[],ROW()-ROW(Data[[#Headers],[12]]),1)/12,Data[[#Headers],[12]]*12,-LoanAmount,0,IF(PaymentsDue="End of Period",0,1)), "")</t>
        </is>
      </c>
      <c r="G321" t="n">
        <v>102.2416995869708</v>
      </c>
      <c r="H321" t="inlineStr"/>
      <c r="I321" t="inlineStr">
        <is>
          <t>"$"#,##0.00_);[Red]\("$"#,##0.00\)</t>
        </is>
      </c>
      <c r="J321" t="b">
        <v>0</v>
      </c>
      <c r="K321" t="b">
        <v>0</v>
      </c>
      <c r="L321" t="n">
        <v>11</v>
      </c>
      <c r="M321" t="inlineStr">
        <is>
          <t>Values must be of type &lt;class 'str'&gt;</t>
        </is>
      </c>
      <c r="N321" t="inlineStr">
        <is>
          <t>00000000</t>
        </is>
      </c>
      <c r="O321" t="inlineStr">
        <is>
          <t>center</t>
        </is>
      </c>
      <c r="P321" t="inlineStr">
        <is>
          <t>center</t>
        </is>
      </c>
      <c r="R321" t="b">
        <v>1</v>
      </c>
      <c r="S321" t="inlineStr">
        <is>
          <t>G000005</t>
        </is>
      </c>
      <c r="T321" t="inlineStr">
        <is>
          <t>Vertical</t>
        </is>
      </c>
      <c r="U321" t="n">
        <v>57</v>
      </c>
      <c r="V321" t="b">
        <v>1</v>
      </c>
      <c r="W321" t="inlineStr">
        <is>
          <t>Loan analysis!F10:F66</t>
        </is>
      </c>
      <c r="X321">
        <f>IFERROR(PMT(INDEX(Data[],ROW()-ROW(Data[[#Headers],[12]]),1)/12,Data[[#Headers],[12]]*12,-LoanAmount,0,IF(PaymentsDue="End of Period",0,1)), "")</f>
        <v/>
      </c>
    </row>
    <row r="322">
      <c r="A322" t="inlineStr">
        <is>
          <t>Loan analysis</t>
        </is>
      </c>
      <c r="B322" t="inlineStr">
        <is>
          <t>G30</t>
        </is>
      </c>
      <c r="C322" t="n">
        <v>30</v>
      </c>
      <c r="D322" t="n">
        <v>7</v>
      </c>
      <c r="E322" t="inlineStr">
        <is>
          <t>Output</t>
        </is>
      </c>
      <c r="F322" t="inlineStr">
        <is>
          <t>'=IFERROR(PMT(INDEX(Data[],ROW()-ROW(Data[[#Headers],[15]]),1)/12,Data[[#Headers],[15]]*12,-LoanAmount,0,IF(PaymentsDue="End of Period",0,1)), "")</t>
        </is>
      </c>
      <c r="G322" t="n">
        <v>89.36155136892397</v>
      </c>
      <c r="H322" t="inlineStr"/>
      <c r="I322" t="inlineStr">
        <is>
          <t>"$"#,##0.00_);[Red]\("$"#,##0.00\)</t>
        </is>
      </c>
      <c r="J322" t="b">
        <v>0</v>
      </c>
      <c r="K322" t="b">
        <v>0</v>
      </c>
      <c r="L322" t="n">
        <v>11</v>
      </c>
      <c r="M322" t="inlineStr">
        <is>
          <t>Values must be of type &lt;class 'str'&gt;</t>
        </is>
      </c>
      <c r="N322" t="inlineStr">
        <is>
          <t>00000000</t>
        </is>
      </c>
      <c r="O322" t="inlineStr">
        <is>
          <t>center</t>
        </is>
      </c>
      <c r="P322" t="inlineStr">
        <is>
          <t>center</t>
        </is>
      </c>
      <c r="R322" t="b">
        <v>1</v>
      </c>
      <c r="S322" t="inlineStr">
        <is>
          <t>G000006</t>
        </is>
      </c>
      <c r="T322" t="inlineStr">
        <is>
          <t>Vertical</t>
        </is>
      </c>
      <c r="U322" t="n">
        <v>57</v>
      </c>
      <c r="V322" t="b">
        <v>1</v>
      </c>
      <c r="W322" t="inlineStr">
        <is>
          <t>Loan analysis!G10:G66</t>
        </is>
      </c>
      <c r="X322">
        <f>IFERROR(PMT(INDEX(Data[],ROW()-ROW(Data[[#Headers],[15]]),1)/12,Data[[#Headers],[15]]*12,-LoanAmount,0,IF(PaymentsDue="End of Period",0,1)), "")</f>
        <v/>
      </c>
    </row>
    <row r="323">
      <c r="A323" t="inlineStr">
        <is>
          <t>Loan analysis</t>
        </is>
      </c>
      <c r="B323" t="inlineStr">
        <is>
          <t>H30</t>
        </is>
      </c>
      <c r="C323" t="n">
        <v>30</v>
      </c>
      <c r="D323" t="n">
        <v>8</v>
      </c>
      <c r="E323" t="inlineStr">
        <is>
          <t>Output</t>
        </is>
      </c>
      <c r="F323" t="inlineStr">
        <is>
          <t>'=IFERROR(PMT(INDEX(Data[],ROW()-ROW(Data[[#Headers],[20]]),1)/12,Data[[#Headers],[20]]*12,-LoanAmount,0,IF(PaymentsDue="End of Period",0,1)), "")</t>
        </is>
      </c>
      <c r="G323" t="n">
        <v>77.08025871935787</v>
      </c>
      <c r="H323" t="inlineStr"/>
      <c r="I323" t="inlineStr">
        <is>
          <t>"$"#,##0.00_);[Red]\("$"#,##0.00\)</t>
        </is>
      </c>
      <c r="J323" t="b">
        <v>0</v>
      </c>
      <c r="K323" t="b">
        <v>0</v>
      </c>
      <c r="L323" t="n">
        <v>11</v>
      </c>
      <c r="M323" t="inlineStr">
        <is>
          <t>Values must be of type &lt;class 'str'&gt;</t>
        </is>
      </c>
      <c r="N323" t="inlineStr">
        <is>
          <t>00000000</t>
        </is>
      </c>
      <c r="O323" t="inlineStr">
        <is>
          <t>center</t>
        </is>
      </c>
      <c r="P323" t="inlineStr">
        <is>
          <t>center</t>
        </is>
      </c>
      <c r="R323" t="b">
        <v>1</v>
      </c>
      <c r="S323" t="inlineStr">
        <is>
          <t>G000007</t>
        </is>
      </c>
      <c r="T323" t="inlineStr">
        <is>
          <t>Vertical</t>
        </is>
      </c>
      <c r="U323" t="n">
        <v>57</v>
      </c>
      <c r="V323" t="b">
        <v>1</v>
      </c>
      <c r="W323" t="inlineStr">
        <is>
          <t>Loan analysis!H10:H66</t>
        </is>
      </c>
      <c r="X323">
        <f>IFERROR(PMT(INDEX(Data[],ROW()-ROW(Data[[#Headers],[20]]),1)/12,Data[[#Headers],[20]]*12,-LoanAmount,0,IF(PaymentsDue="End of Period",0,1)), "")</f>
        <v/>
      </c>
    </row>
    <row r="324">
      <c r="A324" t="inlineStr">
        <is>
          <t>Loan analysis</t>
        </is>
      </c>
      <c r="B324" t="inlineStr">
        <is>
          <t>I30</t>
        </is>
      </c>
      <c r="C324" t="n">
        <v>30</v>
      </c>
      <c r="D324" t="n">
        <v>9</v>
      </c>
      <c r="E324" t="inlineStr">
        <is>
          <t>Output</t>
        </is>
      </c>
      <c r="F324" t="inlineStr">
        <is>
          <t>'=IFERROR(PMT(INDEX(Data[],ROW()-ROW(Data[[#Headers],[25]]),1)/12,Data[[#Headers],[25]]*12,-LoanAmount,0,IF(PaymentsDue="End of Period",0,1)), "")</t>
        </is>
      </c>
      <c r="G324" t="n">
        <v>70.26802292710109</v>
      </c>
      <c r="H324" t="inlineStr"/>
      <c r="I324" t="inlineStr">
        <is>
          <t>"$"#,##0.00_);[Red]\("$"#,##0.00\)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00000000</t>
        </is>
      </c>
      <c r="O324" t="inlineStr">
        <is>
          <t>center</t>
        </is>
      </c>
      <c r="P324" t="inlineStr">
        <is>
          <t>center</t>
        </is>
      </c>
      <c r="R324" t="b">
        <v>1</v>
      </c>
      <c r="S324" t="inlineStr">
        <is>
          <t>G000008</t>
        </is>
      </c>
      <c r="T324" t="inlineStr">
        <is>
          <t>Vertical</t>
        </is>
      </c>
      <c r="U324" t="n">
        <v>57</v>
      </c>
      <c r="V324" t="b">
        <v>1</v>
      </c>
      <c r="W324" t="inlineStr">
        <is>
          <t>Loan analysis!I10:I66</t>
        </is>
      </c>
      <c r="X324">
        <f>IFERROR(PMT(INDEX(Data[],ROW()-ROW(Data[[#Headers],[25]]),1)/12,Data[[#Headers],[25]]*12,-LoanAmount,0,IF(PaymentsDue="End of Period",0,1)), "")</f>
        <v/>
      </c>
    </row>
    <row r="325">
      <c r="A325" t="inlineStr">
        <is>
          <t>Loan analysis</t>
        </is>
      </c>
      <c r="B325" t="inlineStr">
        <is>
          <t>J30</t>
        </is>
      </c>
      <c r="C325" t="n">
        <v>30</v>
      </c>
      <c r="D325" t="n">
        <v>10</v>
      </c>
      <c r="E325" t="inlineStr">
        <is>
          <t>Output</t>
        </is>
      </c>
      <c r="F325" t="inlineStr">
        <is>
          <t>'=IFERROR(PMT(INDEX(Data[],ROW()-ROW(Data[[#Headers],[30]]),1)/12,Data[[#Headers],[30]]*12,-LoanAmount,0,IF(PaymentsDue="End of Period",0,1)), "")</t>
        </is>
      </c>
      <c r="G325" t="n">
        <v>66.14440714291797</v>
      </c>
      <c r="H325" t="inlineStr"/>
      <c r="I325" t="inlineStr">
        <is>
          <t>"$"#,##0.00_);[Red]\("$"#,##0.00\)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00000000</t>
        </is>
      </c>
      <c r="O325" t="inlineStr">
        <is>
          <t>center</t>
        </is>
      </c>
      <c r="P325" t="inlineStr">
        <is>
          <t>center</t>
        </is>
      </c>
      <c r="R325" t="b">
        <v>1</v>
      </c>
      <c r="S325" t="inlineStr">
        <is>
          <t>G000009</t>
        </is>
      </c>
      <c r="T325" t="inlineStr">
        <is>
          <t>Vertical</t>
        </is>
      </c>
      <c r="U325" t="n">
        <v>57</v>
      </c>
      <c r="V325" t="b">
        <v>1</v>
      </c>
      <c r="W325" t="inlineStr">
        <is>
          <t>Loan analysis!J10:J66</t>
        </is>
      </c>
      <c r="X325">
        <f>IFERROR(PMT(INDEX(Data[],ROW()-ROW(Data[[#Headers],[30]]),1)/12,Data[[#Headers],[30]]*12,-LoanAmount,0,IF(PaymentsDue="End of Period",0,1)), "")</f>
        <v/>
      </c>
    </row>
    <row r="326">
      <c r="A326" t="inlineStr">
        <is>
          <t>Loan analysis</t>
        </is>
      </c>
      <c r="B326" t="inlineStr">
        <is>
          <t>K30</t>
        </is>
      </c>
      <c r="C326" t="n">
        <v>30</v>
      </c>
      <c r="D326" t="n">
        <v>11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11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n">
        <v/>
      </c>
      <c r="P326" t="n">
        <v/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Loan analysis</t>
        </is>
      </c>
      <c r="B327" t="inlineStr">
        <is>
          <t>L30</t>
        </is>
      </c>
      <c r="C327" t="n">
        <v>30</v>
      </c>
      <c r="D327" t="n">
        <v>12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Values must be of type &lt;class 'str'&gt;</t>
        </is>
      </c>
      <c r="N327" t="inlineStr">
        <is>
          <t>00000000</t>
        </is>
      </c>
      <c r="O327" t="n">
        <v/>
      </c>
      <c r="P327" t="n">
        <v/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Loan analysis</t>
        </is>
      </c>
      <c r="B328" t="inlineStr">
        <is>
          <t>A31</t>
        </is>
      </c>
      <c r="C328" t="n">
        <v>31</v>
      </c>
      <c r="D328" t="n">
        <v>1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11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Loan analysis</t>
        </is>
      </c>
      <c r="B329" t="inlineStr">
        <is>
          <t>B31</t>
        </is>
      </c>
      <c r="C329" t="n">
        <v>31</v>
      </c>
      <c r="D329" t="n">
        <v>2</v>
      </c>
      <c r="E329" t="inlineStr">
        <is>
          <t>Output</t>
        </is>
      </c>
      <c r="F329" t="inlineStr">
        <is>
          <t>'=IFERROR(MAX((ROW()-ROW(Data[[#Headers],[RATE]]))*0.0025+0.0175,0.0025), "")</t>
        </is>
      </c>
      <c r="G329" t="n">
        <v>0.07250000000000001</v>
      </c>
      <c r="H329" t="inlineStr"/>
      <c r="I329" t="inlineStr">
        <is>
          <t>0.00%</t>
        </is>
      </c>
      <c r="J329" t="b">
        <v>0</v>
      </c>
      <c r="K329" t="b">
        <v>0</v>
      </c>
      <c r="L329" t="n">
        <v>11</v>
      </c>
      <c r="M329" t="inlineStr">
        <is>
          <t>Values must be of type &lt;class 'str'&gt;</t>
        </is>
      </c>
      <c r="N329" t="inlineStr">
        <is>
          <t>00000000</t>
        </is>
      </c>
      <c r="O329" t="inlineStr">
        <is>
          <t>center</t>
        </is>
      </c>
      <c r="P329" t="inlineStr">
        <is>
          <t>center</t>
        </is>
      </c>
      <c r="R329" t="b">
        <v>1</v>
      </c>
      <c r="S329" t="inlineStr">
        <is>
          <t>G000001</t>
        </is>
      </c>
      <c r="T329" t="inlineStr">
        <is>
          <t>Vertical</t>
        </is>
      </c>
      <c r="U329" t="n">
        <v>57</v>
      </c>
      <c r="V329" t="b">
        <v>1</v>
      </c>
      <c r="W329" t="inlineStr">
        <is>
          <t>Loan analysis!B10:B66</t>
        </is>
      </c>
      <c r="X329">
        <f>IFERROR(MAX((ROW()-ROW(Data[[#Headers],[RATE]]))*0.0025+0.0175,0.0025), "")</f>
        <v/>
      </c>
    </row>
    <row r="330">
      <c r="A330" t="inlineStr">
        <is>
          <t>Loan analysis</t>
        </is>
      </c>
      <c r="B330" t="inlineStr">
        <is>
          <t>C31</t>
        </is>
      </c>
      <c r="C330" t="n">
        <v>31</v>
      </c>
      <c r="D330" t="n">
        <v>3</v>
      </c>
      <c r="E330" t="inlineStr">
        <is>
          <t>Output</t>
        </is>
      </c>
      <c r="F330" t="inlineStr">
        <is>
          <t>'=IFERROR(PMT(INDEX(Data[],ROW()-ROW(Data[[#Headers],[3]]),1)/12,Data[[#Headers],[3]]*12,-LoanAmount,0,IF(PaymentsDue="End of Period",0,1)), "")</t>
        </is>
      </c>
      <c r="G330" t="n">
        <v>308.0541314226963</v>
      </c>
      <c r="H330" t="inlineStr"/>
      <c r="I330" t="inlineStr">
        <is>
          <t>"$"#,##0.00_);[Red]\("$"#,##0.00\)</t>
        </is>
      </c>
      <c r="J330" t="b">
        <v>0</v>
      </c>
      <c r="K330" t="b">
        <v>0</v>
      </c>
      <c r="L330" t="n">
        <v>11</v>
      </c>
      <c r="M330" t="inlineStr">
        <is>
          <t>Values must be of type &lt;class 'str'&gt;</t>
        </is>
      </c>
      <c r="N330" t="inlineStr">
        <is>
          <t>00000000</t>
        </is>
      </c>
      <c r="O330" t="inlineStr">
        <is>
          <t>center</t>
        </is>
      </c>
      <c r="P330" t="inlineStr">
        <is>
          <t>center</t>
        </is>
      </c>
      <c r="R330" t="b">
        <v>1</v>
      </c>
      <c r="S330" t="inlineStr">
        <is>
          <t>G000002</t>
        </is>
      </c>
      <c r="T330" t="inlineStr">
        <is>
          <t>Vertical</t>
        </is>
      </c>
      <c r="U330" t="n">
        <v>57</v>
      </c>
      <c r="V330" t="b">
        <v>1</v>
      </c>
      <c r="W330" t="inlineStr">
        <is>
          <t>Loan analysis!C10:C66</t>
        </is>
      </c>
      <c r="X330">
        <f>IFERROR(PMT(INDEX(Data[],ROW()-ROW(Data[[#Headers],[3]]),1)/12,Data[[#Headers],[3]]*12,-LoanAmount,0,IF(PaymentsDue="End of Period",0,1)), "")</f>
        <v/>
      </c>
    </row>
    <row r="331">
      <c r="A331" t="inlineStr">
        <is>
          <t>Loan analysis</t>
        </is>
      </c>
      <c r="B331" t="inlineStr">
        <is>
          <t>D31</t>
        </is>
      </c>
      <c r="C331" t="n">
        <v>31</v>
      </c>
      <c r="D331" t="n">
        <v>4</v>
      </c>
      <c r="E331" t="inlineStr">
        <is>
          <t>Output</t>
        </is>
      </c>
      <c r="F331" t="inlineStr">
        <is>
          <t>'=IFERROR(PMT(INDEX(Data[],ROW()-ROW(Data[[#Headers],[5]]),1)/12,Data[[#Headers],[5]]*12,-LoanAmount,0,IF(PaymentsDue="End of Period",0,1)), "")</t>
        </is>
      </c>
      <c r="G331" t="n">
        <v>197.9973793598616</v>
      </c>
      <c r="H331" t="inlineStr"/>
      <c r="I331" t="inlineStr">
        <is>
          <t>"$"#,##0.00_);[Red]\("$"#,##0.00\)</t>
        </is>
      </c>
      <c r="J331" t="b">
        <v>0</v>
      </c>
      <c r="K331" t="b">
        <v>0</v>
      </c>
      <c r="L331" t="n">
        <v>11</v>
      </c>
      <c r="M331" t="inlineStr">
        <is>
          <t>Values must be of type &lt;class 'str'&gt;</t>
        </is>
      </c>
      <c r="N331" t="inlineStr">
        <is>
          <t>00000000</t>
        </is>
      </c>
      <c r="O331" t="inlineStr">
        <is>
          <t>center</t>
        </is>
      </c>
      <c r="P331" t="inlineStr">
        <is>
          <t>center</t>
        </is>
      </c>
      <c r="R331" t="b">
        <v>1</v>
      </c>
      <c r="S331" t="inlineStr">
        <is>
          <t>G000003</t>
        </is>
      </c>
      <c r="T331" t="inlineStr">
        <is>
          <t>Vertical</t>
        </is>
      </c>
      <c r="U331" t="n">
        <v>57</v>
      </c>
      <c r="V331" t="b">
        <v>1</v>
      </c>
      <c r="W331" t="inlineStr">
        <is>
          <t>Loan analysis!D10:D66</t>
        </is>
      </c>
      <c r="X331">
        <f>IFERROR(PMT(INDEX(Data[],ROW()-ROW(Data[[#Headers],[5]]),1)/12,Data[[#Headers],[5]]*12,-LoanAmount,0,IF(PaymentsDue="End of Period",0,1)), "")</f>
        <v/>
      </c>
    </row>
    <row r="332">
      <c r="A332" t="inlineStr">
        <is>
          <t>Loan analysis</t>
        </is>
      </c>
      <c r="B332" t="inlineStr">
        <is>
          <t>E31</t>
        </is>
      </c>
      <c r="C332" t="n">
        <v>31</v>
      </c>
      <c r="D332" t="n">
        <v>5</v>
      </c>
      <c r="E332" t="inlineStr">
        <is>
          <t>Output</t>
        </is>
      </c>
      <c r="F332" t="inlineStr">
        <is>
          <t>'=IFERROR(PMT(INDEX(Data[],ROW()-ROW(Data[[#Headers],[10]]),1)/12,Data[[#Headers],[10]]*12,-LoanAmount,0,IF(PaymentsDue="End of Period",0,1)), "")</t>
        </is>
      </c>
      <c r="G332" t="n">
        <v>116.6960028067916</v>
      </c>
      <c r="H332" t="inlineStr"/>
      <c r="I332" t="inlineStr">
        <is>
          <t>"$"#,##0.00_);[Red]\("$"#,##0.00\)</t>
        </is>
      </c>
      <c r="J332" t="b">
        <v>0</v>
      </c>
      <c r="K332" t="b">
        <v>0</v>
      </c>
      <c r="L332" t="n">
        <v>11</v>
      </c>
      <c r="M332" t="inlineStr">
        <is>
          <t>Values must be of type &lt;class 'str'&gt;</t>
        </is>
      </c>
      <c r="N332" t="inlineStr">
        <is>
          <t>00000000</t>
        </is>
      </c>
      <c r="O332" t="inlineStr">
        <is>
          <t>center</t>
        </is>
      </c>
      <c r="P332" t="inlineStr">
        <is>
          <t>center</t>
        </is>
      </c>
      <c r="R332" t="b">
        <v>1</v>
      </c>
      <c r="S332" t="inlineStr">
        <is>
          <t>G000004</t>
        </is>
      </c>
      <c r="T332" t="inlineStr">
        <is>
          <t>Vertical</t>
        </is>
      </c>
      <c r="U332" t="n">
        <v>57</v>
      </c>
      <c r="V332" t="b">
        <v>1</v>
      </c>
      <c r="W332" t="inlineStr">
        <is>
          <t>Loan analysis!E10:E66</t>
        </is>
      </c>
      <c r="X332">
        <f>IFERROR(PMT(INDEX(Data[],ROW()-ROW(Data[[#Headers],[10]]),1)/12,Data[[#Headers],[10]]*12,-LoanAmount,0,IF(PaymentsDue="End of Period",0,1)), "")</f>
        <v/>
      </c>
    </row>
    <row r="333">
      <c r="A333" t="inlineStr">
        <is>
          <t>Loan analysis</t>
        </is>
      </c>
      <c r="B333" t="inlineStr">
        <is>
          <t>F31</t>
        </is>
      </c>
      <c r="C333" t="n">
        <v>31</v>
      </c>
      <c r="D333" t="n">
        <v>6</v>
      </c>
      <c r="E333" t="inlineStr">
        <is>
          <t>Output</t>
        </is>
      </c>
      <c r="F333" t="inlineStr">
        <is>
          <t>'=IFERROR(PMT(INDEX(Data[],ROW()-ROW(Data[[#Headers],[12]]),1)/12,Data[[#Headers],[12]]*12,-LoanAmount,0,IF(PaymentsDue="End of Period",0,1)), "")</t>
        </is>
      </c>
      <c r="G333" t="n">
        <v>103.549966126318</v>
      </c>
      <c r="H333" t="inlineStr"/>
      <c r="I333" t="inlineStr">
        <is>
          <t>"$"#,##0.00_);[Red]\("$"#,##0.00\)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00000000</t>
        </is>
      </c>
      <c r="O333" t="inlineStr">
        <is>
          <t>center</t>
        </is>
      </c>
      <c r="P333" t="inlineStr">
        <is>
          <t>center</t>
        </is>
      </c>
      <c r="R333" t="b">
        <v>1</v>
      </c>
      <c r="S333" t="inlineStr">
        <is>
          <t>G000005</t>
        </is>
      </c>
      <c r="T333" t="inlineStr">
        <is>
          <t>Vertical</t>
        </is>
      </c>
      <c r="U333" t="n">
        <v>57</v>
      </c>
      <c r="V333" t="b">
        <v>1</v>
      </c>
      <c r="W333" t="inlineStr">
        <is>
          <t>Loan analysis!F10:F66</t>
        </is>
      </c>
      <c r="X333">
        <f>IFERROR(PMT(INDEX(Data[],ROW()-ROW(Data[[#Headers],[12]]),1)/12,Data[[#Headers],[12]]*12,-LoanAmount,0,IF(PaymentsDue="End of Period",0,1)), "")</f>
        <v/>
      </c>
    </row>
    <row r="334">
      <c r="A334" t="inlineStr">
        <is>
          <t>Loan analysis</t>
        </is>
      </c>
      <c r="B334" t="inlineStr">
        <is>
          <t>G31</t>
        </is>
      </c>
      <c r="C334" t="n">
        <v>31</v>
      </c>
      <c r="D334" t="n">
        <v>7</v>
      </c>
      <c r="E334" t="inlineStr">
        <is>
          <t>Output</t>
        </is>
      </c>
      <c r="F334" t="inlineStr">
        <is>
          <t>'=IFERROR(PMT(INDEX(Data[],ROW()-ROW(Data[[#Headers],[15]]),1)/12,Data[[#Headers],[15]]*12,-LoanAmount,0,IF(PaymentsDue="End of Period",0,1)), "")</t>
        </is>
      </c>
      <c r="G334" t="n">
        <v>90.73807887685098</v>
      </c>
      <c r="H334" t="inlineStr"/>
      <c r="I334" t="inlineStr">
        <is>
          <t>"$"#,##0.00_);[Red]\("$"#,##0.00\)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00000000</t>
        </is>
      </c>
      <c r="O334" t="inlineStr">
        <is>
          <t>center</t>
        </is>
      </c>
      <c r="P334" t="inlineStr">
        <is>
          <t>center</t>
        </is>
      </c>
      <c r="R334" t="b">
        <v>1</v>
      </c>
      <c r="S334" t="inlineStr">
        <is>
          <t>G000006</t>
        </is>
      </c>
      <c r="T334" t="inlineStr">
        <is>
          <t>Vertical</t>
        </is>
      </c>
      <c r="U334" t="n">
        <v>57</v>
      </c>
      <c r="V334" t="b">
        <v>1</v>
      </c>
      <c r="W334" t="inlineStr">
        <is>
          <t>Loan analysis!G10:G66</t>
        </is>
      </c>
      <c r="X334">
        <f>IFERROR(PMT(INDEX(Data[],ROW()-ROW(Data[[#Headers],[15]]),1)/12,Data[[#Headers],[15]]*12,-LoanAmount,0,IF(PaymentsDue="End of Period",0,1)), "")</f>
        <v/>
      </c>
    </row>
    <row r="335">
      <c r="A335" t="inlineStr">
        <is>
          <t>Loan analysis</t>
        </is>
      </c>
      <c r="B335" t="inlineStr">
        <is>
          <t>H31</t>
        </is>
      </c>
      <c r="C335" t="n">
        <v>31</v>
      </c>
      <c r="D335" t="n">
        <v>8</v>
      </c>
      <c r="E335" t="inlineStr">
        <is>
          <t>Output</t>
        </is>
      </c>
      <c r="F335" t="inlineStr">
        <is>
          <t>'=IFERROR(PMT(INDEX(Data[],ROW()-ROW(Data[[#Headers],[20]]),1)/12,Data[[#Headers],[20]]*12,-LoanAmount,0,IF(PaymentsDue="End of Period",0,1)), "")</t>
        </is>
      </c>
      <c r="G335" t="n">
        <v>78.5629473515189</v>
      </c>
      <c r="H335" t="inlineStr"/>
      <c r="I335" t="inlineStr">
        <is>
          <t>"$"#,##0.00_);[Red]\("$"#,##0.00\)</t>
        </is>
      </c>
      <c r="J335" t="b">
        <v>0</v>
      </c>
      <c r="K335" t="b">
        <v>0</v>
      </c>
      <c r="L335" t="n">
        <v>11</v>
      </c>
      <c r="M335" t="inlineStr">
        <is>
          <t>Values must be of type &lt;class 'str'&gt;</t>
        </is>
      </c>
      <c r="N335" t="inlineStr">
        <is>
          <t>00000000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inlineStr">
        <is>
          <t>G000007</t>
        </is>
      </c>
      <c r="T335" t="inlineStr">
        <is>
          <t>Vertical</t>
        </is>
      </c>
      <c r="U335" t="n">
        <v>57</v>
      </c>
      <c r="V335" t="b">
        <v>1</v>
      </c>
      <c r="W335" t="inlineStr">
        <is>
          <t>Loan analysis!H10:H66</t>
        </is>
      </c>
      <c r="X335">
        <f>IFERROR(PMT(INDEX(Data[],ROW()-ROW(Data[[#Headers],[20]]),1)/12,Data[[#Headers],[20]]*12,-LoanAmount,0,IF(PaymentsDue="End of Period",0,1)), "")</f>
        <v/>
      </c>
    </row>
    <row r="336">
      <c r="A336" t="inlineStr">
        <is>
          <t>Loan analysis</t>
        </is>
      </c>
      <c r="B336" t="inlineStr">
        <is>
          <t>I31</t>
        </is>
      </c>
      <c r="C336" t="n">
        <v>31</v>
      </c>
      <c r="D336" t="n">
        <v>9</v>
      </c>
      <c r="E336" t="inlineStr">
        <is>
          <t>Output</t>
        </is>
      </c>
      <c r="F336" t="inlineStr">
        <is>
          <t>'=IFERROR(PMT(INDEX(Data[],ROW()-ROW(Data[[#Headers],[25]]),1)/12,Data[[#Headers],[25]]*12,-LoanAmount,0,IF(PaymentsDue="End of Period",0,1)), "")</t>
        </is>
      </c>
      <c r="G336" t="n">
        <v>71.84661312210385</v>
      </c>
      <c r="H336" t="inlineStr"/>
      <c r="I336" t="inlineStr">
        <is>
          <t>"$"#,##0.00_);[Red]\("$"#,##0.00\)</t>
        </is>
      </c>
      <c r="J336" t="b">
        <v>0</v>
      </c>
      <c r="K336" t="b">
        <v>0</v>
      </c>
      <c r="L336" t="n">
        <v>11</v>
      </c>
      <c r="M336" t="inlineStr">
        <is>
          <t>Values must be of type &lt;class 'str'&gt;</t>
        </is>
      </c>
      <c r="N336" t="inlineStr">
        <is>
          <t>00000000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inlineStr">
        <is>
          <t>G000008</t>
        </is>
      </c>
      <c r="T336" t="inlineStr">
        <is>
          <t>Vertical</t>
        </is>
      </c>
      <c r="U336" t="n">
        <v>57</v>
      </c>
      <c r="V336" t="b">
        <v>1</v>
      </c>
      <c r="W336" t="inlineStr">
        <is>
          <t>Loan analysis!I10:I66</t>
        </is>
      </c>
      <c r="X336">
        <f>IFERROR(PMT(INDEX(Data[],ROW()-ROW(Data[[#Headers],[25]]),1)/12,Data[[#Headers],[25]]*12,-LoanAmount,0,IF(PaymentsDue="End of Period",0,1)), "")</f>
        <v/>
      </c>
    </row>
    <row r="337">
      <c r="A337" t="inlineStr">
        <is>
          <t>Loan analysis</t>
        </is>
      </c>
      <c r="B337" t="inlineStr">
        <is>
          <t>J31</t>
        </is>
      </c>
      <c r="C337" t="n">
        <v>31</v>
      </c>
      <c r="D337" t="n">
        <v>10</v>
      </c>
      <c r="E337" t="inlineStr">
        <is>
          <t>Output</t>
        </is>
      </c>
      <c r="F337" t="inlineStr">
        <is>
          <t>'=IFERROR(PMT(INDEX(Data[],ROW()-ROW(Data[[#Headers],[30]]),1)/12,Data[[#Headers],[30]]*12,-LoanAmount,0,IF(PaymentsDue="End of Period",0,1)), "")</t>
        </is>
      </c>
      <c r="G337" t="n">
        <v>67.80795494449619</v>
      </c>
      <c r="H337" t="inlineStr"/>
      <c r="I337" t="inlineStr">
        <is>
          <t>"$"#,##0.00_);[Red]\("$"#,##0.00\)</t>
        </is>
      </c>
      <c r="J337" t="b">
        <v>0</v>
      </c>
      <c r="K337" t="b">
        <v>0</v>
      </c>
      <c r="L337" t="n">
        <v>11</v>
      </c>
      <c r="M337" t="inlineStr">
        <is>
          <t>Values must be of type &lt;class 'str'&gt;</t>
        </is>
      </c>
      <c r="N337" t="inlineStr">
        <is>
          <t>00000000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inlineStr">
        <is>
          <t>G000009</t>
        </is>
      </c>
      <c r="T337" t="inlineStr">
        <is>
          <t>Vertical</t>
        </is>
      </c>
      <c r="U337" t="n">
        <v>57</v>
      </c>
      <c r="V337" t="b">
        <v>1</v>
      </c>
      <c r="W337" t="inlineStr">
        <is>
          <t>Loan analysis!J10:J66</t>
        </is>
      </c>
      <c r="X337">
        <f>IFERROR(PMT(INDEX(Data[],ROW()-ROW(Data[[#Headers],[30]]),1)/12,Data[[#Headers],[30]]*12,-LoanAmount,0,IF(PaymentsDue="End of Period",0,1)), "")</f>
        <v/>
      </c>
    </row>
    <row r="338">
      <c r="A338" t="inlineStr">
        <is>
          <t>Loan analysis</t>
        </is>
      </c>
      <c r="B338" t="inlineStr">
        <is>
          <t>K31</t>
        </is>
      </c>
      <c r="C338" t="n">
        <v>31</v>
      </c>
      <c r="D338" t="n">
        <v>11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n">
        <v/>
      </c>
      <c r="P338" t="n">
        <v/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Loan analysis</t>
        </is>
      </c>
      <c r="B339" t="inlineStr">
        <is>
          <t>L31</t>
        </is>
      </c>
      <c r="C339" t="n">
        <v>31</v>
      </c>
      <c r="D339" t="n">
        <v>12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Values must be of type &lt;class 'str'&gt;</t>
        </is>
      </c>
      <c r="N339" t="inlineStr">
        <is>
          <t>00000000</t>
        </is>
      </c>
      <c r="O339" t="n">
        <v/>
      </c>
      <c r="P339" t="n">
        <v/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Loan analysis</t>
        </is>
      </c>
      <c r="B340" t="inlineStr">
        <is>
          <t>A32</t>
        </is>
      </c>
      <c r="C340" t="n">
        <v>32</v>
      </c>
      <c r="D340" t="n">
        <v>1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n">
        <v/>
      </c>
      <c r="P340" t="n">
        <v/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Loan analysis</t>
        </is>
      </c>
      <c r="B341" t="inlineStr">
        <is>
          <t>B32</t>
        </is>
      </c>
      <c r="C341" t="n">
        <v>32</v>
      </c>
      <c r="D341" t="n">
        <v>2</v>
      </c>
      <c r="E341" t="inlineStr">
        <is>
          <t>Output</t>
        </is>
      </c>
      <c r="F341" t="inlineStr">
        <is>
          <t>'=IFERROR(MAX((ROW()-ROW(Data[[#Headers],[RATE]]))*0.0025+0.0175,0.0025), "")</t>
        </is>
      </c>
      <c r="G341" t="n">
        <v>0.07500000000000001</v>
      </c>
      <c r="H341" t="inlineStr"/>
      <c r="I341" t="inlineStr">
        <is>
          <t>0.00%</t>
        </is>
      </c>
      <c r="J341" t="b">
        <v>0</v>
      </c>
      <c r="K341" t="b">
        <v>0</v>
      </c>
      <c r="L341" t="n">
        <v>11</v>
      </c>
      <c r="M341" t="inlineStr">
        <is>
          <t>Values must be of type &lt;class 'str'&gt;</t>
        </is>
      </c>
      <c r="N341" t="inlineStr">
        <is>
          <t>00000000</t>
        </is>
      </c>
      <c r="O341" t="inlineStr">
        <is>
          <t>center</t>
        </is>
      </c>
      <c r="P341" t="inlineStr">
        <is>
          <t>center</t>
        </is>
      </c>
      <c r="R341" t="b">
        <v>1</v>
      </c>
      <c r="S341" t="inlineStr">
        <is>
          <t>G000001</t>
        </is>
      </c>
      <c r="T341" t="inlineStr">
        <is>
          <t>Vertical</t>
        </is>
      </c>
      <c r="U341" t="n">
        <v>57</v>
      </c>
      <c r="V341" t="b">
        <v>1</v>
      </c>
      <c r="W341" t="inlineStr">
        <is>
          <t>Loan analysis!B10:B66</t>
        </is>
      </c>
      <c r="X341">
        <f>IFERROR(MAX((ROW()-ROW(Data[[#Headers],[RATE]]))*0.0025+0.0175,0.0025), "")</f>
        <v/>
      </c>
    </row>
    <row r="342">
      <c r="A342" t="inlineStr">
        <is>
          <t>Loan analysis</t>
        </is>
      </c>
      <c r="B342" t="inlineStr">
        <is>
          <t>C32</t>
        </is>
      </c>
      <c r="C342" t="n">
        <v>32</v>
      </c>
      <c r="D342" t="n">
        <v>3</v>
      </c>
      <c r="E342" t="inlineStr">
        <is>
          <t>Output</t>
        </is>
      </c>
      <c r="F342" t="inlineStr">
        <is>
          <t>'=IFERROR(PMT(INDEX(Data[],ROW()-ROW(Data[[#Headers],[3]]),1)/12,Data[[#Headers],[3]]*12,-LoanAmount,0,IF(PaymentsDue="End of Period",0,1)), "")</t>
        </is>
      </c>
      <c r="G342" t="n">
        <v>309.130118366772</v>
      </c>
      <c r="H342" t="inlineStr"/>
      <c r="I342" t="inlineStr">
        <is>
          <t>"$"#,##0.00_);[Red]\("$"#,##0.00\)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00000000</t>
        </is>
      </c>
      <c r="O342" t="inlineStr">
        <is>
          <t>center</t>
        </is>
      </c>
      <c r="P342" t="inlineStr">
        <is>
          <t>center</t>
        </is>
      </c>
      <c r="R342" t="b">
        <v>1</v>
      </c>
      <c r="S342" t="inlineStr">
        <is>
          <t>G000002</t>
        </is>
      </c>
      <c r="T342" t="inlineStr">
        <is>
          <t>Vertical</t>
        </is>
      </c>
      <c r="U342" t="n">
        <v>57</v>
      </c>
      <c r="V342" t="b">
        <v>1</v>
      </c>
      <c r="W342" t="inlineStr">
        <is>
          <t>Loan analysis!C10:C66</t>
        </is>
      </c>
      <c r="X342">
        <f>IFERROR(PMT(INDEX(Data[],ROW()-ROW(Data[[#Headers],[3]]),1)/12,Data[[#Headers],[3]]*12,-LoanAmount,0,IF(PaymentsDue="End of Period",0,1)), "")</f>
        <v/>
      </c>
    </row>
    <row r="343">
      <c r="A343" t="inlineStr">
        <is>
          <t>Loan analysis</t>
        </is>
      </c>
      <c r="B343" t="inlineStr">
        <is>
          <t>D32</t>
        </is>
      </c>
      <c r="C343" t="n">
        <v>32</v>
      </c>
      <c r="D343" t="n">
        <v>4</v>
      </c>
      <c r="E343" t="inlineStr">
        <is>
          <t>Output</t>
        </is>
      </c>
      <c r="F343" t="inlineStr">
        <is>
          <t>'=IFERROR(PMT(INDEX(Data[],ROW()-ROW(Data[[#Headers],[5]]),1)/12,Data[[#Headers],[5]]*12,-LoanAmount,0,IF(PaymentsDue="End of Period",0,1)), "")</t>
        </is>
      </c>
      <c r="G343" t="n">
        <v>199.1348928757641</v>
      </c>
      <c r="H343" t="inlineStr"/>
      <c r="I343" t="inlineStr">
        <is>
          <t>"$"#,##0.00_);[Red]\("$"#,##0.00\)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00000000</t>
        </is>
      </c>
      <c r="O343" t="inlineStr">
        <is>
          <t>center</t>
        </is>
      </c>
      <c r="P343" t="inlineStr">
        <is>
          <t>center</t>
        </is>
      </c>
      <c r="R343" t="b">
        <v>1</v>
      </c>
      <c r="S343" t="inlineStr">
        <is>
          <t>G000003</t>
        </is>
      </c>
      <c r="T343" t="inlineStr">
        <is>
          <t>Vertical</t>
        </is>
      </c>
      <c r="U343" t="n">
        <v>57</v>
      </c>
      <c r="V343" t="b">
        <v>1</v>
      </c>
      <c r="W343" t="inlineStr">
        <is>
          <t>Loan analysis!D10:D66</t>
        </is>
      </c>
      <c r="X343">
        <f>IFERROR(PMT(INDEX(Data[],ROW()-ROW(Data[[#Headers],[5]]),1)/12,Data[[#Headers],[5]]*12,-LoanAmount,0,IF(PaymentsDue="End of Period",0,1)), "")</f>
        <v/>
      </c>
    </row>
    <row r="344">
      <c r="A344" t="inlineStr">
        <is>
          <t>Loan analysis</t>
        </is>
      </c>
      <c r="B344" t="inlineStr">
        <is>
          <t>E32</t>
        </is>
      </c>
      <c r="C344" t="n">
        <v>32</v>
      </c>
      <c r="D344" t="n">
        <v>5</v>
      </c>
      <c r="E344" t="inlineStr">
        <is>
          <t>Output</t>
        </is>
      </c>
      <c r="F344" t="inlineStr">
        <is>
          <t>'=IFERROR(PMT(INDEX(Data[],ROW()-ROW(Data[[#Headers],[10]]),1)/12,Data[[#Headers],[10]]*12,-LoanAmount,0,IF(PaymentsDue="End of Period",0,1)), "")</t>
        </is>
      </c>
      <c r="G344" t="n">
        <v>117.9644910666874</v>
      </c>
      <c r="H344" t="inlineStr"/>
      <c r="I344" t="inlineStr">
        <is>
          <t>"$"#,##0.00_);[Red]\("$"#,##0.00\)</t>
        </is>
      </c>
      <c r="J344" t="b">
        <v>0</v>
      </c>
      <c r="K344" t="b">
        <v>0</v>
      </c>
      <c r="L344" t="n">
        <v>11</v>
      </c>
      <c r="M344" t="inlineStr">
        <is>
          <t>Values must be of type &lt;class 'str'&gt;</t>
        </is>
      </c>
      <c r="N344" t="inlineStr">
        <is>
          <t>00000000</t>
        </is>
      </c>
      <c r="O344" t="inlineStr">
        <is>
          <t>center</t>
        </is>
      </c>
      <c r="P344" t="inlineStr">
        <is>
          <t>center</t>
        </is>
      </c>
      <c r="R344" t="b">
        <v>1</v>
      </c>
      <c r="S344" t="inlineStr">
        <is>
          <t>G000004</t>
        </is>
      </c>
      <c r="T344" t="inlineStr">
        <is>
          <t>Vertical</t>
        </is>
      </c>
      <c r="U344" t="n">
        <v>57</v>
      </c>
      <c r="V344" t="b">
        <v>1</v>
      </c>
      <c r="W344" t="inlineStr">
        <is>
          <t>Loan analysis!E10:E66</t>
        </is>
      </c>
      <c r="X344">
        <f>IFERROR(PMT(INDEX(Data[],ROW()-ROW(Data[[#Headers],[10]]),1)/12,Data[[#Headers],[10]]*12,-LoanAmount,0,IF(PaymentsDue="End of Period",0,1)), "")</f>
        <v/>
      </c>
    </row>
    <row r="345">
      <c r="A345" t="inlineStr">
        <is>
          <t>Loan analysis</t>
        </is>
      </c>
      <c r="B345" t="inlineStr">
        <is>
          <t>F32</t>
        </is>
      </c>
      <c r="C345" t="n">
        <v>32</v>
      </c>
      <c r="D345" t="n">
        <v>6</v>
      </c>
      <c r="E345" t="inlineStr">
        <is>
          <t>Output</t>
        </is>
      </c>
      <c r="F345" t="inlineStr">
        <is>
          <t>'=IFERROR(PMT(INDEX(Data[],ROW()-ROW(Data[[#Headers],[12]]),1)/12,Data[[#Headers],[12]]*12,-LoanAmount,0,IF(PaymentsDue="End of Period",0,1)), "")</t>
        </is>
      </c>
      <c r="G345" t="n">
        <v>104.8672107943666</v>
      </c>
      <c r="H345" t="inlineStr"/>
      <c r="I345" t="inlineStr">
        <is>
          <t>"$"#,##0.00_);[Red]\("$"#,##0.00\)</t>
        </is>
      </c>
      <c r="J345" t="b">
        <v>0</v>
      </c>
      <c r="K345" t="b">
        <v>0</v>
      </c>
      <c r="L345" t="n">
        <v>11</v>
      </c>
      <c r="M345" t="inlineStr">
        <is>
          <t>Values must be of type &lt;class 'str'&gt;</t>
        </is>
      </c>
      <c r="N345" t="inlineStr">
        <is>
          <t>00000000</t>
        </is>
      </c>
      <c r="O345" t="inlineStr">
        <is>
          <t>center</t>
        </is>
      </c>
      <c r="P345" t="inlineStr">
        <is>
          <t>center</t>
        </is>
      </c>
      <c r="R345" t="b">
        <v>1</v>
      </c>
      <c r="S345" t="inlineStr">
        <is>
          <t>G000005</t>
        </is>
      </c>
      <c r="T345" t="inlineStr">
        <is>
          <t>Vertical</t>
        </is>
      </c>
      <c r="U345" t="n">
        <v>57</v>
      </c>
      <c r="V345" t="b">
        <v>1</v>
      </c>
      <c r="W345" t="inlineStr">
        <is>
          <t>Loan analysis!F10:F66</t>
        </is>
      </c>
      <c r="X345">
        <f>IFERROR(PMT(INDEX(Data[],ROW()-ROW(Data[[#Headers],[12]]),1)/12,Data[[#Headers],[12]]*12,-LoanAmount,0,IF(PaymentsDue="End of Period",0,1)), "")</f>
        <v/>
      </c>
    </row>
    <row r="346">
      <c r="A346" t="inlineStr">
        <is>
          <t>Loan analysis</t>
        </is>
      </c>
      <c r="B346" t="inlineStr">
        <is>
          <t>G32</t>
        </is>
      </c>
      <c r="C346" t="n">
        <v>32</v>
      </c>
      <c r="D346" t="n">
        <v>7</v>
      </c>
      <c r="E346" t="inlineStr">
        <is>
          <t>Output</t>
        </is>
      </c>
      <c r="F346" t="inlineStr">
        <is>
          <t>'=IFERROR(PMT(INDEX(Data[],ROW()-ROW(Data[[#Headers],[15]]),1)/12,Data[[#Headers],[15]]*12,-LoanAmount,0,IF(PaymentsDue="End of Period",0,1)), "")</t>
        </is>
      </c>
      <c r="G346" t="n">
        <v>92.12545192573795</v>
      </c>
      <c r="H346" t="inlineStr"/>
      <c r="I346" t="inlineStr">
        <is>
          <t>"$"#,##0.00_);[Red]\("$"#,##0.00\)</t>
        </is>
      </c>
      <c r="J346" t="b">
        <v>0</v>
      </c>
      <c r="K346" t="b">
        <v>0</v>
      </c>
      <c r="L346" t="n">
        <v>11</v>
      </c>
      <c r="M346" t="inlineStr">
        <is>
          <t>Values must be of type &lt;class 'str'&gt;</t>
        </is>
      </c>
      <c r="N346" t="inlineStr">
        <is>
          <t>00000000</t>
        </is>
      </c>
      <c r="O346" t="inlineStr">
        <is>
          <t>center</t>
        </is>
      </c>
      <c r="P346" t="inlineStr">
        <is>
          <t>center</t>
        </is>
      </c>
      <c r="R346" t="b">
        <v>1</v>
      </c>
      <c r="S346" t="inlineStr">
        <is>
          <t>G000006</t>
        </is>
      </c>
      <c r="T346" t="inlineStr">
        <is>
          <t>Vertical</t>
        </is>
      </c>
      <c r="U346" t="n">
        <v>57</v>
      </c>
      <c r="V346" t="b">
        <v>1</v>
      </c>
      <c r="W346" t="inlineStr">
        <is>
          <t>Loan analysis!G10:G66</t>
        </is>
      </c>
      <c r="X346">
        <f>IFERROR(PMT(INDEX(Data[],ROW()-ROW(Data[[#Headers],[15]]),1)/12,Data[[#Headers],[15]]*12,-LoanAmount,0,IF(PaymentsDue="End of Period",0,1)), "")</f>
        <v/>
      </c>
    </row>
    <row r="347">
      <c r="A347" t="inlineStr">
        <is>
          <t>Loan analysis</t>
        </is>
      </c>
      <c r="B347" t="inlineStr">
        <is>
          <t>H32</t>
        </is>
      </c>
      <c r="C347" t="n">
        <v>32</v>
      </c>
      <c r="D347" t="n">
        <v>8</v>
      </c>
      <c r="E347" t="inlineStr">
        <is>
          <t>Output</t>
        </is>
      </c>
      <c r="F347" t="inlineStr">
        <is>
          <t>'=IFERROR(PMT(INDEX(Data[],ROW()-ROW(Data[[#Headers],[20]]),1)/12,Data[[#Headers],[20]]*12,-LoanAmount,0,IF(PaymentsDue="End of Period",0,1)), "")</t>
        </is>
      </c>
      <c r="G347" t="n">
        <v>80.05895091198086</v>
      </c>
      <c r="H347" t="inlineStr"/>
      <c r="I347" t="inlineStr">
        <is>
          <t>"$"#,##0.00_);[Red]\("$"#,##0.00\)</t>
        </is>
      </c>
      <c r="J347" t="b">
        <v>0</v>
      </c>
      <c r="K347" t="b">
        <v>0</v>
      </c>
      <c r="L347" t="n">
        <v>11</v>
      </c>
      <c r="M347" t="inlineStr">
        <is>
          <t>Values must be of type &lt;class 'str'&gt;</t>
        </is>
      </c>
      <c r="N347" t="inlineStr">
        <is>
          <t>00000000</t>
        </is>
      </c>
      <c r="O347" t="inlineStr">
        <is>
          <t>center</t>
        </is>
      </c>
      <c r="P347" t="inlineStr">
        <is>
          <t>center</t>
        </is>
      </c>
      <c r="R347" t="b">
        <v>1</v>
      </c>
      <c r="S347" t="inlineStr">
        <is>
          <t>G000007</t>
        </is>
      </c>
      <c r="T347" t="inlineStr">
        <is>
          <t>Vertical</t>
        </is>
      </c>
      <c r="U347" t="n">
        <v>57</v>
      </c>
      <c r="V347" t="b">
        <v>1</v>
      </c>
      <c r="W347" t="inlineStr">
        <is>
          <t>Loan analysis!H10:H66</t>
        </is>
      </c>
      <c r="X347">
        <f>IFERROR(PMT(INDEX(Data[],ROW()-ROW(Data[[#Headers],[20]]),1)/12,Data[[#Headers],[20]]*12,-LoanAmount,0,IF(PaymentsDue="End of Period",0,1)), "")</f>
        <v/>
      </c>
    </row>
    <row r="348">
      <c r="A348" t="inlineStr">
        <is>
          <t>Loan analysis</t>
        </is>
      </c>
      <c r="B348" t="inlineStr">
        <is>
          <t>I32</t>
        </is>
      </c>
      <c r="C348" t="n">
        <v>32</v>
      </c>
      <c r="D348" t="n">
        <v>9</v>
      </c>
      <c r="E348" t="inlineStr">
        <is>
          <t>Output</t>
        </is>
      </c>
      <c r="F348" t="inlineStr">
        <is>
          <t>'=IFERROR(PMT(INDEX(Data[],ROW()-ROW(Data[[#Headers],[25]]),1)/12,Data[[#Headers],[25]]*12,-LoanAmount,0,IF(PaymentsDue="End of Period",0,1)), "")</t>
        </is>
      </c>
      <c r="G348" t="n">
        <v>73.44011704819474</v>
      </c>
      <c r="H348" t="inlineStr"/>
      <c r="I348" t="inlineStr">
        <is>
          <t>"$"#,##0.00_);[Red]\("$"#,##0.00\)</t>
        </is>
      </c>
      <c r="J348" t="b">
        <v>0</v>
      </c>
      <c r="K348" t="b">
        <v>0</v>
      </c>
      <c r="L348" t="n">
        <v>11</v>
      </c>
      <c r="M348" t="inlineStr">
        <is>
          <t>Values must be of type &lt;class 'str'&gt;</t>
        </is>
      </c>
      <c r="N348" t="inlineStr">
        <is>
          <t>00000000</t>
        </is>
      </c>
      <c r="O348" t="inlineStr">
        <is>
          <t>center</t>
        </is>
      </c>
      <c r="P348" t="inlineStr">
        <is>
          <t>center</t>
        </is>
      </c>
      <c r="R348" t="b">
        <v>1</v>
      </c>
      <c r="S348" t="inlineStr">
        <is>
          <t>G000008</t>
        </is>
      </c>
      <c r="T348" t="inlineStr">
        <is>
          <t>Vertical</t>
        </is>
      </c>
      <c r="U348" t="n">
        <v>57</v>
      </c>
      <c r="V348" t="b">
        <v>1</v>
      </c>
      <c r="W348" t="inlineStr">
        <is>
          <t>Loan analysis!I10:I66</t>
        </is>
      </c>
      <c r="X348">
        <f>IFERROR(PMT(INDEX(Data[],ROW()-ROW(Data[[#Headers],[25]]),1)/12,Data[[#Headers],[25]]*12,-LoanAmount,0,IF(PaymentsDue="End of Period",0,1)), "")</f>
        <v/>
      </c>
    </row>
    <row r="349">
      <c r="A349" t="inlineStr">
        <is>
          <t>Loan analysis</t>
        </is>
      </c>
      <c r="B349" t="inlineStr">
        <is>
          <t>J32</t>
        </is>
      </c>
      <c r="C349" t="n">
        <v>32</v>
      </c>
      <c r="D349" t="n">
        <v>10</v>
      </c>
      <c r="E349" t="inlineStr">
        <is>
          <t>Output</t>
        </is>
      </c>
      <c r="F349" t="inlineStr">
        <is>
          <t>'=IFERROR(PMT(INDEX(Data[],ROW()-ROW(Data[[#Headers],[30]]),1)/12,Data[[#Headers],[30]]*12,-LoanAmount,0,IF(PaymentsDue="End of Period",0,1)), "")</t>
        </is>
      </c>
      <c r="G349" t="n">
        <v>69.48715612946876</v>
      </c>
      <c r="H349" t="inlineStr"/>
      <c r="I349" t="inlineStr">
        <is>
          <t>"$"#,##0.00_);[Red]\("$"#,##0.00\)</t>
        </is>
      </c>
      <c r="J349" t="b">
        <v>0</v>
      </c>
      <c r="K349" t="b">
        <v>0</v>
      </c>
      <c r="L349" t="n">
        <v>11</v>
      </c>
      <c r="M349" t="inlineStr">
        <is>
          <t>Values must be of type &lt;class 'str'&gt;</t>
        </is>
      </c>
      <c r="N349" t="inlineStr">
        <is>
          <t>00000000</t>
        </is>
      </c>
      <c r="O349" t="inlineStr">
        <is>
          <t>center</t>
        </is>
      </c>
      <c r="P349" t="inlineStr">
        <is>
          <t>center</t>
        </is>
      </c>
      <c r="R349" t="b">
        <v>1</v>
      </c>
      <c r="S349" t="inlineStr">
        <is>
          <t>G000009</t>
        </is>
      </c>
      <c r="T349" t="inlineStr">
        <is>
          <t>Vertical</t>
        </is>
      </c>
      <c r="U349" t="n">
        <v>57</v>
      </c>
      <c r="V349" t="b">
        <v>1</v>
      </c>
      <c r="W349" t="inlineStr">
        <is>
          <t>Loan analysis!J10:J66</t>
        </is>
      </c>
      <c r="X349">
        <f>IFERROR(PMT(INDEX(Data[],ROW()-ROW(Data[[#Headers],[30]]),1)/12,Data[[#Headers],[30]]*12,-LoanAmount,0,IF(PaymentsDue="End of Period",0,1)), "")</f>
        <v/>
      </c>
    </row>
    <row r="350">
      <c r="A350" t="inlineStr">
        <is>
          <t>Loan analysis</t>
        </is>
      </c>
      <c r="B350" t="inlineStr">
        <is>
          <t>K32</t>
        </is>
      </c>
      <c r="C350" t="n">
        <v>32</v>
      </c>
      <c r="D350" t="n">
        <v>11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Loan analysis</t>
        </is>
      </c>
      <c r="B351" t="inlineStr">
        <is>
          <t>L32</t>
        </is>
      </c>
      <c r="C351" t="n">
        <v>32</v>
      </c>
      <c r="D351" t="n">
        <v>12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00000000</t>
        </is>
      </c>
      <c r="O351" t="n">
        <v/>
      </c>
      <c r="P351" t="n">
        <v/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Loan analysis</t>
        </is>
      </c>
      <c r="B352" t="inlineStr">
        <is>
          <t>A33</t>
        </is>
      </c>
      <c r="C352" t="n">
        <v>33</v>
      </c>
      <c r="D352" t="n">
        <v>1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n">
        <v/>
      </c>
      <c r="P352" t="n">
        <v/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Loan analysis</t>
        </is>
      </c>
      <c r="B353" t="inlineStr">
        <is>
          <t>B33</t>
        </is>
      </c>
      <c r="C353" t="n">
        <v>33</v>
      </c>
      <c r="D353" t="n">
        <v>2</v>
      </c>
      <c r="E353" t="inlineStr">
        <is>
          <t>Output</t>
        </is>
      </c>
      <c r="F353" t="inlineStr">
        <is>
          <t>'=IFERROR(MAX((ROW()-ROW(Data[[#Headers],[RATE]]))*0.0025+0.0175,0.0025), "")</t>
        </is>
      </c>
      <c r="G353" t="n">
        <v>0.0775</v>
      </c>
      <c r="H353" t="inlineStr"/>
      <c r="I353" t="inlineStr">
        <is>
          <t>0.00%</t>
        </is>
      </c>
      <c r="J353" t="b">
        <v>0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00000000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inlineStr">
        <is>
          <t>G000001</t>
        </is>
      </c>
      <c r="T353" t="inlineStr">
        <is>
          <t>Vertical</t>
        </is>
      </c>
      <c r="U353" t="n">
        <v>57</v>
      </c>
      <c r="V353" t="b">
        <v>1</v>
      </c>
      <c r="W353" t="inlineStr">
        <is>
          <t>Loan analysis!B10:B66</t>
        </is>
      </c>
      <c r="X353">
        <f>IFERROR(MAX((ROW()-ROW(Data[[#Headers],[RATE]]))*0.0025+0.0175,0.0025), "")</f>
        <v/>
      </c>
    </row>
    <row r="354">
      <c r="A354" t="inlineStr">
        <is>
          <t>Loan analysis</t>
        </is>
      </c>
      <c r="B354" t="inlineStr">
        <is>
          <t>C33</t>
        </is>
      </c>
      <c r="C354" t="n">
        <v>33</v>
      </c>
      <c r="D354" t="n">
        <v>3</v>
      </c>
      <c r="E354" t="inlineStr">
        <is>
          <t>Output</t>
        </is>
      </c>
      <c r="F354" t="inlineStr">
        <is>
          <t>'=IFERROR(PMT(INDEX(Data[],ROW()-ROW(Data[[#Headers],[3]]),1)/12,Data[[#Headers],[3]]*12,-LoanAmount,0,IF(PaymentsDue="End of Period",0,1)), "")</t>
        </is>
      </c>
      <c r="G354" t="n">
        <v>310.2082084208446</v>
      </c>
      <c r="H354" t="inlineStr"/>
      <c r="I354" t="inlineStr">
        <is>
          <t>"$"#,##0.00_);[Red]\("$"#,##0.00\)</t>
        </is>
      </c>
      <c r="J354" t="b">
        <v>0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00000000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inlineStr">
        <is>
          <t>G000002</t>
        </is>
      </c>
      <c r="T354" t="inlineStr">
        <is>
          <t>Vertical</t>
        </is>
      </c>
      <c r="U354" t="n">
        <v>57</v>
      </c>
      <c r="V354" t="b">
        <v>1</v>
      </c>
      <c r="W354" t="inlineStr">
        <is>
          <t>Loan analysis!C10:C66</t>
        </is>
      </c>
      <c r="X354">
        <f>IFERROR(PMT(INDEX(Data[],ROW()-ROW(Data[[#Headers],[3]]),1)/12,Data[[#Headers],[3]]*12,-LoanAmount,0,IF(PaymentsDue="End of Period",0,1)), "")</f>
        <v/>
      </c>
    </row>
    <row r="355">
      <c r="A355" t="inlineStr">
        <is>
          <t>Loan analysis</t>
        </is>
      </c>
      <c r="B355" t="inlineStr">
        <is>
          <t>D33</t>
        </is>
      </c>
      <c r="C355" t="n">
        <v>33</v>
      </c>
      <c r="D355" t="n">
        <v>4</v>
      </c>
      <c r="E355" t="inlineStr">
        <is>
          <t>Output</t>
        </is>
      </c>
      <c r="F355" t="inlineStr">
        <is>
          <t>'=IFERROR(PMT(INDEX(Data[],ROW()-ROW(Data[[#Headers],[5]]),1)/12,Data[[#Headers],[5]]*12,-LoanAmount,0,IF(PaymentsDue="End of Period",0,1)), "")</t>
        </is>
      </c>
      <c r="G355" t="n">
        <v>200.2761473914207</v>
      </c>
      <c r="H355" t="inlineStr"/>
      <c r="I355" t="inlineStr">
        <is>
          <t>"$"#,##0.00_);[Red]\("$"#,##0.00\)</t>
        </is>
      </c>
      <c r="J355" t="b">
        <v>0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00000000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inlineStr">
        <is>
          <t>G000003</t>
        </is>
      </c>
      <c r="T355" t="inlineStr">
        <is>
          <t>Vertical</t>
        </is>
      </c>
      <c r="U355" t="n">
        <v>57</v>
      </c>
      <c r="V355" t="b">
        <v>1</v>
      </c>
      <c r="W355" t="inlineStr">
        <is>
          <t>Loan analysis!D10:D66</t>
        </is>
      </c>
      <c r="X355">
        <f>IFERROR(PMT(INDEX(Data[],ROW()-ROW(Data[[#Headers],[5]]),1)/12,Data[[#Headers],[5]]*12,-LoanAmount,0,IF(PaymentsDue="End of Period",0,1)), "")</f>
        <v/>
      </c>
    </row>
    <row r="356">
      <c r="A356" t="inlineStr">
        <is>
          <t>Loan analysis</t>
        </is>
      </c>
      <c r="B356" t="inlineStr">
        <is>
          <t>E33</t>
        </is>
      </c>
      <c r="C356" t="n">
        <v>33</v>
      </c>
      <c r="D356" t="n">
        <v>5</v>
      </c>
      <c r="E356" t="inlineStr">
        <is>
          <t>Output</t>
        </is>
      </c>
      <c r="F356" t="inlineStr">
        <is>
          <t>'=IFERROR(PMT(INDEX(Data[],ROW()-ROW(Data[[#Headers],[10]]),1)/12,Data[[#Headers],[10]]*12,-LoanAmount,0,IF(PaymentsDue="End of Period",0,1)), "")</t>
        </is>
      </c>
      <c r="G356" t="n">
        <v>119.2405360209197</v>
      </c>
      <c r="H356" t="inlineStr"/>
      <c r="I356" t="inlineStr">
        <is>
          <t>"$"#,##0.00_);[Red]\("$"#,##0.00\)</t>
        </is>
      </c>
      <c r="J356" t="b">
        <v>0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00000000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inlineStr">
        <is>
          <t>G000004</t>
        </is>
      </c>
      <c r="T356" t="inlineStr">
        <is>
          <t>Vertical</t>
        </is>
      </c>
      <c r="U356" t="n">
        <v>57</v>
      </c>
      <c r="V356" t="b">
        <v>1</v>
      </c>
      <c r="W356" t="inlineStr">
        <is>
          <t>Loan analysis!E10:E66</t>
        </is>
      </c>
      <c r="X356">
        <f>IFERROR(PMT(INDEX(Data[],ROW()-ROW(Data[[#Headers],[10]]),1)/12,Data[[#Headers],[10]]*12,-LoanAmount,0,IF(PaymentsDue="End of Period",0,1)), "")</f>
        <v/>
      </c>
    </row>
    <row r="357">
      <c r="A357" t="inlineStr">
        <is>
          <t>Loan analysis</t>
        </is>
      </c>
      <c r="B357" t="inlineStr">
        <is>
          <t>F33</t>
        </is>
      </c>
      <c r="C357" t="n">
        <v>33</v>
      </c>
      <c r="D357" t="n">
        <v>6</v>
      </c>
      <c r="E357" t="inlineStr">
        <is>
          <t>Output</t>
        </is>
      </c>
      <c r="F357" t="inlineStr">
        <is>
          <t>'=IFERROR(PMT(INDEX(Data[],ROW()-ROW(Data[[#Headers],[12]]),1)/12,Data[[#Headers],[12]]*12,-LoanAmount,0,IF(PaymentsDue="End of Period",0,1)), "")</t>
        </is>
      </c>
      <c r="G357" t="n">
        <v>106.193375856699</v>
      </c>
      <c r="H357" t="inlineStr"/>
      <c r="I357" t="inlineStr">
        <is>
          <t>"$"#,##0.00_);[Red]\("$"#,##0.00\)</t>
        </is>
      </c>
      <c r="J357" t="b">
        <v>0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00000000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inlineStr">
        <is>
          <t>G000005</t>
        </is>
      </c>
      <c r="T357" t="inlineStr">
        <is>
          <t>Vertical</t>
        </is>
      </c>
      <c r="U357" t="n">
        <v>57</v>
      </c>
      <c r="V357" t="b">
        <v>1</v>
      </c>
      <c r="W357" t="inlineStr">
        <is>
          <t>Loan analysis!F10:F66</t>
        </is>
      </c>
      <c r="X357">
        <f>IFERROR(PMT(INDEX(Data[],ROW()-ROW(Data[[#Headers],[12]]),1)/12,Data[[#Headers],[12]]*12,-LoanAmount,0,IF(PaymentsDue="End of Period",0,1)), "")</f>
        <v/>
      </c>
    </row>
    <row r="358">
      <c r="A358" t="inlineStr">
        <is>
          <t>Loan analysis</t>
        </is>
      </c>
      <c r="B358" t="inlineStr">
        <is>
          <t>G33</t>
        </is>
      </c>
      <c r="C358" t="n">
        <v>33</v>
      </c>
      <c r="D358" t="n">
        <v>7</v>
      </c>
      <c r="E358" t="inlineStr">
        <is>
          <t>Output</t>
        </is>
      </c>
      <c r="F358" t="inlineStr">
        <is>
          <t>'=IFERROR(PMT(INDEX(Data[],ROW()-ROW(Data[[#Headers],[15]]),1)/12,Data[[#Headers],[15]]*12,-LoanAmount,0,IF(PaymentsDue="End of Period",0,1)), "")</t>
        </is>
      </c>
      <c r="G358" t="n">
        <v>93.52356892140419</v>
      </c>
      <c r="H358" t="inlineStr"/>
      <c r="I358" t="inlineStr">
        <is>
          <t>"$"#,##0.00_);[Red]\("$"#,##0.00\)</t>
        </is>
      </c>
      <c r="J358" t="b">
        <v>0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00000000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inlineStr">
        <is>
          <t>G000006</t>
        </is>
      </c>
      <c r="T358" t="inlineStr">
        <is>
          <t>Vertical</t>
        </is>
      </c>
      <c r="U358" t="n">
        <v>57</v>
      </c>
      <c r="V358" t="b">
        <v>1</v>
      </c>
      <c r="W358" t="inlineStr">
        <is>
          <t>Loan analysis!G10:G66</t>
        </is>
      </c>
      <c r="X358">
        <f>IFERROR(PMT(INDEX(Data[],ROW()-ROW(Data[[#Headers],[15]]),1)/12,Data[[#Headers],[15]]*12,-LoanAmount,0,IF(PaymentsDue="End of Period",0,1)), "")</f>
        <v/>
      </c>
    </row>
    <row r="359">
      <c r="A359" t="inlineStr">
        <is>
          <t>Loan analysis</t>
        </is>
      </c>
      <c r="B359" t="inlineStr">
        <is>
          <t>H33</t>
        </is>
      </c>
      <c r="C359" t="n">
        <v>33</v>
      </c>
      <c r="D359" t="n">
        <v>8</v>
      </c>
      <c r="E359" t="inlineStr">
        <is>
          <t>Output</t>
        </is>
      </c>
      <c r="F359" t="inlineStr">
        <is>
          <t>'=IFERROR(PMT(INDEX(Data[],ROW()-ROW(Data[[#Headers],[20]]),1)/12,Data[[#Headers],[20]]*12,-LoanAmount,0,IF(PaymentsDue="End of Period",0,1)), "")</t>
        </is>
      </c>
      <c r="G359" t="n">
        <v>81.56806268090793</v>
      </c>
      <c r="H359" t="inlineStr"/>
      <c r="I359" t="inlineStr">
        <is>
          <t>"$"#,##0.00_);[Red]\("$"#,##0.00\)</t>
        </is>
      </c>
      <c r="J359" t="b">
        <v>0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00000000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inlineStr">
        <is>
          <t>G000007</t>
        </is>
      </c>
      <c r="T359" t="inlineStr">
        <is>
          <t>Vertical</t>
        </is>
      </c>
      <c r="U359" t="n">
        <v>57</v>
      </c>
      <c r="V359" t="b">
        <v>1</v>
      </c>
      <c r="W359" t="inlineStr">
        <is>
          <t>Loan analysis!H10:H66</t>
        </is>
      </c>
      <c r="X359">
        <f>IFERROR(PMT(INDEX(Data[],ROW()-ROW(Data[[#Headers],[20]]),1)/12,Data[[#Headers],[20]]*12,-LoanAmount,0,IF(PaymentsDue="End of Period",0,1)), "")</f>
        <v/>
      </c>
    </row>
    <row r="360">
      <c r="A360" t="inlineStr">
        <is>
          <t>Loan analysis</t>
        </is>
      </c>
      <c r="B360" t="inlineStr">
        <is>
          <t>I33</t>
        </is>
      </c>
      <c r="C360" t="n">
        <v>33</v>
      </c>
      <c r="D360" t="n">
        <v>9</v>
      </c>
      <c r="E360" t="inlineStr">
        <is>
          <t>Output</t>
        </is>
      </c>
      <c r="F360" t="inlineStr">
        <is>
          <t>'=IFERROR(PMT(INDEX(Data[],ROW()-ROW(Data[[#Headers],[25]]),1)/12,Data[[#Headers],[25]]*12,-LoanAmount,0,IF(PaymentsDue="End of Period",0,1)), "")</t>
        </is>
      </c>
      <c r="G360" t="n">
        <v>75.04819000173603</v>
      </c>
      <c r="H360" t="inlineStr"/>
      <c r="I360" t="inlineStr">
        <is>
          <t>"$"#,##0.00_);[Red]\("$"#,##0.00\)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00000000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inlineStr">
        <is>
          <t>G000008</t>
        </is>
      </c>
      <c r="T360" t="inlineStr">
        <is>
          <t>Vertical</t>
        </is>
      </c>
      <c r="U360" t="n">
        <v>57</v>
      </c>
      <c r="V360" t="b">
        <v>1</v>
      </c>
      <c r="W360" t="inlineStr">
        <is>
          <t>Loan analysis!I10:I66</t>
        </is>
      </c>
      <c r="X360">
        <f>IFERROR(PMT(INDEX(Data[],ROW()-ROW(Data[[#Headers],[25]]),1)/12,Data[[#Headers],[25]]*12,-LoanAmount,0,IF(PaymentsDue="End of Period",0,1)), "")</f>
        <v/>
      </c>
    </row>
    <row r="361">
      <c r="A361" t="inlineStr">
        <is>
          <t>Loan analysis</t>
        </is>
      </c>
      <c r="B361" t="inlineStr">
        <is>
          <t>J33</t>
        </is>
      </c>
      <c r="C361" t="n">
        <v>33</v>
      </c>
      <c r="D361" t="n">
        <v>10</v>
      </c>
      <c r="E361" t="inlineStr">
        <is>
          <t>Output</t>
        </is>
      </c>
      <c r="F361" t="inlineStr">
        <is>
          <t>'=IFERROR(PMT(INDEX(Data[],ROW()-ROW(Data[[#Headers],[30]]),1)/12,Data[[#Headers],[30]]*12,-LoanAmount,0,IF(PaymentsDue="End of Period",0,1)), "")</t>
        </is>
      </c>
      <c r="G361" t="n">
        <v>71.18151063306577</v>
      </c>
      <c r="H361" t="inlineStr"/>
      <c r="I361" t="inlineStr">
        <is>
          <t>"$"#,##0.00_);[Red]\("$"#,##0.00\)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00000000</t>
        </is>
      </c>
      <c r="O361" t="inlineStr">
        <is>
          <t>center</t>
        </is>
      </c>
      <c r="P361" t="inlineStr">
        <is>
          <t>center</t>
        </is>
      </c>
      <c r="R361" t="b">
        <v>1</v>
      </c>
      <c r="S361" t="inlineStr">
        <is>
          <t>G000009</t>
        </is>
      </c>
      <c r="T361" t="inlineStr">
        <is>
          <t>Vertical</t>
        </is>
      </c>
      <c r="U361" t="n">
        <v>57</v>
      </c>
      <c r="V361" t="b">
        <v>1</v>
      </c>
      <c r="W361" t="inlineStr">
        <is>
          <t>Loan analysis!J10:J66</t>
        </is>
      </c>
      <c r="X361">
        <f>IFERROR(PMT(INDEX(Data[],ROW()-ROW(Data[[#Headers],[30]]),1)/12,Data[[#Headers],[30]]*12,-LoanAmount,0,IF(PaymentsDue="End of Period",0,1)), "")</f>
        <v/>
      </c>
    </row>
    <row r="362">
      <c r="A362" t="inlineStr">
        <is>
          <t>Loan analysis</t>
        </is>
      </c>
      <c r="B362" t="inlineStr">
        <is>
          <t>K33</t>
        </is>
      </c>
      <c r="C362" t="n">
        <v>33</v>
      </c>
      <c r="D362" t="n">
        <v>11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n">
        <v/>
      </c>
      <c r="P362" t="n">
        <v/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Loan analysis</t>
        </is>
      </c>
      <c r="B363" t="inlineStr">
        <is>
          <t>L33</t>
        </is>
      </c>
      <c r="C363" t="n">
        <v>33</v>
      </c>
      <c r="D363" t="n">
        <v>12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Values must be of type &lt;class 'str'&gt;</t>
        </is>
      </c>
      <c r="N363" t="inlineStr">
        <is>
          <t>00000000</t>
        </is>
      </c>
      <c r="O363" t="n">
        <v/>
      </c>
      <c r="P363" t="n">
        <v/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Loan analysis</t>
        </is>
      </c>
      <c r="B364" t="inlineStr">
        <is>
          <t>A34</t>
        </is>
      </c>
      <c r="C364" t="n">
        <v>34</v>
      </c>
      <c r="D364" t="n">
        <v>1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n">
        <v/>
      </c>
      <c r="P364" t="n">
        <v/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Loan analysis</t>
        </is>
      </c>
      <c r="B365" t="inlineStr">
        <is>
          <t>B34</t>
        </is>
      </c>
      <c r="C365" t="n">
        <v>34</v>
      </c>
      <c r="D365" t="n">
        <v>2</v>
      </c>
      <c r="E365" t="inlineStr">
        <is>
          <t>Output</t>
        </is>
      </c>
      <c r="F365" t="inlineStr">
        <is>
          <t>'=IFERROR(MAX((ROW()-ROW(Data[[#Headers],[RATE]]))*0.0025+0.0175,0.0025), "")</t>
        </is>
      </c>
      <c r="G365" t="n">
        <v>0.08</v>
      </c>
      <c r="H365" t="inlineStr"/>
      <c r="I365" t="inlineStr">
        <is>
          <t>0.00%</t>
        </is>
      </c>
      <c r="J365" t="b">
        <v>0</v>
      </c>
      <c r="K365" t="b">
        <v>0</v>
      </c>
      <c r="L365" t="n">
        <v>11</v>
      </c>
      <c r="M365" t="inlineStr">
        <is>
          <t>Values must be of type &lt;class 'str'&gt;</t>
        </is>
      </c>
      <c r="N365" t="inlineStr">
        <is>
          <t>00000000</t>
        </is>
      </c>
      <c r="O365" t="inlineStr">
        <is>
          <t>center</t>
        </is>
      </c>
      <c r="P365" t="inlineStr">
        <is>
          <t>center</t>
        </is>
      </c>
      <c r="R365" t="b">
        <v>1</v>
      </c>
      <c r="S365" t="inlineStr">
        <is>
          <t>G000001</t>
        </is>
      </c>
      <c r="T365" t="inlineStr">
        <is>
          <t>Vertical</t>
        </is>
      </c>
      <c r="U365" t="n">
        <v>57</v>
      </c>
      <c r="V365" t="b">
        <v>1</v>
      </c>
      <c r="W365" t="inlineStr">
        <is>
          <t>Loan analysis!B10:B66</t>
        </is>
      </c>
      <c r="X365">
        <f>IFERROR(MAX((ROW()-ROW(Data[[#Headers],[RATE]]))*0.0025+0.0175,0.0025), "")</f>
        <v/>
      </c>
    </row>
    <row r="366">
      <c r="A366" t="inlineStr">
        <is>
          <t>Loan analysis</t>
        </is>
      </c>
      <c r="B366" t="inlineStr">
        <is>
          <t>C34</t>
        </is>
      </c>
      <c r="C366" t="n">
        <v>34</v>
      </c>
      <c r="D366" t="n">
        <v>3</v>
      </c>
      <c r="E366" t="inlineStr">
        <is>
          <t>Output</t>
        </is>
      </c>
      <c r="F366" t="inlineStr">
        <is>
          <t>'=IFERROR(PMT(INDEX(Data[],ROW()-ROW(Data[[#Headers],[3]]),1)/12,Data[[#Headers],[3]]*12,-LoanAmount,0,IF(PaymentsDue="End of Period",0,1)), "")</t>
        </is>
      </c>
      <c r="G366" t="n">
        <v>311.2883986234853</v>
      </c>
      <c r="H366" t="inlineStr"/>
      <c r="I366" t="inlineStr">
        <is>
          <t>"$"#,##0.00_);[Red]\("$"#,##0.00\)</t>
        </is>
      </c>
      <c r="J366" t="b">
        <v>0</v>
      </c>
      <c r="K366" t="b">
        <v>0</v>
      </c>
      <c r="L366" t="n">
        <v>11</v>
      </c>
      <c r="M366" t="inlineStr">
        <is>
          <t>Values must be of type &lt;class 'str'&gt;</t>
        </is>
      </c>
      <c r="N366" t="inlineStr">
        <is>
          <t>00000000</t>
        </is>
      </c>
      <c r="O366" t="inlineStr">
        <is>
          <t>center</t>
        </is>
      </c>
      <c r="P366" t="inlineStr">
        <is>
          <t>center</t>
        </is>
      </c>
      <c r="R366" t="b">
        <v>1</v>
      </c>
      <c r="S366" t="inlineStr">
        <is>
          <t>G000002</t>
        </is>
      </c>
      <c r="T366" t="inlineStr">
        <is>
          <t>Vertical</t>
        </is>
      </c>
      <c r="U366" t="n">
        <v>57</v>
      </c>
      <c r="V366" t="b">
        <v>1</v>
      </c>
      <c r="W366" t="inlineStr">
        <is>
          <t>Loan analysis!C10:C66</t>
        </is>
      </c>
      <c r="X366">
        <f>IFERROR(PMT(INDEX(Data[],ROW()-ROW(Data[[#Headers],[3]]),1)/12,Data[[#Headers],[3]]*12,-LoanAmount,0,IF(PaymentsDue="End of Period",0,1)), "")</f>
        <v/>
      </c>
    </row>
    <row r="367">
      <c r="A367" t="inlineStr">
        <is>
          <t>Loan analysis</t>
        </is>
      </c>
      <c r="B367" t="inlineStr">
        <is>
          <t>D34</t>
        </is>
      </c>
      <c r="C367" t="n">
        <v>34</v>
      </c>
      <c r="D367" t="n">
        <v>4</v>
      </c>
      <c r="E367" t="inlineStr">
        <is>
          <t>Output</t>
        </is>
      </c>
      <c r="F367" t="inlineStr">
        <is>
          <t>'=IFERROR(PMT(INDEX(Data[],ROW()-ROW(Data[[#Headers],[5]]),1)/12,Data[[#Headers],[5]]*12,-LoanAmount,0,IF(PaymentsDue="End of Period",0,1)), "")</t>
        </is>
      </c>
      <c r="G367" t="n">
        <v>201.4211353153677</v>
      </c>
      <c r="H367" t="inlineStr"/>
      <c r="I367" t="inlineStr">
        <is>
          <t>"$"#,##0.00_);[Red]\("$"#,##0.00\)</t>
        </is>
      </c>
      <c r="J367" t="b">
        <v>0</v>
      </c>
      <c r="K367" t="b">
        <v>0</v>
      </c>
      <c r="L367" t="n">
        <v>11</v>
      </c>
      <c r="M367" t="inlineStr">
        <is>
          <t>Values must be of type &lt;class 'str'&gt;</t>
        </is>
      </c>
      <c r="N367" t="inlineStr">
        <is>
          <t>00000000</t>
        </is>
      </c>
      <c r="O367" t="inlineStr">
        <is>
          <t>center</t>
        </is>
      </c>
      <c r="P367" t="inlineStr">
        <is>
          <t>center</t>
        </is>
      </c>
      <c r="R367" t="b">
        <v>1</v>
      </c>
      <c r="S367" t="inlineStr">
        <is>
          <t>G000003</t>
        </is>
      </c>
      <c r="T367" t="inlineStr">
        <is>
          <t>Vertical</t>
        </is>
      </c>
      <c r="U367" t="n">
        <v>57</v>
      </c>
      <c r="V367" t="b">
        <v>1</v>
      </c>
      <c r="W367" t="inlineStr">
        <is>
          <t>Loan analysis!D10:D66</t>
        </is>
      </c>
      <c r="X367">
        <f>IFERROR(PMT(INDEX(Data[],ROW()-ROW(Data[[#Headers],[5]]),1)/12,Data[[#Headers],[5]]*12,-LoanAmount,0,IF(PaymentsDue="End of Period",0,1)), "")</f>
        <v/>
      </c>
    </row>
    <row r="368">
      <c r="A368" t="inlineStr">
        <is>
          <t>Loan analysis</t>
        </is>
      </c>
      <c r="B368" t="inlineStr">
        <is>
          <t>E34</t>
        </is>
      </c>
      <c r="C368" t="n">
        <v>34</v>
      </c>
      <c r="D368" t="n">
        <v>5</v>
      </c>
      <c r="E368" t="inlineStr">
        <is>
          <t>Output</t>
        </is>
      </c>
      <c r="F368" t="inlineStr">
        <is>
          <t>'=IFERROR(PMT(INDEX(Data[],ROW()-ROW(Data[[#Headers],[10]]),1)/12,Data[[#Headers],[10]]*12,-LoanAmount,0,IF(PaymentsDue="End of Period",0,1)), "")</t>
        </is>
      </c>
      <c r="G368" t="n">
        <v>120.5241003530036</v>
      </c>
      <c r="H368" t="inlineStr"/>
      <c r="I368" t="inlineStr">
        <is>
          <t>"$"#,##0.00_);[Red]\("$"#,##0.00\)</t>
        </is>
      </c>
      <c r="J368" t="b">
        <v>0</v>
      </c>
      <c r="K368" t="b">
        <v>0</v>
      </c>
      <c r="L368" t="n">
        <v>11</v>
      </c>
      <c r="M368" t="inlineStr">
        <is>
          <t>Values must be of type &lt;class 'str'&gt;</t>
        </is>
      </c>
      <c r="N368" t="inlineStr">
        <is>
          <t>00000000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inlineStr">
        <is>
          <t>G000004</t>
        </is>
      </c>
      <c r="T368" t="inlineStr">
        <is>
          <t>Vertical</t>
        </is>
      </c>
      <c r="U368" t="n">
        <v>57</v>
      </c>
      <c r="V368" t="b">
        <v>1</v>
      </c>
      <c r="W368" t="inlineStr">
        <is>
          <t>Loan analysis!E10:E66</t>
        </is>
      </c>
      <c r="X368">
        <f>IFERROR(PMT(INDEX(Data[],ROW()-ROW(Data[[#Headers],[10]]),1)/12,Data[[#Headers],[10]]*12,-LoanAmount,0,IF(PaymentsDue="End of Period",0,1)), "")</f>
        <v/>
      </c>
    </row>
    <row r="369">
      <c r="A369" t="inlineStr">
        <is>
          <t>Loan analysis</t>
        </is>
      </c>
      <c r="B369" t="inlineStr">
        <is>
          <t>F34</t>
        </is>
      </c>
      <c r="C369" t="n">
        <v>34</v>
      </c>
      <c r="D369" t="n">
        <v>6</v>
      </c>
      <c r="E369" t="inlineStr">
        <is>
          <t>Output</t>
        </is>
      </c>
      <c r="F369" t="inlineStr">
        <is>
          <t>'=IFERROR(PMT(INDEX(Data[],ROW()-ROW(Data[[#Headers],[12]]),1)/12,Data[[#Headers],[12]]*12,-LoanAmount,0,IF(PaymentsDue="End of Period",0,1)), "")</t>
        </is>
      </c>
      <c r="G369" t="n">
        <v>107.5284023248492</v>
      </c>
      <c r="H369" t="inlineStr"/>
      <c r="I369" t="inlineStr">
        <is>
          <t>"$"#,##0.00_);[Red]\("$"#,##0.00\)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00000000</t>
        </is>
      </c>
      <c r="O369" t="inlineStr">
        <is>
          <t>center</t>
        </is>
      </c>
      <c r="P369" t="inlineStr">
        <is>
          <t>center</t>
        </is>
      </c>
      <c r="R369" t="b">
        <v>1</v>
      </c>
      <c r="S369" t="inlineStr">
        <is>
          <t>G000005</t>
        </is>
      </c>
      <c r="T369" t="inlineStr">
        <is>
          <t>Vertical</t>
        </is>
      </c>
      <c r="U369" t="n">
        <v>57</v>
      </c>
      <c r="V369" t="b">
        <v>1</v>
      </c>
      <c r="W369" t="inlineStr">
        <is>
          <t>Loan analysis!F10:F66</t>
        </is>
      </c>
      <c r="X369">
        <f>IFERROR(PMT(INDEX(Data[],ROW()-ROW(Data[[#Headers],[12]]),1)/12,Data[[#Headers],[12]]*12,-LoanAmount,0,IF(PaymentsDue="End of Period",0,1)), "")</f>
        <v/>
      </c>
    </row>
    <row r="370">
      <c r="A370" t="inlineStr">
        <is>
          <t>Loan analysis</t>
        </is>
      </c>
      <c r="B370" t="inlineStr">
        <is>
          <t>G34</t>
        </is>
      </c>
      <c r="C370" t="n">
        <v>34</v>
      </c>
      <c r="D370" t="n">
        <v>7</v>
      </c>
      <c r="E370" t="inlineStr">
        <is>
          <t>Output</t>
        </is>
      </c>
      <c r="F370" t="inlineStr">
        <is>
          <t>'=IFERROR(PMT(INDEX(Data[],ROW()-ROW(Data[[#Headers],[15]]),1)/12,Data[[#Headers],[15]]*12,-LoanAmount,0,IF(PaymentsDue="End of Period",0,1)), "")</t>
        </is>
      </c>
      <c r="G370" t="n">
        <v>94.93232625798193</v>
      </c>
      <c r="H370" t="inlineStr"/>
      <c r="I370" t="inlineStr">
        <is>
          <t>"$"#,##0.00_);[Red]\("$"#,##0.00\)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00000000</t>
        </is>
      </c>
      <c r="O370" t="inlineStr">
        <is>
          <t>center</t>
        </is>
      </c>
      <c r="P370" t="inlineStr">
        <is>
          <t>center</t>
        </is>
      </c>
      <c r="R370" t="b">
        <v>1</v>
      </c>
      <c r="S370" t="inlineStr">
        <is>
          <t>G000006</t>
        </is>
      </c>
      <c r="T370" t="inlineStr">
        <is>
          <t>Vertical</t>
        </is>
      </c>
      <c r="U370" t="n">
        <v>57</v>
      </c>
      <c r="V370" t="b">
        <v>1</v>
      </c>
      <c r="W370" t="inlineStr">
        <is>
          <t>Loan analysis!G10:G66</t>
        </is>
      </c>
      <c r="X370">
        <f>IFERROR(PMT(INDEX(Data[],ROW()-ROW(Data[[#Headers],[15]]),1)/12,Data[[#Headers],[15]]*12,-LoanAmount,0,IF(PaymentsDue="End of Period",0,1)), "")</f>
        <v/>
      </c>
    </row>
    <row r="371">
      <c r="A371" t="inlineStr">
        <is>
          <t>Loan analysis</t>
        </is>
      </c>
      <c r="B371" t="inlineStr">
        <is>
          <t>H34</t>
        </is>
      </c>
      <c r="C371" t="n">
        <v>34</v>
      </c>
      <c r="D371" t="n">
        <v>8</v>
      </c>
      <c r="E371" t="inlineStr">
        <is>
          <t>Output</t>
        </is>
      </c>
      <c r="F371" t="inlineStr">
        <is>
          <t>'=IFERROR(PMT(INDEX(Data[],ROW()-ROW(Data[[#Headers],[20]]),1)/12,Data[[#Headers],[20]]*12,-LoanAmount,0,IF(PaymentsDue="End of Period",0,1)), "")</t>
        </is>
      </c>
      <c r="G371" t="n">
        <v>83.09007307882081</v>
      </c>
      <c r="H371" t="inlineStr"/>
      <c r="I371" t="inlineStr">
        <is>
          <t>"$"#,##0.00_);[Red]\("$"#,##0.00\)</t>
        </is>
      </c>
      <c r="J371" t="b">
        <v>0</v>
      </c>
      <c r="K371" t="b">
        <v>0</v>
      </c>
      <c r="L371" t="n">
        <v>11</v>
      </c>
      <c r="M371" t="inlineStr">
        <is>
          <t>Values must be of type &lt;class 'str'&gt;</t>
        </is>
      </c>
      <c r="N371" t="inlineStr">
        <is>
          <t>00000000</t>
        </is>
      </c>
      <c r="O371" t="inlineStr">
        <is>
          <t>center</t>
        </is>
      </c>
      <c r="P371" t="inlineStr">
        <is>
          <t>center</t>
        </is>
      </c>
      <c r="R371" t="b">
        <v>1</v>
      </c>
      <c r="S371" t="inlineStr">
        <is>
          <t>G000007</t>
        </is>
      </c>
      <c r="T371" t="inlineStr">
        <is>
          <t>Vertical</t>
        </is>
      </c>
      <c r="U371" t="n">
        <v>57</v>
      </c>
      <c r="V371" t="b">
        <v>1</v>
      </c>
      <c r="W371" t="inlineStr">
        <is>
          <t>Loan analysis!H10:H66</t>
        </is>
      </c>
      <c r="X371">
        <f>IFERROR(PMT(INDEX(Data[],ROW()-ROW(Data[[#Headers],[20]]),1)/12,Data[[#Headers],[20]]*12,-LoanAmount,0,IF(PaymentsDue="End of Period",0,1)), "")</f>
        <v/>
      </c>
    </row>
    <row r="372">
      <c r="A372" t="inlineStr">
        <is>
          <t>Loan analysis</t>
        </is>
      </c>
      <c r="B372" t="inlineStr">
        <is>
          <t>I34</t>
        </is>
      </c>
      <c r="C372" t="n">
        <v>34</v>
      </c>
      <c r="D372" t="n">
        <v>9</v>
      </c>
      <c r="E372" t="inlineStr">
        <is>
          <t>Output</t>
        </is>
      </c>
      <c r="F372" t="inlineStr">
        <is>
          <t>'=IFERROR(PMT(INDEX(Data[],ROW()-ROW(Data[[#Headers],[25]]),1)/12,Data[[#Headers],[25]]*12,-LoanAmount,0,IF(PaymentsDue="End of Period",0,1)), "")</t>
        </is>
      </c>
      <c r="G372" t="n">
        <v>76.6704853681791</v>
      </c>
      <c r="H372" t="inlineStr"/>
      <c r="I372" t="inlineStr">
        <is>
          <t>"$"#,##0.00_);[Red]\("$"#,##0.00\)</t>
        </is>
      </c>
      <c r="J372" t="b">
        <v>0</v>
      </c>
      <c r="K372" t="b">
        <v>0</v>
      </c>
      <c r="L372" t="n">
        <v>11</v>
      </c>
      <c r="M372" t="inlineStr">
        <is>
          <t>Values must be of type &lt;class 'str'&gt;</t>
        </is>
      </c>
      <c r="N372" t="inlineStr">
        <is>
          <t>00000000</t>
        </is>
      </c>
      <c r="O372" t="inlineStr">
        <is>
          <t>center</t>
        </is>
      </c>
      <c r="P372" t="inlineStr">
        <is>
          <t>center</t>
        </is>
      </c>
      <c r="R372" t="b">
        <v>1</v>
      </c>
      <c r="S372" t="inlineStr">
        <is>
          <t>G000008</t>
        </is>
      </c>
      <c r="T372" t="inlineStr">
        <is>
          <t>Vertical</t>
        </is>
      </c>
      <c r="U372" t="n">
        <v>57</v>
      </c>
      <c r="V372" t="b">
        <v>1</v>
      </c>
      <c r="W372" t="inlineStr">
        <is>
          <t>Loan analysis!I10:I66</t>
        </is>
      </c>
      <c r="X372">
        <f>IFERROR(PMT(INDEX(Data[],ROW()-ROW(Data[[#Headers],[25]]),1)/12,Data[[#Headers],[25]]*12,-LoanAmount,0,IF(PaymentsDue="End of Period",0,1)), "")</f>
        <v/>
      </c>
    </row>
    <row r="373">
      <c r="A373" t="inlineStr">
        <is>
          <t>Loan analysis</t>
        </is>
      </c>
      <c r="B373" t="inlineStr">
        <is>
          <t>J34</t>
        </is>
      </c>
      <c r="C373" t="n">
        <v>34</v>
      </c>
      <c r="D373" t="n">
        <v>10</v>
      </c>
      <c r="E373" t="inlineStr">
        <is>
          <t>Output</t>
        </is>
      </c>
      <c r="F373" t="inlineStr">
        <is>
          <t>'=IFERROR(PMT(INDEX(Data[],ROW()-ROW(Data[[#Headers],[30]]),1)/12,Data[[#Headers],[30]]*12,-LoanAmount,0,IF(PaymentsDue="End of Period",0,1)), "")</t>
        </is>
      </c>
      <c r="G373" t="n">
        <v>72.89052058404398</v>
      </c>
      <c r="H373" t="inlineStr"/>
      <c r="I373" t="inlineStr">
        <is>
          <t>"$"#,##0.00_);[Red]\("$"#,##0.00\)</t>
        </is>
      </c>
      <c r="J373" t="b">
        <v>0</v>
      </c>
      <c r="K373" t="b">
        <v>0</v>
      </c>
      <c r="L373" t="n">
        <v>11</v>
      </c>
      <c r="M373" t="inlineStr">
        <is>
          <t>Values must be of type &lt;class 'str'&gt;</t>
        </is>
      </c>
      <c r="N373" t="inlineStr">
        <is>
          <t>00000000</t>
        </is>
      </c>
      <c r="O373" t="inlineStr">
        <is>
          <t>center</t>
        </is>
      </c>
      <c r="P373" t="inlineStr">
        <is>
          <t>center</t>
        </is>
      </c>
      <c r="R373" t="b">
        <v>1</v>
      </c>
      <c r="S373" t="inlineStr">
        <is>
          <t>G000009</t>
        </is>
      </c>
      <c r="T373" t="inlineStr">
        <is>
          <t>Vertical</t>
        </is>
      </c>
      <c r="U373" t="n">
        <v>57</v>
      </c>
      <c r="V373" t="b">
        <v>1</v>
      </c>
      <c r="W373" t="inlineStr">
        <is>
          <t>Loan analysis!J10:J66</t>
        </is>
      </c>
      <c r="X373">
        <f>IFERROR(PMT(INDEX(Data[],ROW()-ROW(Data[[#Headers],[30]]),1)/12,Data[[#Headers],[30]]*12,-LoanAmount,0,IF(PaymentsDue="End of Period",0,1)), "")</f>
        <v/>
      </c>
    </row>
    <row r="374">
      <c r="A374" t="inlineStr">
        <is>
          <t>Loan analysis</t>
        </is>
      </c>
      <c r="B374" t="inlineStr">
        <is>
          <t>K34</t>
        </is>
      </c>
      <c r="C374" t="n">
        <v>34</v>
      </c>
      <c r="D374" t="n">
        <v>11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n">
        <v/>
      </c>
      <c r="P374" t="n">
        <v/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Loan analysis</t>
        </is>
      </c>
      <c r="B375" t="inlineStr">
        <is>
          <t>A35</t>
        </is>
      </c>
      <c r="C375" t="n">
        <v>35</v>
      </c>
      <c r="D375" t="n">
        <v>1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n">
        <v/>
      </c>
      <c r="P375" t="n">
        <v/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Loan analysis</t>
        </is>
      </c>
      <c r="B376" t="inlineStr">
        <is>
          <t>B35</t>
        </is>
      </c>
      <c r="C376" t="n">
        <v>35</v>
      </c>
      <c r="D376" t="n">
        <v>2</v>
      </c>
      <c r="E376" t="inlineStr">
        <is>
          <t>Output</t>
        </is>
      </c>
      <c r="F376" t="inlineStr">
        <is>
          <t>'=IFERROR(MAX((ROW()-ROW(Data[[#Headers],[RATE]]))*0.0025+0.0175,0.0025), "")</t>
        </is>
      </c>
      <c r="G376" t="n">
        <v>0.0825</v>
      </c>
      <c r="H376" t="inlineStr"/>
      <c r="I376" t="inlineStr">
        <is>
          <t>0.00%</t>
        </is>
      </c>
      <c r="J376" t="b">
        <v>0</v>
      </c>
      <c r="K376" t="b">
        <v>0</v>
      </c>
      <c r="L376" t="n">
        <v>11</v>
      </c>
      <c r="M376" t="inlineStr">
        <is>
          <t>Values must be of type &lt;class 'str'&gt;</t>
        </is>
      </c>
      <c r="N376" t="inlineStr">
        <is>
          <t>00000000</t>
        </is>
      </c>
      <c r="O376" t="inlineStr">
        <is>
          <t>center</t>
        </is>
      </c>
      <c r="P376" t="inlineStr">
        <is>
          <t>center</t>
        </is>
      </c>
      <c r="R376" t="b">
        <v>1</v>
      </c>
      <c r="S376" t="inlineStr">
        <is>
          <t>G000001</t>
        </is>
      </c>
      <c r="T376" t="inlineStr">
        <is>
          <t>Vertical</t>
        </is>
      </c>
      <c r="U376" t="n">
        <v>57</v>
      </c>
      <c r="V376" t="b">
        <v>1</v>
      </c>
      <c r="W376" t="inlineStr">
        <is>
          <t>Loan analysis!B10:B66</t>
        </is>
      </c>
      <c r="X376">
        <f>IFERROR(MAX((ROW()-ROW(Data[[#Headers],[RATE]]))*0.0025+0.0175,0.0025), "")</f>
        <v/>
      </c>
    </row>
    <row r="377">
      <c r="A377" t="inlineStr">
        <is>
          <t>Loan analysis</t>
        </is>
      </c>
      <c r="B377" t="inlineStr">
        <is>
          <t>C35</t>
        </is>
      </c>
      <c r="C377" t="n">
        <v>35</v>
      </c>
      <c r="D377" t="n">
        <v>3</v>
      </c>
      <c r="E377" t="inlineStr">
        <is>
          <t>Output</t>
        </is>
      </c>
      <c r="F377" t="inlineStr">
        <is>
          <t>'=IFERROR(PMT(INDEX(Data[],ROW()-ROW(Data[[#Headers],[3]]),1)/12,Data[[#Headers],[3]]*12,-LoanAmount,0,IF(PaymentsDue="End of Period",0,1)), "")</t>
        </is>
      </c>
      <c r="G377" t="n">
        <v>312.3706859889728</v>
      </c>
      <c r="H377" t="inlineStr"/>
      <c r="I377" t="inlineStr">
        <is>
          <t>"$"#,##0.00_);[Red]\("$"#,##0.00\)</t>
        </is>
      </c>
      <c r="J377" t="b">
        <v>0</v>
      </c>
      <c r="K377" t="b">
        <v>0</v>
      </c>
      <c r="L377" t="n">
        <v>11</v>
      </c>
      <c r="M377" t="inlineStr">
        <is>
          <t>Values must be of type &lt;class 'str'&gt;</t>
        </is>
      </c>
      <c r="N377" t="inlineStr">
        <is>
          <t>00000000</t>
        </is>
      </c>
      <c r="O377" t="inlineStr">
        <is>
          <t>center</t>
        </is>
      </c>
      <c r="P377" t="inlineStr">
        <is>
          <t>center</t>
        </is>
      </c>
      <c r="R377" t="b">
        <v>1</v>
      </c>
      <c r="S377" t="inlineStr">
        <is>
          <t>G000002</t>
        </is>
      </c>
      <c r="T377" t="inlineStr">
        <is>
          <t>Vertical</t>
        </is>
      </c>
      <c r="U377" t="n">
        <v>57</v>
      </c>
      <c r="V377" t="b">
        <v>1</v>
      </c>
      <c r="W377" t="inlineStr">
        <is>
          <t>Loan analysis!C10:C66</t>
        </is>
      </c>
      <c r="X377">
        <f>IFERROR(PMT(INDEX(Data[],ROW()-ROW(Data[[#Headers],[3]]),1)/12,Data[[#Headers],[3]]*12,-LoanAmount,0,IF(PaymentsDue="End of Period",0,1)), "")</f>
        <v/>
      </c>
    </row>
    <row r="378">
      <c r="A378" t="inlineStr">
        <is>
          <t>Loan analysis</t>
        </is>
      </c>
      <c r="B378" t="inlineStr">
        <is>
          <t>D35</t>
        </is>
      </c>
      <c r="C378" t="n">
        <v>35</v>
      </c>
      <c r="D378" t="n">
        <v>4</v>
      </c>
      <c r="E378" t="inlineStr">
        <is>
          <t>Output</t>
        </is>
      </c>
      <c r="F378" t="inlineStr">
        <is>
          <t>'=IFERROR(PMT(INDEX(Data[],ROW()-ROW(Data[[#Headers],[5]]),1)/12,Data[[#Headers],[5]]*12,-LoanAmount,0,IF(PaymentsDue="End of Period",0,1)), "")</t>
        </is>
      </c>
      <c r="G378" t="n">
        <v>202.5698489416666</v>
      </c>
      <c r="H378" t="inlineStr"/>
      <c r="I378" t="inlineStr">
        <is>
          <t>"$"#,##0.00_);[Red]\("$"#,##0.00\)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00000000</t>
        </is>
      </c>
      <c r="O378" t="inlineStr">
        <is>
          <t>center</t>
        </is>
      </c>
      <c r="P378" t="inlineStr">
        <is>
          <t>center</t>
        </is>
      </c>
      <c r="R378" t="b">
        <v>1</v>
      </c>
      <c r="S378" t="inlineStr">
        <is>
          <t>G000003</t>
        </is>
      </c>
      <c r="T378" t="inlineStr">
        <is>
          <t>Vertical</t>
        </is>
      </c>
      <c r="U378" t="n">
        <v>57</v>
      </c>
      <c r="V378" t="b">
        <v>1</v>
      </c>
      <c r="W378" t="inlineStr">
        <is>
          <t>Loan analysis!D10:D66</t>
        </is>
      </c>
      <c r="X378">
        <f>IFERROR(PMT(INDEX(Data[],ROW()-ROW(Data[[#Headers],[5]]),1)/12,Data[[#Headers],[5]]*12,-LoanAmount,0,IF(PaymentsDue="End of Period",0,1)), "")</f>
        <v/>
      </c>
    </row>
    <row r="379">
      <c r="A379" t="inlineStr">
        <is>
          <t>Loan analysis</t>
        </is>
      </c>
      <c r="B379" t="inlineStr">
        <is>
          <t>E35</t>
        </is>
      </c>
      <c r="C379" t="n">
        <v>35</v>
      </c>
      <c r="D379" t="n">
        <v>5</v>
      </c>
      <c r="E379" t="inlineStr">
        <is>
          <t>Output</t>
        </is>
      </c>
      <c r="F379" t="inlineStr">
        <is>
          <t>'=IFERROR(PMT(INDEX(Data[],ROW()-ROW(Data[[#Headers],[10]]),1)/12,Data[[#Headers],[10]]*12,-LoanAmount,0,IF(PaymentsDue="End of Period",0,1)), "")</t>
        </is>
      </c>
      <c r="G379" t="n">
        <v>121.8151459599892</v>
      </c>
      <c r="H379" t="inlineStr"/>
      <c r="I379" t="inlineStr">
        <is>
          <t>"$"#,##0.00_);[Red]\("$"#,##0.00\)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00000000</t>
        </is>
      </c>
      <c r="O379" t="inlineStr">
        <is>
          <t>center</t>
        </is>
      </c>
      <c r="P379" t="inlineStr">
        <is>
          <t>center</t>
        </is>
      </c>
      <c r="R379" t="b">
        <v>1</v>
      </c>
      <c r="S379" t="inlineStr">
        <is>
          <t>G000004</t>
        </is>
      </c>
      <c r="T379" t="inlineStr">
        <is>
          <t>Vertical</t>
        </is>
      </c>
      <c r="U379" t="n">
        <v>57</v>
      </c>
      <c r="V379" t="b">
        <v>1</v>
      </c>
      <c r="W379" t="inlineStr">
        <is>
          <t>Loan analysis!E10:E66</t>
        </is>
      </c>
      <c r="X379">
        <f>IFERROR(PMT(INDEX(Data[],ROW()-ROW(Data[[#Headers],[10]]),1)/12,Data[[#Headers],[10]]*12,-LoanAmount,0,IF(PaymentsDue="End of Period",0,1)), "")</f>
        <v/>
      </c>
    </row>
    <row r="380">
      <c r="A380" t="inlineStr">
        <is>
          <t>Loan analysis</t>
        </is>
      </c>
      <c r="B380" t="inlineStr">
        <is>
          <t>F35</t>
        </is>
      </c>
      <c r="C380" t="n">
        <v>35</v>
      </c>
      <c r="D380" t="n">
        <v>6</v>
      </c>
      <c r="E380" t="inlineStr">
        <is>
          <t>Output</t>
        </is>
      </c>
      <c r="F380" t="inlineStr">
        <is>
          <t>'=IFERROR(PMT(INDEX(Data[],ROW()-ROW(Data[[#Headers],[12]]),1)/12,Data[[#Headers],[12]]*12,-LoanAmount,0,IF(PaymentsDue="End of Period",0,1)), "")</t>
        </is>
      </c>
      <c r="G380" t="n">
        <v>108.8722299887315</v>
      </c>
      <c r="H380" t="inlineStr"/>
      <c r="I380" t="inlineStr">
        <is>
          <t>"$"#,##0.00_);[Red]\("$"#,##0.00\)</t>
        </is>
      </c>
      <c r="J380" t="b">
        <v>0</v>
      </c>
      <c r="K380" t="b">
        <v>0</v>
      </c>
      <c r="L380" t="n">
        <v>11</v>
      </c>
      <c r="M380" t="inlineStr">
        <is>
          <t>Values must be of type &lt;class 'str'&gt;</t>
        </is>
      </c>
      <c r="N380" t="inlineStr">
        <is>
          <t>00000000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inlineStr">
        <is>
          <t>G000005</t>
        </is>
      </c>
      <c r="T380" t="inlineStr">
        <is>
          <t>Vertical</t>
        </is>
      </c>
      <c r="U380" t="n">
        <v>57</v>
      </c>
      <c r="V380" t="b">
        <v>1</v>
      </c>
      <c r="W380" t="inlineStr">
        <is>
          <t>Loan analysis!F10:F66</t>
        </is>
      </c>
      <c r="X380">
        <f>IFERROR(PMT(INDEX(Data[],ROW()-ROW(Data[[#Headers],[12]]),1)/12,Data[[#Headers],[12]]*12,-LoanAmount,0,IF(PaymentsDue="End of Period",0,1)), "")</f>
        <v/>
      </c>
    </row>
    <row r="381">
      <c r="A381" t="inlineStr">
        <is>
          <t>Loan analysis</t>
        </is>
      </c>
      <c r="B381" t="inlineStr">
        <is>
          <t>G35</t>
        </is>
      </c>
      <c r="C381" t="n">
        <v>35</v>
      </c>
      <c r="D381" t="n">
        <v>7</v>
      </c>
      <c r="E381" t="inlineStr">
        <is>
          <t>Output</t>
        </is>
      </c>
      <c r="F381" t="inlineStr">
        <is>
          <t>'=IFERROR(PMT(INDEX(Data[],ROW()-ROW(Data[[#Headers],[15]]),1)/12,Data[[#Headers],[15]]*12,-LoanAmount,0,IF(PaymentsDue="End of Period",0,1)), "")</t>
        </is>
      </c>
      <c r="G381" t="n">
        <v>96.35161840279233</v>
      </c>
      <c r="H381" t="inlineStr"/>
      <c r="I381" t="inlineStr">
        <is>
          <t>"$"#,##0.00_);[Red]\("$"#,##0.00\)</t>
        </is>
      </c>
      <c r="J381" t="b">
        <v>0</v>
      </c>
      <c r="K381" t="b">
        <v>0</v>
      </c>
      <c r="L381" t="n">
        <v>11</v>
      </c>
      <c r="M381" t="inlineStr">
        <is>
          <t>Values must be of type &lt;class 'str'&gt;</t>
        </is>
      </c>
      <c r="N381" t="inlineStr">
        <is>
          <t>00000000</t>
        </is>
      </c>
      <c r="O381" t="inlineStr">
        <is>
          <t>center</t>
        </is>
      </c>
      <c r="P381" t="inlineStr">
        <is>
          <t>center</t>
        </is>
      </c>
      <c r="R381" t="b">
        <v>1</v>
      </c>
      <c r="S381" t="inlineStr">
        <is>
          <t>G000006</t>
        </is>
      </c>
      <c r="T381" t="inlineStr">
        <is>
          <t>Vertical</t>
        </is>
      </c>
      <c r="U381" t="n">
        <v>57</v>
      </c>
      <c r="V381" t="b">
        <v>1</v>
      </c>
      <c r="W381" t="inlineStr">
        <is>
          <t>Loan analysis!G10:G66</t>
        </is>
      </c>
      <c r="X381">
        <f>IFERROR(PMT(INDEX(Data[],ROW()-ROW(Data[[#Headers],[15]]),1)/12,Data[[#Headers],[15]]*12,-LoanAmount,0,IF(PaymentsDue="End of Period",0,1)), "")</f>
        <v/>
      </c>
    </row>
    <row r="382">
      <c r="A382" t="inlineStr">
        <is>
          <t>Loan analysis</t>
        </is>
      </c>
      <c r="B382" t="inlineStr">
        <is>
          <t>H35</t>
        </is>
      </c>
      <c r="C382" t="n">
        <v>35</v>
      </c>
      <c r="D382" t="n">
        <v>8</v>
      </c>
      <c r="E382" t="inlineStr">
        <is>
          <t>Output</t>
        </is>
      </c>
      <c r="F382" t="inlineStr">
        <is>
          <t>'=IFERROR(PMT(INDEX(Data[],ROW()-ROW(Data[[#Headers],[20]]),1)/12,Data[[#Headers],[20]]*12,-LoanAmount,0,IF(PaymentsDue="End of Period",0,1)), "")</t>
        </is>
      </c>
      <c r="G382" t="n">
        <v>84.62476993776498</v>
      </c>
      <c r="H382" t="inlineStr"/>
      <c r="I382" t="inlineStr">
        <is>
          <t>"$"#,##0.00_);[Red]\("$"#,##0.00\)</t>
        </is>
      </c>
      <c r="J382" t="b">
        <v>0</v>
      </c>
      <c r="K382" t="b">
        <v>0</v>
      </c>
      <c r="L382" t="n">
        <v>11</v>
      </c>
      <c r="M382" t="inlineStr">
        <is>
          <t>Values must be of type &lt;class 'str'&gt;</t>
        </is>
      </c>
      <c r="N382" t="inlineStr">
        <is>
          <t>00000000</t>
        </is>
      </c>
      <c r="O382" t="inlineStr">
        <is>
          <t>center</t>
        </is>
      </c>
      <c r="P382" t="inlineStr">
        <is>
          <t>center</t>
        </is>
      </c>
      <c r="R382" t="b">
        <v>1</v>
      </c>
      <c r="S382" t="inlineStr">
        <is>
          <t>G000007</t>
        </is>
      </c>
      <c r="T382" t="inlineStr">
        <is>
          <t>Vertical</t>
        </is>
      </c>
      <c r="U382" t="n">
        <v>57</v>
      </c>
      <c r="V382" t="b">
        <v>1</v>
      </c>
      <c r="W382" t="inlineStr">
        <is>
          <t>Loan analysis!H10:H66</t>
        </is>
      </c>
      <c r="X382">
        <f>IFERROR(PMT(INDEX(Data[],ROW()-ROW(Data[[#Headers],[20]]),1)/12,Data[[#Headers],[20]]*12,-LoanAmount,0,IF(PaymentsDue="End of Period",0,1)), "")</f>
        <v/>
      </c>
    </row>
    <row r="383">
      <c r="A383" t="inlineStr">
        <is>
          <t>Loan analysis</t>
        </is>
      </c>
      <c r="B383" t="inlineStr">
        <is>
          <t>I35</t>
        </is>
      </c>
      <c r="C383" t="n">
        <v>35</v>
      </c>
      <c r="D383" t="n">
        <v>9</v>
      </c>
      <c r="E383" t="inlineStr">
        <is>
          <t>Output</t>
        </is>
      </c>
      <c r="F383" t="inlineStr">
        <is>
          <t>'=IFERROR(PMT(INDEX(Data[],ROW()-ROW(Data[[#Headers],[25]]),1)/12,Data[[#Headers],[25]]*12,-LoanAmount,0,IF(PaymentsDue="End of Period",0,1)), "")</t>
        </is>
      </c>
      <c r="G383" t="n">
        <v>78.30665521402236</v>
      </c>
      <c r="H383" t="inlineStr"/>
      <c r="I383" t="inlineStr">
        <is>
          <t>"$"#,##0.00_);[Red]\("$"#,##0.00\)</t>
        </is>
      </c>
      <c r="J383" t="b">
        <v>0</v>
      </c>
      <c r="K383" t="b">
        <v>0</v>
      </c>
      <c r="L383" t="n">
        <v>11</v>
      </c>
      <c r="M383" t="inlineStr">
        <is>
          <t>Values must be of type &lt;class 'str'&gt;</t>
        </is>
      </c>
      <c r="N383" t="inlineStr">
        <is>
          <t>00000000</t>
        </is>
      </c>
      <c r="O383" t="inlineStr">
        <is>
          <t>center</t>
        </is>
      </c>
      <c r="P383" t="inlineStr">
        <is>
          <t>center</t>
        </is>
      </c>
      <c r="R383" t="b">
        <v>1</v>
      </c>
      <c r="S383" t="inlineStr">
        <is>
          <t>G000008</t>
        </is>
      </c>
      <c r="T383" t="inlineStr">
        <is>
          <t>Vertical</t>
        </is>
      </c>
      <c r="U383" t="n">
        <v>57</v>
      </c>
      <c r="V383" t="b">
        <v>1</v>
      </c>
      <c r="W383" t="inlineStr">
        <is>
          <t>Loan analysis!I10:I66</t>
        </is>
      </c>
      <c r="X383">
        <f>IFERROR(PMT(INDEX(Data[],ROW()-ROW(Data[[#Headers],[25]]),1)/12,Data[[#Headers],[25]]*12,-LoanAmount,0,IF(PaymentsDue="End of Period",0,1)), "")</f>
        <v/>
      </c>
    </row>
    <row r="384">
      <c r="A384" t="inlineStr">
        <is>
          <t>Loan analysis</t>
        </is>
      </c>
      <c r="B384" t="inlineStr">
        <is>
          <t>J35</t>
        </is>
      </c>
      <c r="C384" t="n">
        <v>35</v>
      </c>
      <c r="D384" t="n">
        <v>10</v>
      </c>
      <c r="E384" t="inlineStr">
        <is>
          <t>Output</t>
        </is>
      </c>
      <c r="F384" t="inlineStr">
        <is>
          <t>'=IFERROR(PMT(INDEX(Data[],ROW()-ROW(Data[[#Headers],[30]]),1)/12,Data[[#Headers],[30]]*12,-LoanAmount,0,IF(PaymentsDue="End of Period",0,1)), "")</t>
        </is>
      </c>
      <c r="G384" t="n">
        <v>74.61369127755917</v>
      </c>
      <c r="H384" t="inlineStr"/>
      <c r="I384" t="inlineStr">
        <is>
          <t>"$"#,##0.00_);[Red]\("$"#,##0.00\)</t>
        </is>
      </c>
      <c r="J384" t="b">
        <v>0</v>
      </c>
      <c r="K384" t="b">
        <v>0</v>
      </c>
      <c r="L384" t="n">
        <v>11</v>
      </c>
      <c r="M384" t="inlineStr">
        <is>
          <t>Values must be of type &lt;class 'str'&gt;</t>
        </is>
      </c>
      <c r="N384" t="inlineStr">
        <is>
          <t>00000000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inlineStr">
        <is>
          <t>G000009</t>
        </is>
      </c>
      <c r="T384" t="inlineStr">
        <is>
          <t>Vertical</t>
        </is>
      </c>
      <c r="U384" t="n">
        <v>57</v>
      </c>
      <c r="V384" t="b">
        <v>1</v>
      </c>
      <c r="W384" t="inlineStr">
        <is>
          <t>Loan analysis!J10:J66</t>
        </is>
      </c>
      <c r="X384">
        <f>IFERROR(PMT(INDEX(Data[],ROW()-ROW(Data[[#Headers],[30]]),1)/12,Data[[#Headers],[30]]*12,-LoanAmount,0,IF(PaymentsDue="End of Period",0,1)), "")</f>
        <v/>
      </c>
    </row>
    <row r="385">
      <c r="A385" t="inlineStr">
        <is>
          <t>Loan analysis</t>
        </is>
      </c>
      <c r="B385" t="inlineStr">
        <is>
          <t>K35</t>
        </is>
      </c>
      <c r="C385" t="n">
        <v>35</v>
      </c>
      <c r="D385" t="n">
        <v>11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11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n">
        <v/>
      </c>
      <c r="P385" t="n">
        <v/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Loan analysis</t>
        </is>
      </c>
      <c r="B386" t="inlineStr">
        <is>
          <t>A36</t>
        </is>
      </c>
      <c r="C386" t="n">
        <v>36</v>
      </c>
      <c r="D386" t="n">
        <v>1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11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n">
        <v/>
      </c>
      <c r="P386" t="n">
        <v/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Loan analysis</t>
        </is>
      </c>
      <c r="B387" t="inlineStr">
        <is>
          <t>B36</t>
        </is>
      </c>
      <c r="C387" t="n">
        <v>36</v>
      </c>
      <c r="D387" t="n">
        <v>2</v>
      </c>
      <c r="E387" t="inlineStr">
        <is>
          <t>Output</t>
        </is>
      </c>
      <c r="F387" t="inlineStr">
        <is>
          <t>'=IFERROR(MAX((ROW()-ROW(Data[[#Headers],[RATE]]))*0.0025+0.0175,0.0025), "")</t>
        </is>
      </c>
      <c r="G387" t="n">
        <v>0.08500000000000001</v>
      </c>
      <c r="H387" t="inlineStr"/>
      <c r="I387" t="inlineStr">
        <is>
          <t>0.00%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00000000</t>
        </is>
      </c>
      <c r="O387" t="inlineStr">
        <is>
          <t>center</t>
        </is>
      </c>
      <c r="P387" t="inlineStr">
        <is>
          <t>center</t>
        </is>
      </c>
      <c r="R387" t="b">
        <v>1</v>
      </c>
      <c r="S387" t="inlineStr">
        <is>
          <t>G000001</t>
        </is>
      </c>
      <c r="T387" t="inlineStr">
        <is>
          <t>Vertical</t>
        </is>
      </c>
      <c r="U387" t="n">
        <v>57</v>
      </c>
      <c r="V387" t="b">
        <v>1</v>
      </c>
      <c r="W387" t="inlineStr">
        <is>
          <t>Loan analysis!B10:B66</t>
        </is>
      </c>
      <c r="X387">
        <f>IFERROR(MAX((ROW()-ROW(Data[[#Headers],[RATE]]))*0.0025+0.0175,0.0025), "")</f>
        <v/>
      </c>
    </row>
    <row r="388">
      <c r="A388" t="inlineStr">
        <is>
          <t>Loan analysis</t>
        </is>
      </c>
      <c r="B388" t="inlineStr">
        <is>
          <t>C36</t>
        </is>
      </c>
      <c r="C388" t="n">
        <v>36</v>
      </c>
      <c r="D388" t="n">
        <v>3</v>
      </c>
      <c r="E388" t="inlineStr">
        <is>
          <t>Output</t>
        </is>
      </c>
      <c r="F388" t="inlineStr">
        <is>
          <t>'=IFERROR(PMT(INDEX(Data[],ROW()-ROW(Data[[#Headers],[3]]),1)/12,Data[[#Headers],[3]]*12,-LoanAmount,0,IF(PaymentsDue="End of Period",0,1)), "")</t>
        </is>
      </c>
      <c r="G388" t="n">
        <v>313.4550675073966</v>
      </c>
      <c r="H388" t="inlineStr"/>
      <c r="I388" t="inlineStr">
        <is>
          <t>"$"#,##0.00_);[Red]\("$"#,##0.00\)</t>
        </is>
      </c>
      <c r="J388" t="b">
        <v>0</v>
      </c>
      <c r="K388" t="b">
        <v>0</v>
      </c>
      <c r="L388" t="n">
        <v>11</v>
      </c>
      <c r="M388" t="inlineStr">
        <is>
          <t>Values must be of type &lt;class 'str'&gt;</t>
        </is>
      </c>
      <c r="N388" t="inlineStr">
        <is>
          <t>00000000</t>
        </is>
      </c>
      <c r="O388" t="inlineStr">
        <is>
          <t>center</t>
        </is>
      </c>
      <c r="P388" t="inlineStr">
        <is>
          <t>center</t>
        </is>
      </c>
      <c r="R388" t="b">
        <v>1</v>
      </c>
      <c r="S388" t="inlineStr">
        <is>
          <t>G000002</t>
        </is>
      </c>
      <c r="T388" t="inlineStr">
        <is>
          <t>Vertical</t>
        </is>
      </c>
      <c r="U388" t="n">
        <v>57</v>
      </c>
      <c r="V388" t="b">
        <v>1</v>
      </c>
      <c r="W388" t="inlineStr">
        <is>
          <t>Loan analysis!C10:C66</t>
        </is>
      </c>
      <c r="X388">
        <f>IFERROR(PMT(INDEX(Data[],ROW()-ROW(Data[[#Headers],[3]]),1)/12,Data[[#Headers],[3]]*12,-LoanAmount,0,IF(PaymentsDue="End of Period",0,1)), "")</f>
        <v/>
      </c>
    </row>
    <row r="389">
      <c r="A389" t="inlineStr">
        <is>
          <t>Loan analysis</t>
        </is>
      </c>
      <c r="B389" t="inlineStr">
        <is>
          <t>D36</t>
        </is>
      </c>
      <c r="C389" t="n">
        <v>36</v>
      </c>
      <c r="D389" t="n">
        <v>4</v>
      </c>
      <c r="E389" t="inlineStr">
        <is>
          <t>Output</t>
        </is>
      </c>
      <c r="F389" t="inlineStr">
        <is>
          <t>'=IFERROR(PMT(INDEX(Data[],ROW()-ROW(Data[[#Headers],[5]]),1)/12,Data[[#Headers],[5]]*12,-LoanAmount,0,IF(PaymentsDue="End of Period",0,1)), "")</t>
        </is>
      </c>
      <c r="G389" t="n">
        <v>203.7222804506537</v>
      </c>
      <c r="H389" t="inlineStr"/>
      <c r="I389" t="inlineStr">
        <is>
          <t>"$"#,##0.00_);[Red]\("$"#,##0.00\)</t>
        </is>
      </c>
      <c r="J389" t="b">
        <v>0</v>
      </c>
      <c r="K389" t="b">
        <v>0</v>
      </c>
      <c r="L389" t="n">
        <v>11</v>
      </c>
      <c r="M389" t="inlineStr">
        <is>
          <t>Values must be of type &lt;class 'str'&gt;</t>
        </is>
      </c>
      <c r="N389" t="inlineStr">
        <is>
          <t>00000000</t>
        </is>
      </c>
      <c r="O389" t="inlineStr">
        <is>
          <t>center</t>
        </is>
      </c>
      <c r="P389" t="inlineStr">
        <is>
          <t>center</t>
        </is>
      </c>
      <c r="R389" t="b">
        <v>1</v>
      </c>
      <c r="S389" t="inlineStr">
        <is>
          <t>G000003</t>
        </is>
      </c>
      <c r="T389" t="inlineStr">
        <is>
          <t>Vertical</t>
        </is>
      </c>
      <c r="U389" t="n">
        <v>57</v>
      </c>
      <c r="V389" t="b">
        <v>1</v>
      </c>
      <c r="W389" t="inlineStr">
        <is>
          <t>Loan analysis!D10:D66</t>
        </is>
      </c>
      <c r="X389">
        <f>IFERROR(PMT(INDEX(Data[],ROW()-ROW(Data[[#Headers],[5]]),1)/12,Data[[#Headers],[5]]*12,-LoanAmount,0,IF(PaymentsDue="End of Period",0,1)), "")</f>
        <v/>
      </c>
    </row>
    <row r="390">
      <c r="A390" t="inlineStr">
        <is>
          <t>Loan analysis</t>
        </is>
      </c>
      <c r="B390" t="inlineStr">
        <is>
          <t>E36</t>
        </is>
      </c>
      <c r="C390" t="n">
        <v>36</v>
      </c>
      <c r="D390" t="n">
        <v>5</v>
      </c>
      <c r="E390" t="inlineStr">
        <is>
          <t>Output</t>
        </is>
      </c>
      <c r="F390" t="inlineStr">
        <is>
          <t>'=IFERROR(PMT(INDEX(Data[],ROW()-ROW(Data[[#Headers],[10]]),1)/12,Data[[#Headers],[10]]*12,-LoanAmount,0,IF(PaymentsDue="End of Period",0,1)), "")</t>
        </is>
      </c>
      <c r="G390" t="n">
        <v>123.1136339672432</v>
      </c>
      <c r="H390" t="inlineStr"/>
      <c r="I390" t="inlineStr">
        <is>
          <t>"$"#,##0.00_);[Red]\("$"#,##0.00\)</t>
        </is>
      </c>
      <c r="J390" t="b">
        <v>0</v>
      </c>
      <c r="K390" t="b">
        <v>0</v>
      </c>
      <c r="L390" t="n">
        <v>11</v>
      </c>
      <c r="M390" t="inlineStr">
        <is>
          <t>Values must be of type &lt;class 'str'&gt;</t>
        </is>
      </c>
      <c r="N390" t="inlineStr">
        <is>
          <t>00000000</t>
        </is>
      </c>
      <c r="O390" t="inlineStr">
        <is>
          <t>center</t>
        </is>
      </c>
      <c r="P390" t="inlineStr">
        <is>
          <t>center</t>
        </is>
      </c>
      <c r="R390" t="b">
        <v>1</v>
      </c>
      <c r="S390" t="inlineStr">
        <is>
          <t>G000004</t>
        </is>
      </c>
      <c r="T390" t="inlineStr">
        <is>
          <t>Vertical</t>
        </is>
      </c>
      <c r="U390" t="n">
        <v>57</v>
      </c>
      <c r="V390" t="b">
        <v>1</v>
      </c>
      <c r="W390" t="inlineStr">
        <is>
          <t>Loan analysis!E10:E66</t>
        </is>
      </c>
      <c r="X390">
        <f>IFERROR(PMT(INDEX(Data[],ROW()-ROW(Data[[#Headers],[10]]),1)/12,Data[[#Headers],[10]]*12,-LoanAmount,0,IF(PaymentsDue="End of Period",0,1)), "")</f>
        <v/>
      </c>
    </row>
    <row r="391">
      <c r="A391" t="inlineStr">
        <is>
          <t>Loan analysis</t>
        </is>
      </c>
      <c r="B391" t="inlineStr">
        <is>
          <t>F36</t>
        </is>
      </c>
      <c r="C391" t="n">
        <v>36</v>
      </c>
      <c r="D391" t="n">
        <v>6</v>
      </c>
      <c r="E391" t="inlineStr">
        <is>
          <t>Output</t>
        </is>
      </c>
      <c r="F391" t="inlineStr">
        <is>
          <t>'=IFERROR(PMT(INDEX(Data[],ROW()-ROW(Data[[#Headers],[12]]),1)/12,Data[[#Headers],[12]]*12,-LoanAmount,0,IF(PaymentsDue="End of Period",0,1)), "")</t>
        </is>
      </c>
      <c r="G391" t="n">
        <v>110.2247974495168</v>
      </c>
      <c r="H391" t="inlineStr"/>
      <c r="I391" t="inlineStr">
        <is>
          <t>"$"#,##0.00_);[Red]\("$"#,##0.00\)</t>
        </is>
      </c>
      <c r="J391" t="b">
        <v>0</v>
      </c>
      <c r="K391" t="b">
        <v>0</v>
      </c>
      <c r="L391" t="n">
        <v>11</v>
      </c>
      <c r="M391" t="inlineStr">
        <is>
          <t>Values must be of type &lt;class 'str'&gt;</t>
        </is>
      </c>
      <c r="N391" t="inlineStr">
        <is>
          <t>00000000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inlineStr">
        <is>
          <t>G000005</t>
        </is>
      </c>
      <c r="T391" t="inlineStr">
        <is>
          <t>Vertical</t>
        </is>
      </c>
      <c r="U391" t="n">
        <v>57</v>
      </c>
      <c r="V391" t="b">
        <v>1</v>
      </c>
      <c r="W391" t="inlineStr">
        <is>
          <t>Loan analysis!F10:F66</t>
        </is>
      </c>
      <c r="X391">
        <f>IFERROR(PMT(INDEX(Data[],ROW()-ROW(Data[[#Headers],[12]]),1)/12,Data[[#Headers],[12]]*12,-LoanAmount,0,IF(PaymentsDue="End of Period",0,1)), "")</f>
        <v/>
      </c>
    </row>
    <row r="392">
      <c r="A392" t="inlineStr">
        <is>
          <t>Loan analysis</t>
        </is>
      </c>
      <c r="B392" t="inlineStr">
        <is>
          <t>G36</t>
        </is>
      </c>
      <c r="C392" t="n">
        <v>36</v>
      </c>
      <c r="D392" t="n">
        <v>7</v>
      </c>
      <c r="E392" t="inlineStr">
        <is>
          <t>Output</t>
        </is>
      </c>
      <c r="F392" t="inlineStr">
        <is>
          <t>'=IFERROR(PMT(INDEX(Data[],ROW()-ROW(Data[[#Headers],[15]]),1)/12,Data[[#Headers],[15]]*12,-LoanAmount,0,IF(PaymentsDue="End of Period",0,1)), "")</t>
        </is>
      </c>
      <c r="G392" t="n">
        <v>97.78133798185452</v>
      </c>
      <c r="H392" t="inlineStr"/>
      <c r="I392" t="inlineStr">
        <is>
          <t>"$"#,##0.00_);[Red]\("$"#,##0.00\)</t>
        </is>
      </c>
      <c r="J392" t="b">
        <v>0</v>
      </c>
      <c r="K392" t="b">
        <v>0</v>
      </c>
      <c r="L392" t="n">
        <v>11</v>
      </c>
      <c r="M392" t="inlineStr">
        <is>
          <t>Values must be of type &lt;class 'str'&gt;</t>
        </is>
      </c>
      <c r="N392" t="inlineStr">
        <is>
          <t>00000000</t>
        </is>
      </c>
      <c r="O392" t="inlineStr">
        <is>
          <t>center</t>
        </is>
      </c>
      <c r="P392" t="inlineStr">
        <is>
          <t>center</t>
        </is>
      </c>
      <c r="R392" t="b">
        <v>1</v>
      </c>
      <c r="S392" t="inlineStr">
        <is>
          <t>G000006</t>
        </is>
      </c>
      <c r="T392" t="inlineStr">
        <is>
          <t>Vertical</t>
        </is>
      </c>
      <c r="U392" t="n">
        <v>57</v>
      </c>
      <c r="V392" t="b">
        <v>1</v>
      </c>
      <c r="W392" t="inlineStr">
        <is>
          <t>Loan analysis!G10:G66</t>
        </is>
      </c>
      <c r="X392">
        <f>IFERROR(PMT(INDEX(Data[],ROW()-ROW(Data[[#Headers],[15]]),1)/12,Data[[#Headers],[15]]*12,-LoanAmount,0,IF(PaymentsDue="End of Period",0,1)), "")</f>
        <v/>
      </c>
    </row>
    <row r="393">
      <c r="A393" t="inlineStr">
        <is>
          <t>Loan analysis</t>
        </is>
      </c>
      <c r="B393" t="inlineStr">
        <is>
          <t>H36</t>
        </is>
      </c>
      <c r="C393" t="n">
        <v>36</v>
      </c>
      <c r="D393" t="n">
        <v>8</v>
      </c>
      <c r="E393" t="inlineStr">
        <is>
          <t>Output</t>
        </is>
      </c>
      <c r="F393" t="inlineStr">
        <is>
          <t>'=IFERROR(PMT(INDEX(Data[],ROW()-ROW(Data[[#Headers],[20]]),1)/12,Data[[#Headers],[20]]*12,-LoanAmount,0,IF(PaymentsDue="End of Period",0,1)), "")</t>
        </is>
      </c>
      <c r="G393" t="n">
        <v>86.17193877026403</v>
      </c>
      <c r="H393" t="inlineStr"/>
      <c r="I393" t="inlineStr">
        <is>
          <t>"$"#,##0.00_);[Red]\("$"#,##0.00\)</t>
        </is>
      </c>
      <c r="J393" t="b">
        <v>0</v>
      </c>
      <c r="K393" t="b">
        <v>0</v>
      </c>
      <c r="L393" t="n">
        <v>11</v>
      </c>
      <c r="M393" t="inlineStr">
        <is>
          <t>Values must be of type &lt;class 'str'&gt;</t>
        </is>
      </c>
      <c r="N393" t="inlineStr">
        <is>
          <t>00000000</t>
        </is>
      </c>
      <c r="O393" t="inlineStr">
        <is>
          <t>center</t>
        </is>
      </c>
      <c r="P393" t="inlineStr">
        <is>
          <t>center</t>
        </is>
      </c>
      <c r="R393" t="b">
        <v>1</v>
      </c>
      <c r="S393" t="inlineStr">
        <is>
          <t>G000007</t>
        </is>
      </c>
      <c r="T393" t="inlineStr">
        <is>
          <t>Vertical</t>
        </is>
      </c>
      <c r="U393" t="n">
        <v>57</v>
      </c>
      <c r="V393" t="b">
        <v>1</v>
      </c>
      <c r="W393" t="inlineStr">
        <is>
          <t>Loan analysis!H10:H66</t>
        </is>
      </c>
      <c r="X393">
        <f>IFERROR(PMT(INDEX(Data[],ROW()-ROW(Data[[#Headers],[20]]),1)/12,Data[[#Headers],[20]]*12,-LoanAmount,0,IF(PaymentsDue="End of Period",0,1)), "")</f>
        <v/>
      </c>
    </row>
    <row r="394">
      <c r="A394" t="inlineStr">
        <is>
          <t>Loan analysis</t>
        </is>
      </c>
      <c r="B394" t="inlineStr">
        <is>
          <t>I36</t>
        </is>
      </c>
      <c r="C394" t="n">
        <v>36</v>
      </c>
      <c r="D394" t="n">
        <v>9</v>
      </c>
      <c r="E394" t="inlineStr">
        <is>
          <t>Output</t>
        </is>
      </c>
      <c r="F394" t="inlineStr">
        <is>
          <t>'=IFERROR(PMT(INDEX(Data[],ROW()-ROW(Data[[#Headers],[25]]),1)/12,Data[[#Headers],[25]]*12,-LoanAmount,0,IF(PaymentsDue="End of Period",0,1)), "")</t>
        </is>
      </c>
      <c r="G394" t="n">
        <v>79.95635086094808</v>
      </c>
      <c r="H394" t="inlineStr"/>
      <c r="I394" t="inlineStr">
        <is>
          <t>"$"#,##0.00_);[Red]\("$"#,##0.00\)</t>
        </is>
      </c>
      <c r="J394" t="b">
        <v>0</v>
      </c>
      <c r="K394" t="b">
        <v>0</v>
      </c>
      <c r="L394" t="n">
        <v>11</v>
      </c>
      <c r="M394" t="inlineStr">
        <is>
          <t>Values must be of type &lt;class 'str'&gt;</t>
        </is>
      </c>
      <c r="N394" t="inlineStr">
        <is>
          <t>00000000</t>
        </is>
      </c>
      <c r="O394" t="inlineStr">
        <is>
          <t>center</t>
        </is>
      </c>
      <c r="P394" t="inlineStr">
        <is>
          <t>center</t>
        </is>
      </c>
      <c r="R394" t="b">
        <v>1</v>
      </c>
      <c r="S394" t="inlineStr">
        <is>
          <t>G000008</t>
        </is>
      </c>
      <c r="T394" t="inlineStr">
        <is>
          <t>Vertical</t>
        </is>
      </c>
      <c r="U394" t="n">
        <v>57</v>
      </c>
      <c r="V394" t="b">
        <v>1</v>
      </c>
      <c r="W394" t="inlineStr">
        <is>
          <t>Loan analysis!I10:I66</t>
        </is>
      </c>
      <c r="X394">
        <f>IFERROR(PMT(INDEX(Data[],ROW()-ROW(Data[[#Headers],[25]]),1)/12,Data[[#Headers],[25]]*12,-LoanAmount,0,IF(PaymentsDue="End of Period",0,1)), "")</f>
        <v/>
      </c>
    </row>
    <row r="395">
      <c r="A395" t="inlineStr">
        <is>
          <t>Loan analysis</t>
        </is>
      </c>
      <c r="B395" t="inlineStr">
        <is>
          <t>J36</t>
        </is>
      </c>
      <c r="C395" t="n">
        <v>36</v>
      </c>
      <c r="D395" t="n">
        <v>10</v>
      </c>
      <c r="E395" t="inlineStr">
        <is>
          <t>Output</t>
        </is>
      </c>
      <c r="F395" t="inlineStr">
        <is>
          <t>'=IFERROR(PMT(INDEX(Data[],ROW()-ROW(Data[[#Headers],[30]]),1)/12,Data[[#Headers],[30]]*12,-LoanAmount,0,IF(PaymentsDue="End of Period",0,1)), "")</t>
        </is>
      </c>
      <c r="G395" t="n">
        <v>76.35053208946631</v>
      </c>
      <c r="H395" t="inlineStr"/>
      <c r="I395" t="inlineStr">
        <is>
          <t>"$"#,##0.00_);[Red]\("$"#,##0.00\)</t>
        </is>
      </c>
      <c r="J395" t="b">
        <v>0</v>
      </c>
      <c r="K395" t="b">
        <v>0</v>
      </c>
      <c r="L395" t="n">
        <v>11</v>
      </c>
      <c r="M395" t="inlineStr">
        <is>
          <t>Values must be of type &lt;class 'str'&gt;</t>
        </is>
      </c>
      <c r="N395" t="inlineStr">
        <is>
          <t>00000000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inlineStr">
        <is>
          <t>G000009</t>
        </is>
      </c>
      <c r="T395" t="inlineStr">
        <is>
          <t>Vertical</t>
        </is>
      </c>
      <c r="U395" t="n">
        <v>57</v>
      </c>
      <c r="V395" t="b">
        <v>1</v>
      </c>
      <c r="W395" t="inlineStr">
        <is>
          <t>Loan analysis!J10:J66</t>
        </is>
      </c>
      <c r="X395">
        <f>IFERROR(PMT(INDEX(Data[],ROW()-ROW(Data[[#Headers],[30]]),1)/12,Data[[#Headers],[30]]*12,-LoanAmount,0,IF(PaymentsDue="End of Period",0,1)), "")</f>
        <v/>
      </c>
    </row>
    <row r="396">
      <c r="A396" t="inlineStr">
        <is>
          <t>Loan analysis</t>
        </is>
      </c>
      <c r="B396" t="inlineStr">
        <is>
          <t>K36</t>
        </is>
      </c>
      <c r="C396" t="n">
        <v>36</v>
      </c>
      <c r="D396" t="n">
        <v>11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n">
        <v/>
      </c>
      <c r="P396" t="n">
        <v/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Loan analysis</t>
        </is>
      </c>
      <c r="B397" t="inlineStr">
        <is>
          <t>A37</t>
        </is>
      </c>
      <c r="C397" t="n">
        <v>37</v>
      </c>
      <c r="D397" t="n">
        <v>1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n">
        <v/>
      </c>
      <c r="P397" t="n">
        <v/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Loan analysis</t>
        </is>
      </c>
      <c r="B398" t="inlineStr">
        <is>
          <t>B37</t>
        </is>
      </c>
      <c r="C398" t="n">
        <v>37</v>
      </c>
      <c r="D398" t="n">
        <v>2</v>
      </c>
      <c r="E398" t="inlineStr">
        <is>
          <t>Output</t>
        </is>
      </c>
      <c r="F398" t="inlineStr">
        <is>
          <t>'=IFERROR(MAX((ROW()-ROW(Data[[#Headers],[RATE]]))*0.0025+0.0175,0.0025), "")</t>
        </is>
      </c>
      <c r="G398" t="n">
        <v>0.08750000000000001</v>
      </c>
      <c r="H398" t="inlineStr"/>
      <c r="I398" t="inlineStr">
        <is>
          <t>0.00%</t>
        </is>
      </c>
      <c r="J398" t="b">
        <v>0</v>
      </c>
      <c r="K398" t="b">
        <v>0</v>
      </c>
      <c r="L398" t="n">
        <v>11</v>
      </c>
      <c r="M398" t="inlineStr">
        <is>
          <t>Values must be of type &lt;class 'str'&gt;</t>
        </is>
      </c>
      <c r="N398" t="inlineStr">
        <is>
          <t>00000000</t>
        </is>
      </c>
      <c r="O398" t="inlineStr">
        <is>
          <t>center</t>
        </is>
      </c>
      <c r="P398" t="inlineStr">
        <is>
          <t>center</t>
        </is>
      </c>
      <c r="R398" t="b">
        <v>1</v>
      </c>
      <c r="S398" t="inlineStr">
        <is>
          <t>G000001</t>
        </is>
      </c>
      <c r="T398" t="inlineStr">
        <is>
          <t>Vertical</t>
        </is>
      </c>
      <c r="U398" t="n">
        <v>57</v>
      </c>
      <c r="V398" t="b">
        <v>1</v>
      </c>
      <c r="W398" t="inlineStr">
        <is>
          <t>Loan analysis!B10:B66</t>
        </is>
      </c>
      <c r="X398">
        <f>IFERROR(MAX((ROW()-ROW(Data[[#Headers],[RATE]]))*0.0025+0.0175,0.0025), "")</f>
        <v/>
      </c>
    </row>
    <row r="399">
      <c r="A399" t="inlineStr">
        <is>
          <t>Loan analysis</t>
        </is>
      </c>
      <c r="B399" t="inlineStr">
        <is>
          <t>C37</t>
        </is>
      </c>
      <c r="C399" t="n">
        <v>37</v>
      </c>
      <c r="D399" t="n">
        <v>3</v>
      </c>
      <c r="E399" t="inlineStr">
        <is>
          <t>Output</t>
        </is>
      </c>
      <c r="F399" t="inlineStr">
        <is>
          <t>'=IFERROR(PMT(INDEX(Data[],ROW()-ROW(Data[[#Headers],[3]]),1)/12,Data[[#Headers],[3]]*12,-LoanAmount,0,IF(PaymentsDue="End of Period",0,1)), "")</t>
        </is>
      </c>
      <c r="G399" t="n">
        <v>314.5415401447598</v>
      </c>
      <c r="H399" t="inlineStr"/>
      <c r="I399" t="inlineStr">
        <is>
          <t>"$"#,##0.00_);[Red]\("$"#,##0.00\)</t>
        </is>
      </c>
      <c r="J399" t="b">
        <v>0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00000000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inlineStr">
        <is>
          <t>G000002</t>
        </is>
      </c>
      <c r="T399" t="inlineStr">
        <is>
          <t>Vertical</t>
        </is>
      </c>
      <c r="U399" t="n">
        <v>57</v>
      </c>
      <c r="V399" t="b">
        <v>1</v>
      </c>
      <c r="W399" t="inlineStr">
        <is>
          <t>Loan analysis!C10:C66</t>
        </is>
      </c>
      <c r="X399">
        <f>IFERROR(PMT(INDEX(Data[],ROW()-ROW(Data[[#Headers],[3]]),1)/12,Data[[#Headers],[3]]*12,-LoanAmount,0,IF(PaymentsDue="End of Period",0,1)), "")</f>
        <v/>
      </c>
    </row>
    <row r="400">
      <c r="A400" t="inlineStr">
        <is>
          <t>Loan analysis</t>
        </is>
      </c>
      <c r="B400" t="inlineStr">
        <is>
          <t>D37</t>
        </is>
      </c>
      <c r="C400" t="n">
        <v>37</v>
      </c>
      <c r="D400" t="n">
        <v>4</v>
      </c>
      <c r="E400" t="inlineStr">
        <is>
          <t>Output</t>
        </is>
      </c>
      <c r="F400" t="inlineStr">
        <is>
          <t>'=IFERROR(PMT(INDEX(Data[],ROW()-ROW(Data[[#Headers],[5]]),1)/12,Data[[#Headers],[5]]*12,-LoanAmount,0,IF(PaymentsDue="End of Period",0,1)), "")</t>
        </is>
      </c>
      <c r="G400" t="n">
        <v>204.8784219097006</v>
      </c>
      <c r="H400" t="inlineStr"/>
      <c r="I400" t="inlineStr">
        <is>
          <t>"$"#,##0.00_);[Red]\("$"#,##0.00\)</t>
        </is>
      </c>
      <c r="J400" t="b">
        <v>0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00000000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inlineStr">
        <is>
          <t>G000003</t>
        </is>
      </c>
      <c r="T400" t="inlineStr">
        <is>
          <t>Vertical</t>
        </is>
      </c>
      <c r="U400" t="n">
        <v>57</v>
      </c>
      <c r="V400" t="b">
        <v>1</v>
      </c>
      <c r="W400" t="inlineStr">
        <is>
          <t>Loan analysis!D10:D66</t>
        </is>
      </c>
      <c r="X400">
        <f>IFERROR(PMT(INDEX(Data[],ROW()-ROW(Data[[#Headers],[5]]),1)/12,Data[[#Headers],[5]]*12,-LoanAmount,0,IF(PaymentsDue="End of Period",0,1)), "")</f>
        <v/>
      </c>
    </row>
    <row r="401">
      <c r="A401" t="inlineStr">
        <is>
          <t>Loan analysis</t>
        </is>
      </c>
      <c r="B401" t="inlineStr">
        <is>
          <t>E37</t>
        </is>
      </c>
      <c r="C401" t="n">
        <v>37</v>
      </c>
      <c r="D401" t="n">
        <v>5</v>
      </c>
      <c r="E401" t="inlineStr">
        <is>
          <t>Output</t>
        </is>
      </c>
      <c r="F401" t="inlineStr">
        <is>
          <t>'=IFERROR(PMT(INDEX(Data[],ROW()-ROW(Data[[#Headers],[10]]),1)/12,Data[[#Headers],[10]]*12,-LoanAmount,0,IF(PaymentsDue="End of Period",0,1)), "")</t>
        </is>
      </c>
      <c r="G401" t="n">
        <v>124.4195247434581</v>
      </c>
      <c r="H401" t="inlineStr"/>
      <c r="I401" t="inlineStr">
        <is>
          <t>"$"#,##0.00_);[Red]\("$"#,##0.00\)</t>
        </is>
      </c>
      <c r="J401" t="b">
        <v>0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00000000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inlineStr">
        <is>
          <t>G000004</t>
        </is>
      </c>
      <c r="T401" t="inlineStr">
        <is>
          <t>Vertical</t>
        </is>
      </c>
      <c r="U401" t="n">
        <v>57</v>
      </c>
      <c r="V401" t="b">
        <v>1</v>
      </c>
      <c r="W401" t="inlineStr">
        <is>
          <t>Loan analysis!E10:E66</t>
        </is>
      </c>
      <c r="X401">
        <f>IFERROR(PMT(INDEX(Data[],ROW()-ROW(Data[[#Headers],[10]]),1)/12,Data[[#Headers],[10]]*12,-LoanAmount,0,IF(PaymentsDue="End of Period",0,1)), "")</f>
        <v/>
      </c>
    </row>
    <row r="402">
      <c r="A402" t="inlineStr">
        <is>
          <t>Loan analysis</t>
        </is>
      </c>
      <c r="B402" t="inlineStr">
        <is>
          <t>F37</t>
        </is>
      </c>
      <c r="C402" t="n">
        <v>37</v>
      </c>
      <c r="D402" t="n">
        <v>6</v>
      </c>
      <c r="E402" t="inlineStr">
        <is>
          <t>Output</t>
        </is>
      </c>
      <c r="F402" t="inlineStr">
        <is>
          <t>'=IFERROR(PMT(INDEX(Data[],ROW()-ROW(Data[[#Headers],[12]]),1)/12,Data[[#Headers],[12]]*12,-LoanAmount,0,IF(PaymentsDue="End of Period",0,1)), "")</t>
        </is>
      </c>
      <c r="G402" t="n">
        <v>111.5860421529205</v>
      </c>
      <c r="H402" t="inlineStr"/>
      <c r="I402" t="inlineStr">
        <is>
          <t>"$"#,##0.00_);[Red]\("$"#,##0.00\)</t>
        </is>
      </c>
      <c r="J402" t="b">
        <v>0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00000000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inlineStr">
        <is>
          <t>G000005</t>
        </is>
      </c>
      <c r="T402" t="inlineStr">
        <is>
          <t>Vertical</t>
        </is>
      </c>
      <c r="U402" t="n">
        <v>57</v>
      </c>
      <c r="V402" t="b">
        <v>1</v>
      </c>
      <c r="W402" t="inlineStr">
        <is>
          <t>Loan analysis!F10:F66</t>
        </is>
      </c>
      <c r="X402">
        <f>IFERROR(PMT(INDEX(Data[],ROW()-ROW(Data[[#Headers],[12]]),1)/12,Data[[#Headers],[12]]*12,-LoanAmount,0,IF(PaymentsDue="End of Period",0,1)), "")</f>
        <v/>
      </c>
    </row>
    <row r="403">
      <c r="A403" t="inlineStr">
        <is>
          <t>Loan analysis</t>
        </is>
      </c>
      <c r="B403" t="inlineStr">
        <is>
          <t>G37</t>
        </is>
      </c>
      <c r="C403" t="n">
        <v>37</v>
      </c>
      <c r="D403" t="n">
        <v>7</v>
      </c>
      <c r="E403" t="inlineStr">
        <is>
          <t>Output</t>
        </is>
      </c>
      <c r="F403" t="inlineStr">
        <is>
          <t>'=IFERROR(PMT(INDEX(Data[],ROW()-ROW(Data[[#Headers],[15]]),1)/12,Data[[#Headers],[15]]*12,-LoanAmount,0,IF(PaymentsDue="End of Period",0,1)), "")</t>
        </is>
      </c>
      <c r="G403" t="n">
        <v>99.22137586589827</v>
      </c>
      <c r="H403" t="inlineStr"/>
      <c r="I403" t="inlineStr">
        <is>
          <t>"$"#,##0.00_);[Red]\("$"#,##0.00\)</t>
        </is>
      </c>
      <c r="J403" t="b">
        <v>0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00000000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inlineStr">
        <is>
          <t>G000006</t>
        </is>
      </c>
      <c r="T403" t="inlineStr">
        <is>
          <t>Vertical</t>
        </is>
      </c>
      <c r="U403" t="n">
        <v>57</v>
      </c>
      <c r="V403" t="b">
        <v>1</v>
      </c>
      <c r="W403" t="inlineStr">
        <is>
          <t>Loan analysis!G10:G66</t>
        </is>
      </c>
      <c r="X403">
        <f>IFERROR(PMT(INDEX(Data[],ROW()-ROW(Data[[#Headers],[15]]),1)/12,Data[[#Headers],[15]]*12,-LoanAmount,0,IF(PaymentsDue="End of Period",0,1)), "")</f>
        <v/>
      </c>
    </row>
    <row r="404">
      <c r="A404" t="inlineStr">
        <is>
          <t>Loan analysis</t>
        </is>
      </c>
      <c r="B404" t="inlineStr">
        <is>
          <t>H37</t>
        </is>
      </c>
      <c r="C404" t="n">
        <v>37</v>
      </c>
      <c r="D404" t="n">
        <v>8</v>
      </c>
      <c r="E404" t="inlineStr">
        <is>
          <t>Output</t>
        </is>
      </c>
      <c r="F404" t="inlineStr">
        <is>
          <t>'=IFERROR(PMT(INDEX(Data[],ROW()-ROW(Data[[#Headers],[20]]),1)/12,Data[[#Headers],[20]]*12,-LoanAmount,0,IF(PaymentsDue="End of Period",0,1)), "")</t>
        </is>
      </c>
      <c r="G404" t="n">
        <v>87.73136303547648</v>
      </c>
      <c r="H404" t="inlineStr"/>
      <c r="I404" t="inlineStr">
        <is>
          <t>"$"#,##0.00_);[Red]\("$"#,##0.00\)</t>
        </is>
      </c>
      <c r="J404" t="b">
        <v>0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00000000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inlineStr">
        <is>
          <t>G000007</t>
        </is>
      </c>
      <c r="T404" t="inlineStr">
        <is>
          <t>Vertical</t>
        </is>
      </c>
      <c r="U404" t="n">
        <v>57</v>
      </c>
      <c r="V404" t="b">
        <v>1</v>
      </c>
      <c r="W404" t="inlineStr">
        <is>
          <t>Loan analysis!H10:H66</t>
        </is>
      </c>
      <c r="X404">
        <f>IFERROR(PMT(INDEX(Data[],ROW()-ROW(Data[[#Headers],[20]]),1)/12,Data[[#Headers],[20]]*12,-LoanAmount,0,IF(PaymentsDue="End of Period",0,1)), "")</f>
        <v/>
      </c>
    </row>
    <row r="405">
      <c r="A405" t="inlineStr">
        <is>
          <t>Loan analysis</t>
        </is>
      </c>
      <c r="B405" t="inlineStr">
        <is>
          <t>I37</t>
        </is>
      </c>
      <c r="C405" t="n">
        <v>37</v>
      </c>
      <c r="D405" t="n">
        <v>9</v>
      </c>
      <c r="E405" t="inlineStr">
        <is>
          <t>Output</t>
        </is>
      </c>
      <c r="F405" t="inlineStr">
        <is>
          <t>'=IFERROR(PMT(INDEX(Data[],ROW()-ROW(Data[[#Headers],[25]]),1)/12,Data[[#Headers],[25]]*12,-LoanAmount,0,IF(PaymentsDue="End of Period",0,1)), "")</t>
        </is>
      </c>
      <c r="G405" t="n">
        <v>81.61922344080483</v>
      </c>
      <c r="H405" t="inlineStr"/>
      <c r="I405" t="inlineStr">
        <is>
          <t>"$"#,##0.00_);[Red]\("$"#,##0.00\)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00000000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inlineStr">
        <is>
          <t>G000008</t>
        </is>
      </c>
      <c r="T405" t="inlineStr">
        <is>
          <t>Vertical</t>
        </is>
      </c>
      <c r="U405" t="n">
        <v>57</v>
      </c>
      <c r="V405" t="b">
        <v>1</v>
      </c>
      <c r="W405" t="inlineStr">
        <is>
          <t>Loan analysis!I10:I66</t>
        </is>
      </c>
      <c r="X405">
        <f>IFERROR(PMT(INDEX(Data[],ROW()-ROW(Data[[#Headers],[25]]),1)/12,Data[[#Headers],[25]]*12,-LoanAmount,0,IF(PaymentsDue="End of Period",0,1)), "")</f>
        <v/>
      </c>
    </row>
    <row r="406">
      <c r="A406" t="inlineStr">
        <is>
          <t>Loan analysis</t>
        </is>
      </c>
      <c r="B406" t="inlineStr">
        <is>
          <t>J37</t>
        </is>
      </c>
      <c r="C406" t="n">
        <v>37</v>
      </c>
      <c r="D406" t="n">
        <v>10</v>
      </c>
      <c r="E406" t="inlineStr">
        <is>
          <t>Output</t>
        </is>
      </c>
      <c r="F406" t="inlineStr">
        <is>
          <t>'=IFERROR(PMT(INDEX(Data[],ROW()-ROW(Data[[#Headers],[30]]),1)/12,Data[[#Headers],[30]]*12,-LoanAmount,0,IF(PaymentsDue="End of Period",0,1)), "")</t>
        </is>
      </c>
      <c r="G406" t="n">
        <v>78.1005573308001</v>
      </c>
      <c r="H406" t="inlineStr"/>
      <c r="I406" t="inlineStr">
        <is>
          <t>"$"#,##0.00_);[Red]\("$"#,##0.00\)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00000000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inlineStr">
        <is>
          <t>G000009</t>
        </is>
      </c>
      <c r="T406" t="inlineStr">
        <is>
          <t>Vertical</t>
        </is>
      </c>
      <c r="U406" t="n">
        <v>57</v>
      </c>
      <c r="V406" t="b">
        <v>1</v>
      </c>
      <c r="W406" t="inlineStr">
        <is>
          <t>Loan analysis!J10:J66</t>
        </is>
      </c>
      <c r="X406">
        <f>IFERROR(PMT(INDEX(Data[],ROW()-ROW(Data[[#Headers],[30]]),1)/12,Data[[#Headers],[30]]*12,-LoanAmount,0,IF(PaymentsDue="End of Period",0,1)), "")</f>
        <v/>
      </c>
    </row>
    <row r="407">
      <c r="A407" t="inlineStr">
        <is>
          <t>Loan analysis</t>
        </is>
      </c>
      <c r="B407" t="inlineStr">
        <is>
          <t>K37</t>
        </is>
      </c>
      <c r="C407" t="n">
        <v>37</v>
      </c>
      <c r="D407" t="n">
        <v>11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n">
        <v/>
      </c>
      <c r="P407" t="n">
        <v/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Loan analysis</t>
        </is>
      </c>
      <c r="B408" t="inlineStr">
        <is>
          <t>A38</t>
        </is>
      </c>
      <c r="C408" t="n">
        <v>38</v>
      </c>
      <c r="D408" t="n">
        <v>1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n">
        <v/>
      </c>
      <c r="P408" t="n">
        <v/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Loan analysis</t>
        </is>
      </c>
      <c r="B409" t="inlineStr">
        <is>
          <t>B38</t>
        </is>
      </c>
      <c r="C409" t="n">
        <v>38</v>
      </c>
      <c r="D409" t="n">
        <v>2</v>
      </c>
      <c r="E409" t="inlineStr">
        <is>
          <t>Output</t>
        </is>
      </c>
      <c r="F409" t="inlineStr">
        <is>
          <t>'=IFERROR(MAX((ROW()-ROW(Data[[#Headers],[RATE]]))*0.0025+0.0175,0.0025), "")</t>
        </is>
      </c>
      <c r="G409" t="n">
        <v>0.09</v>
      </c>
      <c r="H409" t="inlineStr"/>
      <c r="I409" t="inlineStr">
        <is>
          <t>0.00%</t>
        </is>
      </c>
      <c r="J409" t="b">
        <v>0</v>
      </c>
      <c r="K409" t="b">
        <v>0</v>
      </c>
      <c r="L409" t="n">
        <v>11</v>
      </c>
      <c r="M409" t="inlineStr">
        <is>
          <t>Values must be of type &lt;class 'str'&gt;</t>
        </is>
      </c>
      <c r="N409" t="inlineStr">
        <is>
          <t>00000000</t>
        </is>
      </c>
      <c r="O409" t="inlineStr">
        <is>
          <t>center</t>
        </is>
      </c>
      <c r="P409" t="inlineStr">
        <is>
          <t>center</t>
        </is>
      </c>
      <c r="R409" t="b">
        <v>1</v>
      </c>
      <c r="S409" t="inlineStr">
        <is>
          <t>G000001</t>
        </is>
      </c>
      <c r="T409" t="inlineStr">
        <is>
          <t>Vertical</t>
        </is>
      </c>
      <c r="U409" t="n">
        <v>57</v>
      </c>
      <c r="V409" t="b">
        <v>1</v>
      </c>
      <c r="W409" t="inlineStr">
        <is>
          <t>Loan analysis!B10:B66</t>
        </is>
      </c>
      <c r="X409">
        <f>IFERROR(MAX((ROW()-ROW(Data[[#Headers],[RATE]]))*0.0025+0.0175,0.0025), "")</f>
        <v/>
      </c>
    </row>
    <row r="410">
      <c r="A410" t="inlineStr">
        <is>
          <t>Loan analysis</t>
        </is>
      </c>
      <c r="B410" t="inlineStr">
        <is>
          <t>C38</t>
        </is>
      </c>
      <c r="C410" t="n">
        <v>38</v>
      </c>
      <c r="D410" t="n">
        <v>3</v>
      </c>
      <c r="E410" t="inlineStr">
        <is>
          <t>Output</t>
        </is>
      </c>
      <c r="F410" t="inlineStr">
        <is>
          <t>'=IFERROR(PMT(INDEX(Data[],ROW()-ROW(Data[[#Headers],[3]]),1)/12,Data[[#Headers],[3]]*12,-LoanAmount,0,IF(PaymentsDue="End of Period",0,1)), "")</t>
        </is>
      </c>
      <c r="G410" t="n">
        <v>315.6301008430837</v>
      </c>
      <c r="H410" t="inlineStr"/>
      <c r="I410" t="inlineStr">
        <is>
          <t>"$"#,##0.00_);[Red]\("$"#,##0.00\)</t>
        </is>
      </c>
      <c r="J410" t="b">
        <v>0</v>
      </c>
      <c r="K410" t="b">
        <v>0</v>
      </c>
      <c r="L410" t="n">
        <v>11</v>
      </c>
      <c r="M410" t="inlineStr">
        <is>
          <t>Values must be of type &lt;class 'str'&gt;</t>
        </is>
      </c>
      <c r="N410" t="inlineStr">
        <is>
          <t>00000000</t>
        </is>
      </c>
      <c r="O410" t="inlineStr">
        <is>
          <t>center</t>
        </is>
      </c>
      <c r="P410" t="inlineStr">
        <is>
          <t>center</t>
        </is>
      </c>
      <c r="R410" t="b">
        <v>1</v>
      </c>
      <c r="S410" t="inlineStr">
        <is>
          <t>G000002</t>
        </is>
      </c>
      <c r="T410" t="inlineStr">
        <is>
          <t>Vertical</t>
        </is>
      </c>
      <c r="U410" t="n">
        <v>57</v>
      </c>
      <c r="V410" t="b">
        <v>1</v>
      </c>
      <c r="W410" t="inlineStr">
        <is>
          <t>Loan analysis!C10:C66</t>
        </is>
      </c>
      <c r="X410">
        <f>IFERROR(PMT(INDEX(Data[],ROW()-ROW(Data[[#Headers],[3]]),1)/12,Data[[#Headers],[3]]*12,-LoanAmount,0,IF(PaymentsDue="End of Period",0,1)), "")</f>
        <v/>
      </c>
    </row>
    <row r="411">
      <c r="A411" t="inlineStr">
        <is>
          <t>Loan analysis</t>
        </is>
      </c>
      <c r="B411" t="inlineStr">
        <is>
          <t>D38</t>
        </is>
      </c>
      <c r="C411" t="n">
        <v>38</v>
      </c>
      <c r="D411" t="n">
        <v>4</v>
      </c>
      <c r="E411" t="inlineStr">
        <is>
          <t>Output</t>
        </is>
      </c>
      <c r="F411" t="inlineStr">
        <is>
          <t>'=IFERROR(PMT(INDEX(Data[],ROW()-ROW(Data[[#Headers],[5]]),1)/12,Data[[#Headers],[5]]*12,-LoanAmount,0,IF(PaymentsDue="End of Period",0,1)), "")</t>
        </is>
      </c>
      <c r="G411" t="n">
        <v>206.0382652739852</v>
      </c>
      <c r="H411" t="inlineStr"/>
      <c r="I411" t="inlineStr">
        <is>
          <t>"$"#,##0.00_);[Red]\("$"#,##0.00\)</t>
        </is>
      </c>
      <c r="J411" t="b">
        <v>0</v>
      </c>
      <c r="K411" t="b">
        <v>0</v>
      </c>
      <c r="L411" t="n">
        <v>11</v>
      </c>
      <c r="M411" t="inlineStr">
        <is>
          <t>Values must be of type &lt;class 'str'&gt;</t>
        </is>
      </c>
      <c r="N411" t="inlineStr">
        <is>
          <t>00000000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inlineStr">
        <is>
          <t>G000003</t>
        </is>
      </c>
      <c r="T411" t="inlineStr">
        <is>
          <t>Vertical</t>
        </is>
      </c>
      <c r="U411" t="n">
        <v>57</v>
      </c>
      <c r="V411" t="b">
        <v>1</v>
      </c>
      <c r="W411" t="inlineStr">
        <is>
          <t>Loan analysis!D10:D66</t>
        </is>
      </c>
      <c r="X411">
        <f>IFERROR(PMT(INDEX(Data[],ROW()-ROW(Data[[#Headers],[5]]),1)/12,Data[[#Headers],[5]]*12,-LoanAmount,0,IF(PaymentsDue="End of Period",0,1)), "")</f>
        <v/>
      </c>
    </row>
    <row r="412">
      <c r="A412" t="inlineStr">
        <is>
          <t>Loan analysis</t>
        </is>
      </c>
      <c r="B412" t="inlineStr">
        <is>
          <t>E38</t>
        </is>
      </c>
      <c r="C412" t="n">
        <v>38</v>
      </c>
      <c r="D412" t="n">
        <v>5</v>
      </c>
      <c r="E412" t="inlineStr">
        <is>
          <t>Output</t>
        </is>
      </c>
      <c r="F412" t="inlineStr">
        <is>
          <t>'=IFERROR(PMT(INDEX(Data[],ROW()-ROW(Data[[#Headers],[10]]),1)/12,Data[[#Headers],[10]]*12,-LoanAmount,0,IF(PaymentsDue="End of Period",0,1)), "")</t>
        </is>
      </c>
      <c r="G412" t="n">
        <v>125.7327779158804</v>
      </c>
      <c r="H412" t="inlineStr"/>
      <c r="I412" t="inlineStr">
        <is>
          <t>"$"#,##0.00_);[Red]\("$"#,##0.00\)</t>
        </is>
      </c>
      <c r="J412" t="b">
        <v>0</v>
      </c>
      <c r="K412" t="b">
        <v>0</v>
      </c>
      <c r="L412" t="n">
        <v>11</v>
      </c>
      <c r="M412" t="inlineStr">
        <is>
          <t>Values must be of type &lt;class 'str'&gt;</t>
        </is>
      </c>
      <c r="N412" t="inlineStr">
        <is>
          <t>00000000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inlineStr">
        <is>
          <t>G000004</t>
        </is>
      </c>
      <c r="T412" t="inlineStr">
        <is>
          <t>Vertical</t>
        </is>
      </c>
      <c r="U412" t="n">
        <v>57</v>
      </c>
      <c r="V412" t="b">
        <v>1</v>
      </c>
      <c r="W412" t="inlineStr">
        <is>
          <t>Loan analysis!E10:E66</t>
        </is>
      </c>
      <c r="X412">
        <f>IFERROR(PMT(INDEX(Data[],ROW()-ROW(Data[[#Headers],[10]]),1)/12,Data[[#Headers],[10]]*12,-LoanAmount,0,IF(PaymentsDue="End of Period",0,1)), "")</f>
        <v/>
      </c>
    </row>
    <row r="413">
      <c r="A413" t="inlineStr">
        <is>
          <t>Loan analysis</t>
        </is>
      </c>
      <c r="B413" t="inlineStr">
        <is>
          <t>F38</t>
        </is>
      </c>
      <c r="C413" t="n">
        <v>38</v>
      </c>
      <c r="D413" t="n">
        <v>6</v>
      </c>
      <c r="E413" t="inlineStr">
        <is>
          <t>Output</t>
        </is>
      </c>
      <c r="F413" t="inlineStr">
        <is>
          <t>'=IFERROR(PMT(INDEX(Data[],ROW()-ROW(Data[[#Headers],[12]]),1)/12,Data[[#Headers],[12]]*12,-LoanAmount,0,IF(PaymentsDue="End of Period",0,1)), "")</t>
        </is>
      </c>
      <c r="G413" t="n">
        <v>112.9559004228691</v>
      </c>
      <c r="H413" t="inlineStr"/>
      <c r="I413" t="inlineStr">
        <is>
          <t>"$"#,##0.00_);[Red]\("$"#,##0.00\)</t>
        </is>
      </c>
      <c r="J413" t="b">
        <v>0</v>
      </c>
      <c r="K413" t="b">
        <v>0</v>
      </c>
      <c r="L413" t="n">
        <v>11</v>
      </c>
      <c r="M413" t="inlineStr">
        <is>
          <t>Values must be of type &lt;class 'str'&gt;</t>
        </is>
      </c>
      <c r="N413" t="inlineStr">
        <is>
          <t>00000000</t>
        </is>
      </c>
      <c r="O413" t="inlineStr">
        <is>
          <t>center</t>
        </is>
      </c>
      <c r="P413" t="inlineStr">
        <is>
          <t>center</t>
        </is>
      </c>
      <c r="R413" t="b">
        <v>1</v>
      </c>
      <c r="S413" t="inlineStr">
        <is>
          <t>G000005</t>
        </is>
      </c>
      <c r="T413" t="inlineStr">
        <is>
          <t>Vertical</t>
        </is>
      </c>
      <c r="U413" t="n">
        <v>57</v>
      </c>
      <c r="V413" t="b">
        <v>1</v>
      </c>
      <c r="W413" t="inlineStr">
        <is>
          <t>Loan analysis!F10:F66</t>
        </is>
      </c>
      <c r="X413">
        <f>IFERROR(PMT(INDEX(Data[],ROW()-ROW(Data[[#Headers],[12]]),1)/12,Data[[#Headers],[12]]*12,-LoanAmount,0,IF(PaymentsDue="End of Period",0,1)), "")</f>
        <v/>
      </c>
    </row>
    <row r="414">
      <c r="A414" t="inlineStr">
        <is>
          <t>Loan analysis</t>
        </is>
      </c>
      <c r="B414" t="inlineStr">
        <is>
          <t>G38</t>
        </is>
      </c>
      <c r="C414" t="n">
        <v>38</v>
      </c>
      <c r="D414" t="n">
        <v>7</v>
      </c>
      <c r="E414" t="inlineStr">
        <is>
          <t>Output</t>
        </is>
      </c>
      <c r="F414" t="inlineStr">
        <is>
          <t>'=IFERROR(PMT(INDEX(Data[],ROW()-ROW(Data[[#Headers],[15]]),1)/12,Data[[#Headers],[15]]*12,-LoanAmount,0,IF(PaymentsDue="End of Period",0,1)), "")</t>
        </is>
      </c>
      <c r="G414" t="n">
        <v>100.6716212567528</v>
      </c>
      <c r="H414" t="inlineStr"/>
      <c r="I414" t="inlineStr">
        <is>
          <t>"$"#,##0.00_);[Red]\("$"#,##0.00\)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00000000</t>
        </is>
      </c>
      <c r="O414" t="inlineStr">
        <is>
          <t>center</t>
        </is>
      </c>
      <c r="P414" t="inlineStr">
        <is>
          <t>center</t>
        </is>
      </c>
      <c r="R414" t="b">
        <v>1</v>
      </c>
      <c r="S414" t="inlineStr">
        <is>
          <t>G000006</t>
        </is>
      </c>
      <c r="T414" t="inlineStr">
        <is>
          <t>Vertical</t>
        </is>
      </c>
      <c r="U414" t="n">
        <v>57</v>
      </c>
      <c r="V414" t="b">
        <v>1</v>
      </c>
      <c r="W414" t="inlineStr">
        <is>
          <t>Loan analysis!G10:G66</t>
        </is>
      </c>
      <c r="X414">
        <f>IFERROR(PMT(INDEX(Data[],ROW()-ROW(Data[[#Headers],[15]]),1)/12,Data[[#Headers],[15]]*12,-LoanAmount,0,IF(PaymentsDue="End of Period",0,1)), "")</f>
        <v/>
      </c>
    </row>
    <row r="415">
      <c r="A415" t="inlineStr">
        <is>
          <t>Loan analysis</t>
        </is>
      </c>
      <c r="B415" t="inlineStr">
        <is>
          <t>H38</t>
        </is>
      </c>
      <c r="C415" t="n">
        <v>38</v>
      </c>
      <c r="D415" t="n">
        <v>8</v>
      </c>
      <c r="E415" t="inlineStr">
        <is>
          <t>Output</t>
        </is>
      </c>
      <c r="F415" t="inlineStr">
        <is>
          <t>'=IFERROR(PMT(INDEX(Data[],ROW()-ROW(Data[[#Headers],[20]]),1)/12,Data[[#Headers],[20]]*12,-LoanAmount,0,IF(PaymentsDue="End of Period",0,1)), "")</t>
        </is>
      </c>
      <c r="G415" t="n">
        <v>89.30282440200227</v>
      </c>
      <c r="H415" t="inlineStr"/>
      <c r="I415" t="inlineStr">
        <is>
          <t>"$"#,##0.00_);[Red]\("$"#,##0.00\)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00000000</t>
        </is>
      </c>
      <c r="O415" t="inlineStr">
        <is>
          <t>center</t>
        </is>
      </c>
      <c r="P415" t="inlineStr">
        <is>
          <t>center</t>
        </is>
      </c>
      <c r="R415" t="b">
        <v>1</v>
      </c>
      <c r="S415" t="inlineStr">
        <is>
          <t>G000007</t>
        </is>
      </c>
      <c r="T415" t="inlineStr">
        <is>
          <t>Vertical</t>
        </is>
      </c>
      <c r="U415" t="n">
        <v>57</v>
      </c>
      <c r="V415" t="b">
        <v>1</v>
      </c>
      <c r="W415" t="inlineStr">
        <is>
          <t>Loan analysis!H10:H66</t>
        </is>
      </c>
      <c r="X415">
        <f>IFERROR(PMT(INDEX(Data[],ROW()-ROW(Data[[#Headers],[20]]),1)/12,Data[[#Headers],[20]]*12,-LoanAmount,0,IF(PaymentsDue="End of Period",0,1)), "")</f>
        <v/>
      </c>
    </row>
    <row r="416">
      <c r="A416" t="inlineStr">
        <is>
          <t>Loan analysis</t>
        </is>
      </c>
      <c r="B416" t="inlineStr">
        <is>
          <t>I38</t>
        </is>
      </c>
      <c r="C416" t="n">
        <v>38</v>
      </c>
      <c r="D416" t="n">
        <v>9</v>
      </c>
      <c r="E416" t="inlineStr">
        <is>
          <t>Output</t>
        </is>
      </c>
      <c r="F416" t="inlineStr">
        <is>
          <t>'=IFERROR(PMT(INDEX(Data[],ROW()-ROW(Data[[#Headers],[25]]),1)/12,Data[[#Headers],[25]]*12,-LoanAmount,0,IF(PaymentsDue="End of Period",0,1)), "")</t>
        </is>
      </c>
      <c r="G416" t="n">
        <v>83.29492443025741</v>
      </c>
      <c r="H416" t="inlineStr"/>
      <c r="I416" t="inlineStr">
        <is>
          <t>"$"#,##0.00_);[Red]\("$"#,##0.00\)</t>
        </is>
      </c>
      <c r="J416" t="b">
        <v>0</v>
      </c>
      <c r="K416" t="b">
        <v>0</v>
      </c>
      <c r="L416" t="n">
        <v>11</v>
      </c>
      <c r="M416" t="inlineStr">
        <is>
          <t>Values must be of type &lt;class 'str'&gt;</t>
        </is>
      </c>
      <c r="N416" t="inlineStr">
        <is>
          <t>00000000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inlineStr">
        <is>
          <t>G000008</t>
        </is>
      </c>
      <c r="T416" t="inlineStr">
        <is>
          <t>Vertical</t>
        </is>
      </c>
      <c r="U416" t="n">
        <v>57</v>
      </c>
      <c r="V416" t="b">
        <v>1</v>
      </c>
      <c r="W416" t="inlineStr">
        <is>
          <t>Loan analysis!I10:I66</t>
        </is>
      </c>
      <c r="X416">
        <f>IFERROR(PMT(INDEX(Data[],ROW()-ROW(Data[[#Headers],[25]]),1)/12,Data[[#Headers],[25]]*12,-LoanAmount,0,IF(PaymentsDue="End of Period",0,1)), "")</f>
        <v/>
      </c>
    </row>
    <row r="417">
      <c r="A417" t="inlineStr">
        <is>
          <t>Loan analysis</t>
        </is>
      </c>
      <c r="B417" t="inlineStr">
        <is>
          <t>J38</t>
        </is>
      </c>
      <c r="C417" t="n">
        <v>38</v>
      </c>
      <c r="D417" t="n">
        <v>10</v>
      </c>
      <c r="E417" t="inlineStr">
        <is>
          <t>Output</t>
        </is>
      </c>
      <c r="F417" t="inlineStr">
        <is>
          <t>'=IFERROR(PMT(INDEX(Data[],ROW()-ROW(Data[[#Headers],[30]]),1)/12,Data[[#Headers],[30]]*12,-LoanAmount,0,IF(PaymentsDue="End of Period",0,1)), "")</t>
        </is>
      </c>
      <c r="G417" t="n">
        <v>79.86328704166577</v>
      </c>
      <c r="H417" t="inlineStr"/>
      <c r="I417" t="inlineStr">
        <is>
          <t>"$"#,##0.00_);[Red]\("$"#,##0.00\)</t>
        </is>
      </c>
      <c r="J417" t="b">
        <v>0</v>
      </c>
      <c r="K417" t="b">
        <v>0</v>
      </c>
      <c r="L417" t="n">
        <v>11</v>
      </c>
      <c r="M417" t="inlineStr">
        <is>
          <t>Values must be of type &lt;class 'str'&gt;</t>
        </is>
      </c>
      <c r="N417" t="inlineStr">
        <is>
          <t>00000000</t>
        </is>
      </c>
      <c r="O417" t="inlineStr">
        <is>
          <t>center</t>
        </is>
      </c>
      <c r="P417" t="inlineStr">
        <is>
          <t>center</t>
        </is>
      </c>
      <c r="R417" t="b">
        <v>1</v>
      </c>
      <c r="S417" t="inlineStr">
        <is>
          <t>G000009</t>
        </is>
      </c>
      <c r="T417" t="inlineStr">
        <is>
          <t>Vertical</t>
        </is>
      </c>
      <c r="U417" t="n">
        <v>57</v>
      </c>
      <c r="V417" t="b">
        <v>1</v>
      </c>
      <c r="W417" t="inlineStr">
        <is>
          <t>Loan analysis!J10:J66</t>
        </is>
      </c>
      <c r="X417">
        <f>IFERROR(PMT(INDEX(Data[],ROW()-ROW(Data[[#Headers],[30]]),1)/12,Data[[#Headers],[30]]*12,-LoanAmount,0,IF(PaymentsDue="End of Period",0,1)), "")</f>
        <v/>
      </c>
    </row>
    <row r="418">
      <c r="A418" t="inlineStr">
        <is>
          <t>Loan analysis</t>
        </is>
      </c>
      <c r="B418" t="inlineStr">
        <is>
          <t>K38</t>
        </is>
      </c>
      <c r="C418" t="n">
        <v>38</v>
      </c>
      <c r="D418" t="n">
        <v>11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11</v>
      </c>
      <c r="M418" t="inlineStr">
        <is>
          <t>Values must be of type &lt;class 'str'&gt;</t>
        </is>
      </c>
      <c r="N418" t="inlineStr">
        <is>
          <t>Values must be of type &lt;class 'str'&gt;</t>
        </is>
      </c>
      <c r="O418" t="n">
        <v/>
      </c>
      <c r="P418" t="n">
        <v/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Loan analysis</t>
        </is>
      </c>
      <c r="B419" t="inlineStr">
        <is>
          <t>A39</t>
        </is>
      </c>
      <c r="C419" t="n">
        <v>39</v>
      </c>
      <c r="D419" t="n">
        <v>1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11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n">
        <v/>
      </c>
      <c r="P419" t="n">
        <v/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Loan analysis</t>
        </is>
      </c>
      <c r="B420" t="inlineStr">
        <is>
          <t>B39</t>
        </is>
      </c>
      <c r="C420" t="n">
        <v>39</v>
      </c>
      <c r="D420" t="n">
        <v>2</v>
      </c>
      <c r="E420" t="inlineStr">
        <is>
          <t>Output</t>
        </is>
      </c>
      <c r="F420" t="inlineStr">
        <is>
          <t>'=IFERROR(MAX((ROW()-ROW(Data[[#Headers],[RATE]]))*0.0025+0.0175,0.0025), "")</t>
        </is>
      </c>
      <c r="G420" t="n">
        <v>0.0925</v>
      </c>
      <c r="H420" t="inlineStr"/>
      <c r="I420" t="inlineStr">
        <is>
          <t>0.00%</t>
        </is>
      </c>
      <c r="J420" t="b">
        <v>0</v>
      </c>
      <c r="K420" t="b">
        <v>0</v>
      </c>
      <c r="L420" t="n">
        <v>11</v>
      </c>
      <c r="M420" t="inlineStr">
        <is>
          <t>Values must be of type &lt;class 'str'&gt;</t>
        </is>
      </c>
      <c r="N420" t="inlineStr">
        <is>
          <t>00000000</t>
        </is>
      </c>
      <c r="O420" t="inlineStr">
        <is>
          <t>center</t>
        </is>
      </c>
      <c r="P420" t="inlineStr">
        <is>
          <t>center</t>
        </is>
      </c>
      <c r="R420" t="b">
        <v>1</v>
      </c>
      <c r="S420" t="inlineStr">
        <is>
          <t>G000001</t>
        </is>
      </c>
      <c r="T420" t="inlineStr">
        <is>
          <t>Vertical</t>
        </is>
      </c>
      <c r="U420" t="n">
        <v>57</v>
      </c>
      <c r="V420" t="b">
        <v>1</v>
      </c>
      <c r="W420" t="inlineStr">
        <is>
          <t>Loan analysis!B10:B66</t>
        </is>
      </c>
      <c r="X420">
        <f>IFERROR(MAX((ROW()-ROW(Data[[#Headers],[RATE]]))*0.0025+0.0175,0.0025), "")</f>
        <v/>
      </c>
    </row>
    <row r="421">
      <c r="A421" t="inlineStr">
        <is>
          <t>Loan analysis</t>
        </is>
      </c>
      <c r="B421" t="inlineStr">
        <is>
          <t>C39</t>
        </is>
      </c>
      <c r="C421" t="n">
        <v>39</v>
      </c>
      <c r="D421" t="n">
        <v>3</v>
      </c>
      <c r="E421" t="inlineStr">
        <is>
          <t>Output</t>
        </is>
      </c>
      <c r="F421" t="inlineStr">
        <is>
          <t>'=IFERROR(PMT(INDEX(Data[],ROW()-ROW(Data[[#Headers],[3]]),1)/12,Data[[#Headers],[3]]*12,-LoanAmount,0,IF(PaymentsDue="End of Period",0,1)), "")</t>
        </is>
      </c>
      <c r="G421" t="n">
        <v>316.7207465205124</v>
      </c>
      <c r="H421" t="inlineStr"/>
      <c r="I421" t="inlineStr">
        <is>
          <t>"$"#,##0.00_);[Red]\("$"#,##0.00\)</t>
        </is>
      </c>
      <c r="J421" t="b">
        <v>0</v>
      </c>
      <c r="K421" t="b">
        <v>0</v>
      </c>
      <c r="L421" t="n">
        <v>11</v>
      </c>
      <c r="M421" t="inlineStr">
        <is>
          <t>Values must be of type &lt;class 'str'&gt;</t>
        </is>
      </c>
      <c r="N421" t="inlineStr">
        <is>
          <t>00000000</t>
        </is>
      </c>
      <c r="O421" t="inlineStr">
        <is>
          <t>center</t>
        </is>
      </c>
      <c r="P421" t="inlineStr">
        <is>
          <t>center</t>
        </is>
      </c>
      <c r="R421" t="b">
        <v>1</v>
      </c>
      <c r="S421" t="inlineStr">
        <is>
          <t>G000002</t>
        </is>
      </c>
      <c r="T421" t="inlineStr">
        <is>
          <t>Vertical</t>
        </is>
      </c>
      <c r="U421" t="n">
        <v>57</v>
      </c>
      <c r="V421" t="b">
        <v>1</v>
      </c>
      <c r="W421" t="inlineStr">
        <is>
          <t>Loan analysis!C10:C66</t>
        </is>
      </c>
      <c r="X421">
        <f>IFERROR(PMT(INDEX(Data[],ROW()-ROW(Data[[#Headers],[3]]),1)/12,Data[[#Headers],[3]]*12,-LoanAmount,0,IF(PaymentsDue="End of Period",0,1)), "")</f>
        <v/>
      </c>
    </row>
    <row r="422">
      <c r="A422" t="inlineStr">
        <is>
          <t>Loan analysis</t>
        </is>
      </c>
      <c r="B422" t="inlineStr">
        <is>
          <t>D39</t>
        </is>
      </c>
      <c r="C422" t="n">
        <v>39</v>
      </c>
      <c r="D422" t="n">
        <v>4</v>
      </c>
      <c r="E422" t="inlineStr">
        <is>
          <t>Output</t>
        </is>
      </c>
      <c r="F422" t="inlineStr">
        <is>
          <t>'=IFERROR(PMT(INDEX(Data[],ROW()-ROW(Data[[#Headers],[5]]),1)/12,Data[[#Headers],[5]]*12,-LoanAmount,0,IF(PaymentsDue="End of Period",0,1)), "")</t>
        </is>
      </c>
      <c r="G422" t="n">
        <v>207.2018023872731</v>
      </c>
      <c r="H422" t="inlineStr"/>
      <c r="I422" t="inlineStr">
        <is>
          <t>"$"#,##0.00_);[Red]\("$"#,##0.00\)</t>
        </is>
      </c>
      <c r="J422" t="b">
        <v>0</v>
      </c>
      <c r="K422" t="b">
        <v>0</v>
      </c>
      <c r="L422" t="n">
        <v>11</v>
      </c>
      <c r="M422" t="inlineStr">
        <is>
          <t>Values must be of type &lt;class 'str'&gt;</t>
        </is>
      </c>
      <c r="N422" t="inlineStr">
        <is>
          <t>00000000</t>
        </is>
      </c>
      <c r="O422" t="inlineStr">
        <is>
          <t>center</t>
        </is>
      </c>
      <c r="P422" t="inlineStr">
        <is>
          <t>center</t>
        </is>
      </c>
      <c r="R422" t="b">
        <v>1</v>
      </c>
      <c r="S422" t="inlineStr">
        <is>
          <t>G000003</t>
        </is>
      </c>
      <c r="T422" t="inlineStr">
        <is>
          <t>Vertical</t>
        </is>
      </c>
      <c r="U422" t="n">
        <v>57</v>
      </c>
      <c r="V422" t="b">
        <v>1</v>
      </c>
      <c r="W422" t="inlineStr">
        <is>
          <t>Loan analysis!D10:D66</t>
        </is>
      </c>
      <c r="X422">
        <f>IFERROR(PMT(INDEX(Data[],ROW()-ROW(Data[[#Headers],[5]]),1)/12,Data[[#Headers],[5]]*12,-LoanAmount,0,IF(PaymentsDue="End of Period",0,1)), "")</f>
        <v/>
      </c>
    </row>
    <row r="423">
      <c r="A423" t="inlineStr">
        <is>
          <t>Loan analysis</t>
        </is>
      </c>
      <c r="B423" t="inlineStr">
        <is>
          <t>E39</t>
        </is>
      </c>
      <c r="C423" t="n">
        <v>39</v>
      </c>
      <c r="D423" t="n">
        <v>5</v>
      </c>
      <c r="E423" t="inlineStr">
        <is>
          <t>Output</t>
        </is>
      </c>
      <c r="F423" t="inlineStr">
        <is>
          <t>'=IFERROR(PMT(INDEX(Data[],ROW()-ROW(Data[[#Headers],[10]]),1)/12,Data[[#Headers],[10]]*12,-LoanAmount,0,IF(PaymentsDue="End of Period",0,1)), "")</t>
        </is>
      </c>
      <c r="G423" t="n">
        <v>127.0533523857421</v>
      </c>
      <c r="H423" t="inlineStr"/>
      <c r="I423" t="inlineStr">
        <is>
          <t>"$"#,##0.00_);[Red]\("$"#,##0.00\)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00000000</t>
        </is>
      </c>
      <c r="O423" t="inlineStr">
        <is>
          <t>center</t>
        </is>
      </c>
      <c r="P423" t="inlineStr">
        <is>
          <t>center</t>
        </is>
      </c>
      <c r="R423" t="b">
        <v>1</v>
      </c>
      <c r="S423" t="inlineStr">
        <is>
          <t>G000004</t>
        </is>
      </c>
      <c r="T423" t="inlineStr">
        <is>
          <t>Vertical</t>
        </is>
      </c>
      <c r="U423" t="n">
        <v>57</v>
      </c>
      <c r="V423" t="b">
        <v>1</v>
      </c>
      <c r="W423" t="inlineStr">
        <is>
          <t>Loan analysis!E10:E66</t>
        </is>
      </c>
      <c r="X423">
        <f>IFERROR(PMT(INDEX(Data[],ROW()-ROW(Data[[#Headers],[10]]),1)/12,Data[[#Headers],[10]]*12,-LoanAmount,0,IF(PaymentsDue="End of Period",0,1)), "")</f>
        <v/>
      </c>
    </row>
    <row r="424">
      <c r="A424" t="inlineStr">
        <is>
          <t>Loan analysis</t>
        </is>
      </c>
      <c r="B424" t="inlineStr">
        <is>
          <t>F39</t>
        </is>
      </c>
      <c r="C424" t="n">
        <v>39</v>
      </c>
      <c r="D424" t="n">
        <v>6</v>
      </c>
      <c r="E424" t="inlineStr">
        <is>
          <t>Output</t>
        </is>
      </c>
      <c r="F424" t="inlineStr">
        <is>
          <t>'=IFERROR(PMT(INDEX(Data[],ROW()-ROW(Data[[#Headers],[12]]),1)/12,Data[[#Headers],[12]]*12,-LoanAmount,0,IF(PaymentsDue="End of Period",0,1)), "")</t>
        </is>
      </c>
      <c r="G424" t="n">
        <v>114.3343074955097</v>
      </c>
      <c r="H424" t="inlineStr"/>
      <c r="I424" t="inlineStr">
        <is>
          <t>"$"#,##0.00_);[Red]\("$"#,##0.00\)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00000000</t>
        </is>
      </c>
      <c r="O424" t="inlineStr">
        <is>
          <t>center</t>
        </is>
      </c>
      <c r="P424" t="inlineStr">
        <is>
          <t>center</t>
        </is>
      </c>
      <c r="R424" t="b">
        <v>1</v>
      </c>
      <c r="S424" t="inlineStr">
        <is>
          <t>G000005</t>
        </is>
      </c>
      <c r="T424" t="inlineStr">
        <is>
          <t>Vertical</t>
        </is>
      </c>
      <c r="U424" t="n">
        <v>57</v>
      </c>
      <c r="V424" t="b">
        <v>1</v>
      </c>
      <c r="W424" t="inlineStr">
        <is>
          <t>Loan analysis!F10:F66</t>
        </is>
      </c>
      <c r="X424">
        <f>IFERROR(PMT(INDEX(Data[],ROW()-ROW(Data[[#Headers],[12]]),1)/12,Data[[#Headers],[12]]*12,-LoanAmount,0,IF(PaymentsDue="End of Period",0,1)), "")</f>
        <v/>
      </c>
    </row>
    <row r="425">
      <c r="A425" t="inlineStr">
        <is>
          <t>Loan analysis</t>
        </is>
      </c>
      <c r="B425" t="inlineStr">
        <is>
          <t>G39</t>
        </is>
      </c>
      <c r="C425" t="n">
        <v>39</v>
      </c>
      <c r="D425" t="n">
        <v>7</v>
      </c>
      <c r="E425" t="inlineStr">
        <is>
          <t>Output</t>
        </is>
      </c>
      <c r="F425" t="inlineStr">
        <is>
          <t>'=IFERROR(PMT(INDEX(Data[],ROW()-ROW(Data[[#Headers],[15]]),1)/12,Data[[#Headers],[15]]*12,-LoanAmount,0,IF(PaymentsDue="End of Period",0,1)), "")</t>
        </is>
      </c>
      <c r="G425" t="n">
        <v>102.1319617739867</v>
      </c>
      <c r="H425" t="inlineStr"/>
      <c r="I425" t="inlineStr">
        <is>
          <t>"$"#,##0.00_);[Red]\("$"#,##0.00\)</t>
        </is>
      </c>
      <c r="J425" t="b">
        <v>0</v>
      </c>
      <c r="K425" t="b">
        <v>0</v>
      </c>
      <c r="L425" t="n">
        <v>11</v>
      </c>
      <c r="M425" t="inlineStr">
        <is>
          <t>Values must be of type &lt;class 'str'&gt;</t>
        </is>
      </c>
      <c r="N425" t="inlineStr">
        <is>
          <t>00000000</t>
        </is>
      </c>
      <c r="O425" t="inlineStr">
        <is>
          <t>center</t>
        </is>
      </c>
      <c r="P425" t="inlineStr">
        <is>
          <t>center</t>
        </is>
      </c>
      <c r="R425" t="b">
        <v>1</v>
      </c>
      <c r="S425" t="inlineStr">
        <is>
          <t>G000006</t>
        </is>
      </c>
      <c r="T425" t="inlineStr">
        <is>
          <t>Vertical</t>
        </is>
      </c>
      <c r="U425" t="n">
        <v>57</v>
      </c>
      <c r="V425" t="b">
        <v>1</v>
      </c>
      <c r="W425" t="inlineStr">
        <is>
          <t>Loan analysis!G10:G66</t>
        </is>
      </c>
      <c r="X425">
        <f>IFERROR(PMT(INDEX(Data[],ROW()-ROW(Data[[#Headers],[15]]),1)/12,Data[[#Headers],[15]]*12,-LoanAmount,0,IF(PaymentsDue="End of Period",0,1)), "")</f>
        <v/>
      </c>
    </row>
    <row r="426">
      <c r="A426" t="inlineStr">
        <is>
          <t>Loan analysis</t>
        </is>
      </c>
      <c r="B426" t="inlineStr">
        <is>
          <t>H39</t>
        </is>
      </c>
      <c r="C426" t="n">
        <v>39</v>
      </c>
      <c r="D426" t="n">
        <v>8</v>
      </c>
      <c r="E426" t="inlineStr">
        <is>
          <t>Output</t>
        </is>
      </c>
      <c r="F426" t="inlineStr">
        <is>
          <t>'=IFERROR(PMT(INDEX(Data[],ROW()-ROW(Data[[#Headers],[20]]),1)/12,Data[[#Headers],[20]]*12,-LoanAmount,0,IF(PaymentsDue="End of Period",0,1)), "")</t>
        </is>
      </c>
      <c r="G426" t="n">
        <v>90.8861030068138</v>
      </c>
      <c r="H426" t="inlineStr"/>
      <c r="I426" t="inlineStr">
        <is>
          <t>"$"#,##0.00_);[Red]\("$"#,##0.00\)</t>
        </is>
      </c>
      <c r="J426" t="b">
        <v>0</v>
      </c>
      <c r="K426" t="b">
        <v>0</v>
      </c>
      <c r="L426" t="n">
        <v>11</v>
      </c>
      <c r="M426" t="inlineStr">
        <is>
          <t>Values must be of type &lt;class 'str'&gt;</t>
        </is>
      </c>
      <c r="N426" t="inlineStr">
        <is>
          <t>00000000</t>
        </is>
      </c>
      <c r="O426" t="inlineStr">
        <is>
          <t>center</t>
        </is>
      </c>
      <c r="P426" t="inlineStr">
        <is>
          <t>center</t>
        </is>
      </c>
      <c r="R426" t="b">
        <v>1</v>
      </c>
      <c r="S426" t="inlineStr">
        <is>
          <t>G000007</t>
        </is>
      </c>
      <c r="T426" t="inlineStr">
        <is>
          <t>Vertical</t>
        </is>
      </c>
      <c r="U426" t="n">
        <v>57</v>
      </c>
      <c r="V426" t="b">
        <v>1</v>
      </c>
      <c r="W426" t="inlineStr">
        <is>
          <t>Loan analysis!H10:H66</t>
        </is>
      </c>
      <c r="X426">
        <f>IFERROR(PMT(INDEX(Data[],ROW()-ROW(Data[[#Headers],[20]]),1)/12,Data[[#Headers],[20]]*12,-LoanAmount,0,IF(PaymentsDue="End of Period",0,1)), "")</f>
        <v/>
      </c>
    </row>
    <row r="427">
      <c r="A427" t="inlineStr">
        <is>
          <t>Loan analysis</t>
        </is>
      </c>
      <c r="B427" t="inlineStr">
        <is>
          <t>I39</t>
        </is>
      </c>
      <c r="C427" t="n">
        <v>39</v>
      </c>
      <c r="D427" t="n">
        <v>9</v>
      </c>
      <c r="E427" t="inlineStr">
        <is>
          <t>Output</t>
        </is>
      </c>
      <c r="F427" t="inlineStr">
        <is>
          <t>'=IFERROR(PMT(INDEX(Data[],ROW()-ROW(Data[[#Headers],[25]]),1)/12,Data[[#Headers],[25]]*12,-LoanAmount,0,IF(PaymentsDue="End of Period",0,1)), "")</t>
        </is>
      </c>
      <c r="G427" t="n">
        <v>84.98310616408062</v>
      </c>
      <c r="H427" t="inlineStr"/>
      <c r="I427" t="inlineStr">
        <is>
          <t>"$"#,##0.00_);[Red]\("$"#,##0.00\)</t>
        </is>
      </c>
      <c r="J427" t="b">
        <v>0</v>
      </c>
      <c r="K427" t="b">
        <v>0</v>
      </c>
      <c r="L427" t="n">
        <v>11</v>
      </c>
      <c r="M427" t="inlineStr">
        <is>
          <t>Values must be of type &lt;class 'str'&gt;</t>
        </is>
      </c>
      <c r="N427" t="inlineStr">
        <is>
          <t>00000000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inlineStr">
        <is>
          <t>G000008</t>
        </is>
      </c>
      <c r="T427" t="inlineStr">
        <is>
          <t>Vertical</t>
        </is>
      </c>
      <c r="U427" t="n">
        <v>57</v>
      </c>
      <c r="V427" t="b">
        <v>1</v>
      </c>
      <c r="W427" t="inlineStr">
        <is>
          <t>Loan analysis!I10:I66</t>
        </is>
      </c>
      <c r="X427">
        <f>IFERROR(PMT(INDEX(Data[],ROW()-ROW(Data[[#Headers],[25]]),1)/12,Data[[#Headers],[25]]*12,-LoanAmount,0,IF(PaymentsDue="End of Period",0,1)), "")</f>
        <v/>
      </c>
    </row>
    <row r="428">
      <c r="A428" t="inlineStr">
        <is>
          <t>Loan analysis</t>
        </is>
      </c>
      <c r="B428" t="inlineStr">
        <is>
          <t>J39</t>
        </is>
      </c>
      <c r="C428" t="n">
        <v>39</v>
      </c>
      <c r="D428" t="n">
        <v>10</v>
      </c>
      <c r="E428" t="inlineStr">
        <is>
          <t>Output</t>
        </is>
      </c>
      <c r="F428" t="inlineStr">
        <is>
          <t>'=IFERROR(PMT(INDEX(Data[],ROW()-ROW(Data[[#Headers],[30]]),1)/12,Data[[#Headers],[30]]*12,-LoanAmount,0,IF(PaymentsDue="End of Period",0,1)), "")</t>
        </is>
      </c>
      <c r="G428" t="n">
        <v>81.63824772422008</v>
      </c>
      <c r="H428" t="inlineStr"/>
      <c r="I428" t="inlineStr">
        <is>
          <t>"$"#,##0.00_);[Red]\("$"#,##0.00\)</t>
        </is>
      </c>
      <c r="J428" t="b">
        <v>0</v>
      </c>
      <c r="K428" t="b">
        <v>0</v>
      </c>
      <c r="L428" t="n">
        <v>11</v>
      </c>
      <c r="M428" t="inlineStr">
        <is>
          <t>Values must be of type &lt;class 'str'&gt;</t>
        </is>
      </c>
      <c r="N428" t="inlineStr">
        <is>
          <t>00000000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inlineStr">
        <is>
          <t>G000009</t>
        </is>
      </c>
      <c r="T428" t="inlineStr">
        <is>
          <t>Vertical</t>
        </is>
      </c>
      <c r="U428" t="n">
        <v>57</v>
      </c>
      <c r="V428" t="b">
        <v>1</v>
      </c>
      <c r="W428" t="inlineStr">
        <is>
          <t>Loan analysis!J10:J66</t>
        </is>
      </c>
      <c r="X428">
        <f>IFERROR(PMT(INDEX(Data[],ROW()-ROW(Data[[#Headers],[30]]),1)/12,Data[[#Headers],[30]]*12,-LoanAmount,0,IF(PaymentsDue="End of Period",0,1)), "")</f>
        <v/>
      </c>
    </row>
    <row r="429">
      <c r="A429" t="inlineStr">
        <is>
          <t>Loan analysis</t>
        </is>
      </c>
      <c r="B429" t="inlineStr">
        <is>
          <t>K39</t>
        </is>
      </c>
      <c r="C429" t="n">
        <v>39</v>
      </c>
      <c r="D429" t="n">
        <v>11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n">
        <v/>
      </c>
      <c r="P429" t="n">
        <v/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Loan analysis</t>
        </is>
      </c>
      <c r="B430" t="inlineStr">
        <is>
          <t>A40</t>
        </is>
      </c>
      <c r="C430" t="n">
        <v>40</v>
      </c>
      <c r="D430" t="n">
        <v>1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11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n">
        <v/>
      </c>
      <c r="P430" t="n">
        <v/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Loan analysis</t>
        </is>
      </c>
      <c r="B431" t="inlineStr">
        <is>
          <t>B40</t>
        </is>
      </c>
      <c r="C431" t="n">
        <v>40</v>
      </c>
      <c r="D431" t="n">
        <v>2</v>
      </c>
      <c r="E431" t="inlineStr">
        <is>
          <t>Output</t>
        </is>
      </c>
      <c r="F431" t="inlineStr">
        <is>
          <t>'=IFERROR(MAX((ROW()-ROW(Data[[#Headers],[RATE]]))*0.0025+0.0175,0.0025), "")</t>
        </is>
      </c>
      <c r="G431" t="n">
        <v>0.095</v>
      </c>
      <c r="H431" t="inlineStr"/>
      <c r="I431" t="inlineStr">
        <is>
          <t>0.00%</t>
        </is>
      </c>
      <c r="J431" t="b">
        <v>0</v>
      </c>
      <c r="K431" t="b">
        <v>0</v>
      </c>
      <c r="L431" t="n">
        <v>11</v>
      </c>
      <c r="M431" t="inlineStr">
        <is>
          <t>Values must be of type &lt;class 'str'&gt;</t>
        </is>
      </c>
      <c r="N431" t="inlineStr">
        <is>
          <t>00000000</t>
        </is>
      </c>
      <c r="O431" t="inlineStr">
        <is>
          <t>center</t>
        </is>
      </c>
      <c r="P431" t="inlineStr">
        <is>
          <t>center</t>
        </is>
      </c>
      <c r="R431" t="b">
        <v>1</v>
      </c>
      <c r="S431" t="inlineStr">
        <is>
          <t>G000001</t>
        </is>
      </c>
      <c r="T431" t="inlineStr">
        <is>
          <t>Vertical</t>
        </is>
      </c>
      <c r="U431" t="n">
        <v>57</v>
      </c>
      <c r="V431" t="b">
        <v>1</v>
      </c>
      <c r="W431" t="inlineStr">
        <is>
          <t>Loan analysis!B10:B66</t>
        </is>
      </c>
      <c r="X431">
        <f>IFERROR(MAX((ROW()-ROW(Data[[#Headers],[RATE]]))*0.0025+0.0175,0.0025), "")</f>
        <v/>
      </c>
    </row>
    <row r="432">
      <c r="A432" t="inlineStr">
        <is>
          <t>Loan analysis</t>
        </is>
      </c>
      <c r="B432" t="inlineStr">
        <is>
          <t>C40</t>
        </is>
      </c>
      <c r="C432" t="n">
        <v>40</v>
      </c>
      <c r="D432" t="n">
        <v>3</v>
      </c>
      <c r="E432" t="inlineStr">
        <is>
          <t>Output</t>
        </is>
      </c>
      <c r="F432" t="inlineStr">
        <is>
          <t>'=IFERROR(PMT(INDEX(Data[],ROW()-ROW(Data[[#Headers],[3]]),1)/12,Data[[#Headers],[3]]*12,-LoanAmount,0,IF(PaymentsDue="End of Period",0,1)), "")</t>
        </is>
      </c>
      <c r="G432" t="n">
        <v>317.8134740714181</v>
      </c>
      <c r="H432" t="inlineStr"/>
      <c r="I432" t="inlineStr">
        <is>
          <t>"$"#,##0.00_);[Red]\("$"#,##0.00\)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00000000</t>
        </is>
      </c>
      <c r="O432" t="inlineStr">
        <is>
          <t>center</t>
        </is>
      </c>
      <c r="P432" t="inlineStr">
        <is>
          <t>center</t>
        </is>
      </c>
      <c r="R432" t="b">
        <v>1</v>
      </c>
      <c r="S432" t="inlineStr">
        <is>
          <t>G000002</t>
        </is>
      </c>
      <c r="T432" t="inlineStr">
        <is>
          <t>Vertical</t>
        </is>
      </c>
      <c r="U432" t="n">
        <v>57</v>
      </c>
      <c r="V432" t="b">
        <v>1</v>
      </c>
      <c r="W432" t="inlineStr">
        <is>
          <t>Loan analysis!C10:C66</t>
        </is>
      </c>
      <c r="X432">
        <f>IFERROR(PMT(INDEX(Data[],ROW()-ROW(Data[[#Headers],[3]]),1)/12,Data[[#Headers],[3]]*12,-LoanAmount,0,IF(PaymentsDue="End of Period",0,1)), "")</f>
        <v/>
      </c>
    </row>
    <row r="433">
      <c r="A433" t="inlineStr">
        <is>
          <t>Loan analysis</t>
        </is>
      </c>
      <c r="B433" t="inlineStr">
        <is>
          <t>D40</t>
        </is>
      </c>
      <c r="C433" t="n">
        <v>40</v>
      </c>
      <c r="D433" t="n">
        <v>4</v>
      </c>
      <c r="E433" t="inlineStr">
        <is>
          <t>Output</t>
        </is>
      </c>
      <c r="F433" t="inlineStr">
        <is>
          <t>'=IFERROR(PMT(INDEX(Data[],ROW()-ROW(Data[[#Headers],[5]]),1)/12,Data[[#Headers],[5]]*12,-LoanAmount,0,IF(PaymentsDue="End of Period",0,1)), "")</t>
        </is>
      </c>
      <c r="G433" t="n">
        <v>208.3690249827087</v>
      </c>
      <c r="H433" t="inlineStr"/>
      <c r="I433" t="inlineStr">
        <is>
          <t>"$"#,##0.00_);[Red]\("$"#,##0.00\)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00000000</t>
        </is>
      </c>
      <c r="O433" t="inlineStr">
        <is>
          <t>center</t>
        </is>
      </c>
      <c r="P433" t="inlineStr">
        <is>
          <t>center</t>
        </is>
      </c>
      <c r="R433" t="b">
        <v>1</v>
      </c>
      <c r="S433" t="inlineStr">
        <is>
          <t>G000003</t>
        </is>
      </c>
      <c r="T433" t="inlineStr">
        <is>
          <t>Vertical</t>
        </is>
      </c>
      <c r="U433" t="n">
        <v>57</v>
      </c>
      <c r="V433" t="b">
        <v>1</v>
      </c>
      <c r="W433" t="inlineStr">
        <is>
          <t>Loan analysis!D10:D66</t>
        </is>
      </c>
      <c r="X433">
        <f>IFERROR(PMT(INDEX(Data[],ROW()-ROW(Data[[#Headers],[5]]),1)/12,Data[[#Headers],[5]]*12,-LoanAmount,0,IF(PaymentsDue="End of Period",0,1)), "")</f>
        <v/>
      </c>
    </row>
    <row r="434">
      <c r="A434" t="inlineStr">
        <is>
          <t>Loan analysis</t>
        </is>
      </c>
      <c r="B434" t="inlineStr">
        <is>
          <t>E40</t>
        </is>
      </c>
      <c r="C434" t="n">
        <v>40</v>
      </c>
      <c r="D434" t="n">
        <v>5</v>
      </c>
      <c r="E434" t="inlineStr">
        <is>
          <t>Output</t>
        </is>
      </c>
      <c r="F434" t="inlineStr">
        <is>
          <t>'=IFERROR(PMT(INDEX(Data[],ROW()-ROW(Data[[#Headers],[10]]),1)/12,Data[[#Headers],[10]]*12,-LoanAmount,0,IF(PaymentsDue="End of Period",0,1)), "")</t>
        </is>
      </c>
      <c r="G434" t="n">
        <v>128.3812063438879</v>
      </c>
      <c r="H434" t="inlineStr"/>
      <c r="I434" t="inlineStr">
        <is>
          <t>"$"#,##0.00_);[Red]\("$"#,##0.00\)</t>
        </is>
      </c>
      <c r="J434" t="b">
        <v>0</v>
      </c>
      <c r="K434" t="b">
        <v>0</v>
      </c>
      <c r="L434" t="n">
        <v>11</v>
      </c>
      <c r="M434" t="inlineStr">
        <is>
          <t>Values must be of type &lt;class 'str'&gt;</t>
        </is>
      </c>
      <c r="N434" t="inlineStr">
        <is>
          <t>00000000</t>
        </is>
      </c>
      <c r="O434" t="inlineStr">
        <is>
          <t>center</t>
        </is>
      </c>
      <c r="P434" t="inlineStr">
        <is>
          <t>center</t>
        </is>
      </c>
      <c r="R434" t="b">
        <v>1</v>
      </c>
      <c r="S434" t="inlineStr">
        <is>
          <t>G000004</t>
        </is>
      </c>
      <c r="T434" t="inlineStr">
        <is>
          <t>Vertical</t>
        </is>
      </c>
      <c r="U434" t="n">
        <v>57</v>
      </c>
      <c r="V434" t="b">
        <v>1</v>
      </c>
      <c r="W434" t="inlineStr">
        <is>
          <t>Loan analysis!E10:E66</t>
        </is>
      </c>
      <c r="X434">
        <f>IFERROR(PMT(INDEX(Data[],ROW()-ROW(Data[[#Headers],[10]]),1)/12,Data[[#Headers],[10]]*12,-LoanAmount,0,IF(PaymentsDue="End of Period",0,1)), "")</f>
        <v/>
      </c>
    </row>
    <row r="435">
      <c r="A435" t="inlineStr">
        <is>
          <t>Loan analysis</t>
        </is>
      </c>
      <c r="B435" t="inlineStr">
        <is>
          <t>F40</t>
        </is>
      </c>
      <c r="C435" t="n">
        <v>40</v>
      </c>
      <c r="D435" t="n">
        <v>6</v>
      </c>
      <c r="E435" t="inlineStr">
        <is>
          <t>Output</t>
        </is>
      </c>
      <c r="F435" t="inlineStr">
        <is>
          <t>'=IFERROR(PMT(INDEX(Data[],ROW()-ROW(Data[[#Headers],[12]]),1)/12,Data[[#Headers],[12]]*12,-LoanAmount,0,IF(PaymentsDue="End of Period",0,1)), "")</t>
        </is>
      </c>
      <c r="G435" t="n">
        <v>115.7211975535282</v>
      </c>
      <c r="H435" t="inlineStr"/>
      <c r="I435" t="inlineStr">
        <is>
          <t>"$"#,##0.00_);[Red]\("$"#,##0.00\)</t>
        </is>
      </c>
      <c r="J435" t="b">
        <v>0</v>
      </c>
      <c r="K435" t="b">
        <v>0</v>
      </c>
      <c r="L435" t="n">
        <v>11</v>
      </c>
      <c r="M435" t="inlineStr">
        <is>
          <t>Values must be of type &lt;class 'str'&gt;</t>
        </is>
      </c>
      <c r="N435" t="inlineStr">
        <is>
          <t>00000000</t>
        </is>
      </c>
      <c r="O435" t="inlineStr">
        <is>
          <t>center</t>
        </is>
      </c>
      <c r="P435" t="inlineStr">
        <is>
          <t>center</t>
        </is>
      </c>
      <c r="R435" t="b">
        <v>1</v>
      </c>
      <c r="S435" t="inlineStr">
        <is>
          <t>G000005</t>
        </is>
      </c>
      <c r="T435" t="inlineStr">
        <is>
          <t>Vertical</t>
        </is>
      </c>
      <c r="U435" t="n">
        <v>57</v>
      </c>
      <c r="V435" t="b">
        <v>1</v>
      </c>
      <c r="W435" t="inlineStr">
        <is>
          <t>Loan analysis!F10:F66</t>
        </is>
      </c>
      <c r="X435">
        <f>IFERROR(PMT(INDEX(Data[],ROW()-ROW(Data[[#Headers],[12]]),1)/12,Data[[#Headers],[12]]*12,-LoanAmount,0,IF(PaymentsDue="End of Period",0,1)), "")</f>
        <v/>
      </c>
    </row>
    <row r="436">
      <c r="A436" t="inlineStr">
        <is>
          <t>Loan analysis</t>
        </is>
      </c>
      <c r="B436" t="inlineStr">
        <is>
          <t>G40</t>
        </is>
      </c>
      <c r="C436" t="n">
        <v>40</v>
      </c>
      <c r="D436" t="n">
        <v>7</v>
      </c>
      <c r="E436" t="inlineStr">
        <is>
          <t>Output</t>
        </is>
      </c>
      <c r="F436" t="inlineStr">
        <is>
          <t>'=IFERROR(PMT(INDEX(Data[],ROW()-ROW(Data[[#Headers],[15]]),1)/12,Data[[#Headers],[15]]*12,-LoanAmount,0,IF(PaymentsDue="End of Period",0,1)), "")</t>
        </is>
      </c>
      <c r="G436" t="n">
        <v>103.6022835416737</v>
      </c>
      <c r="H436" t="inlineStr"/>
      <c r="I436" t="inlineStr">
        <is>
          <t>"$"#,##0.00_);[Red]\("$"#,##0.00\)</t>
        </is>
      </c>
      <c r="J436" t="b">
        <v>0</v>
      </c>
      <c r="K436" t="b">
        <v>0</v>
      </c>
      <c r="L436" t="n">
        <v>11</v>
      </c>
      <c r="M436" t="inlineStr">
        <is>
          <t>Values must be of type &lt;class 'str'&gt;</t>
        </is>
      </c>
      <c r="N436" t="inlineStr">
        <is>
          <t>00000000</t>
        </is>
      </c>
      <c r="O436" t="inlineStr">
        <is>
          <t>center</t>
        </is>
      </c>
      <c r="P436" t="inlineStr">
        <is>
          <t>center</t>
        </is>
      </c>
      <c r="R436" t="b">
        <v>1</v>
      </c>
      <c r="S436" t="inlineStr">
        <is>
          <t>G000006</t>
        </is>
      </c>
      <c r="T436" t="inlineStr">
        <is>
          <t>Vertical</t>
        </is>
      </c>
      <c r="U436" t="n">
        <v>57</v>
      </c>
      <c r="V436" t="b">
        <v>1</v>
      </c>
      <c r="W436" t="inlineStr">
        <is>
          <t>Loan analysis!G10:G66</t>
        </is>
      </c>
      <c r="X436">
        <f>IFERROR(PMT(INDEX(Data[],ROW()-ROW(Data[[#Headers],[15]]),1)/12,Data[[#Headers],[15]]*12,-LoanAmount,0,IF(PaymentsDue="End of Period",0,1)), "")</f>
        <v/>
      </c>
    </row>
    <row r="437">
      <c r="A437" t="inlineStr">
        <is>
          <t>Loan analysis</t>
        </is>
      </c>
      <c r="B437" t="inlineStr">
        <is>
          <t>H40</t>
        </is>
      </c>
      <c r="C437" t="n">
        <v>40</v>
      </c>
      <c r="D437" t="n">
        <v>8</v>
      </c>
      <c r="E437" t="inlineStr">
        <is>
          <t>Output</t>
        </is>
      </c>
      <c r="F437" t="inlineStr">
        <is>
          <t>'=IFERROR(PMT(INDEX(Data[],ROW()-ROW(Data[[#Headers],[20]]),1)/12,Data[[#Headers],[20]]*12,-LoanAmount,0,IF(PaymentsDue="End of Period",0,1)), "")</t>
        </is>
      </c>
      <c r="G437" t="n">
        <v>92.48097770981576</v>
      </c>
      <c r="H437" t="inlineStr"/>
      <c r="I437" t="inlineStr">
        <is>
          <t>"$"#,##0.00_);[Red]\("$"#,##0.00\)</t>
        </is>
      </c>
      <c r="J437" t="b">
        <v>0</v>
      </c>
      <c r="K437" t="b">
        <v>0</v>
      </c>
      <c r="L437" t="n">
        <v>11</v>
      </c>
      <c r="M437" t="inlineStr">
        <is>
          <t>Values must be of type &lt;class 'str'&gt;</t>
        </is>
      </c>
      <c r="N437" t="inlineStr">
        <is>
          <t>00000000</t>
        </is>
      </c>
      <c r="O437" t="inlineStr">
        <is>
          <t>center</t>
        </is>
      </c>
      <c r="P437" t="inlineStr">
        <is>
          <t>center</t>
        </is>
      </c>
      <c r="R437" t="b">
        <v>1</v>
      </c>
      <c r="S437" t="inlineStr">
        <is>
          <t>G000007</t>
        </is>
      </c>
      <c r="T437" t="inlineStr">
        <is>
          <t>Vertical</t>
        </is>
      </c>
      <c r="U437" t="n">
        <v>57</v>
      </c>
      <c r="V437" t="b">
        <v>1</v>
      </c>
      <c r="W437" t="inlineStr">
        <is>
          <t>Loan analysis!H10:H66</t>
        </is>
      </c>
      <c r="X437">
        <f>IFERROR(PMT(INDEX(Data[],ROW()-ROW(Data[[#Headers],[20]]),1)/12,Data[[#Headers],[20]]*12,-LoanAmount,0,IF(PaymentsDue="End of Period",0,1)), "")</f>
        <v/>
      </c>
    </row>
    <row r="438">
      <c r="A438" t="inlineStr">
        <is>
          <t>Loan analysis</t>
        </is>
      </c>
      <c r="B438" t="inlineStr">
        <is>
          <t>I40</t>
        </is>
      </c>
      <c r="C438" t="n">
        <v>40</v>
      </c>
      <c r="D438" t="n">
        <v>9</v>
      </c>
      <c r="E438" t="inlineStr">
        <is>
          <t>Output</t>
        </is>
      </c>
      <c r="F438" t="inlineStr">
        <is>
          <t>'=IFERROR(PMT(INDEX(Data[],ROW()-ROW(Data[[#Headers],[25]]),1)/12,Data[[#Headers],[25]]*12,-LoanAmount,0,IF(PaymentsDue="End of Period",0,1)), "")</t>
        </is>
      </c>
      <c r="G438" t="n">
        <v>86.68342232622483</v>
      </c>
      <c r="H438" t="inlineStr"/>
      <c r="I438" t="inlineStr">
        <is>
          <t>"$"#,##0.00_);[Red]\("$"#,##0.00\)</t>
        </is>
      </c>
      <c r="J438" t="b">
        <v>0</v>
      </c>
      <c r="K438" t="b">
        <v>0</v>
      </c>
      <c r="L438" t="n">
        <v>11</v>
      </c>
      <c r="M438" t="inlineStr">
        <is>
          <t>Values must be of type &lt;class 'str'&gt;</t>
        </is>
      </c>
      <c r="N438" t="inlineStr">
        <is>
          <t>00000000</t>
        </is>
      </c>
      <c r="O438" t="inlineStr">
        <is>
          <t>center</t>
        </is>
      </c>
      <c r="P438" t="inlineStr">
        <is>
          <t>center</t>
        </is>
      </c>
      <c r="R438" t="b">
        <v>1</v>
      </c>
      <c r="S438" t="inlineStr">
        <is>
          <t>G000008</t>
        </is>
      </c>
      <c r="T438" t="inlineStr">
        <is>
          <t>Vertical</t>
        </is>
      </c>
      <c r="U438" t="n">
        <v>57</v>
      </c>
      <c r="V438" t="b">
        <v>1</v>
      </c>
      <c r="W438" t="inlineStr">
        <is>
          <t>Loan analysis!I10:I66</t>
        </is>
      </c>
      <c r="X438">
        <f>IFERROR(PMT(INDEX(Data[],ROW()-ROW(Data[[#Headers],[25]]),1)/12,Data[[#Headers],[25]]*12,-LoanAmount,0,IF(PaymentsDue="End of Period",0,1)), "")</f>
        <v/>
      </c>
    </row>
    <row r="439">
      <c r="A439" t="inlineStr">
        <is>
          <t>Loan analysis</t>
        </is>
      </c>
      <c r="B439" t="inlineStr">
        <is>
          <t>J40</t>
        </is>
      </c>
      <c r="C439" t="n">
        <v>40</v>
      </c>
      <c r="D439" t="n">
        <v>10</v>
      </c>
      <c r="E439" t="inlineStr">
        <is>
          <t>Output</t>
        </is>
      </c>
      <c r="F439" t="inlineStr">
        <is>
          <t>'=IFERROR(PMT(INDEX(Data[],ROW()-ROW(Data[[#Headers],[30]]),1)/12,Data[[#Headers],[30]]*12,-LoanAmount,0,IF(PaymentsDue="End of Period",0,1)), "")</t>
        </is>
      </c>
      <c r="G439" t="n">
        <v>83.42497301484066</v>
      </c>
      <c r="H439" t="inlineStr"/>
      <c r="I439" t="inlineStr">
        <is>
          <t>"$"#,##0.00_);[Red]\("$"#,##0.00\)</t>
        </is>
      </c>
      <c r="J439" t="b">
        <v>0</v>
      </c>
      <c r="K439" t="b">
        <v>0</v>
      </c>
      <c r="L439" t="n">
        <v>11</v>
      </c>
      <c r="M439" t="inlineStr">
        <is>
          <t>Values must be of type &lt;class 'str'&gt;</t>
        </is>
      </c>
      <c r="N439" t="inlineStr">
        <is>
          <t>00000000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inlineStr">
        <is>
          <t>G000009</t>
        </is>
      </c>
      <c r="T439" t="inlineStr">
        <is>
          <t>Vertical</t>
        </is>
      </c>
      <c r="U439" t="n">
        <v>57</v>
      </c>
      <c r="V439" t="b">
        <v>1</v>
      </c>
      <c r="W439" t="inlineStr">
        <is>
          <t>Loan analysis!J10:J66</t>
        </is>
      </c>
      <c r="X439">
        <f>IFERROR(PMT(INDEX(Data[],ROW()-ROW(Data[[#Headers],[30]]),1)/12,Data[[#Headers],[30]]*12,-LoanAmount,0,IF(PaymentsDue="End of Period",0,1)), "")</f>
        <v/>
      </c>
    </row>
    <row r="440">
      <c r="A440" t="inlineStr">
        <is>
          <t>Loan analysis</t>
        </is>
      </c>
      <c r="B440" t="inlineStr">
        <is>
          <t>K40</t>
        </is>
      </c>
      <c r="C440" t="n">
        <v>40</v>
      </c>
      <c r="D440" t="n">
        <v>11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11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n">
        <v/>
      </c>
      <c r="P440" t="n">
        <v/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Loan analysis</t>
        </is>
      </c>
      <c r="B441" t="inlineStr">
        <is>
          <t>A41</t>
        </is>
      </c>
      <c r="C441" t="n">
        <v>41</v>
      </c>
      <c r="D441" t="n">
        <v>1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n">
        <v/>
      </c>
      <c r="P441" t="n">
        <v/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Loan analysis</t>
        </is>
      </c>
      <c r="B442" t="inlineStr">
        <is>
          <t>B41</t>
        </is>
      </c>
      <c r="C442" t="n">
        <v>41</v>
      </c>
      <c r="D442" t="n">
        <v>2</v>
      </c>
      <c r="E442" t="inlineStr">
        <is>
          <t>Output</t>
        </is>
      </c>
      <c r="F442" t="inlineStr">
        <is>
          <t>'=IFERROR(MAX((ROW()-ROW(Data[[#Headers],[RATE]]))*0.0025+0.0175,0.0025), "")</t>
        </is>
      </c>
      <c r="G442" t="n">
        <v>0.0975</v>
      </c>
      <c r="H442" t="inlineStr"/>
      <c r="I442" t="inlineStr">
        <is>
          <t>0.00%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00000000</t>
        </is>
      </c>
      <c r="O442" t="inlineStr">
        <is>
          <t>center</t>
        </is>
      </c>
      <c r="P442" t="inlineStr">
        <is>
          <t>center</t>
        </is>
      </c>
      <c r="R442" t="b">
        <v>1</v>
      </c>
      <c r="S442" t="inlineStr">
        <is>
          <t>G000001</t>
        </is>
      </c>
      <c r="T442" t="inlineStr">
        <is>
          <t>Vertical</t>
        </is>
      </c>
      <c r="U442" t="n">
        <v>57</v>
      </c>
      <c r="V442" t="b">
        <v>1</v>
      </c>
      <c r="W442" t="inlineStr">
        <is>
          <t>Loan analysis!B10:B66</t>
        </is>
      </c>
      <c r="X442">
        <f>IFERROR(MAX((ROW()-ROW(Data[[#Headers],[RATE]]))*0.0025+0.0175,0.0025), "")</f>
        <v/>
      </c>
    </row>
    <row r="443">
      <c r="A443" t="inlineStr">
        <is>
          <t>Loan analysis</t>
        </is>
      </c>
      <c r="B443" t="inlineStr">
        <is>
          <t>C41</t>
        </is>
      </c>
      <c r="C443" t="n">
        <v>41</v>
      </c>
      <c r="D443" t="n">
        <v>3</v>
      </c>
      <c r="E443" t="inlineStr">
        <is>
          <t>Output</t>
        </is>
      </c>
      <c r="F443" t="inlineStr">
        <is>
          <t>'=IFERROR(PMT(INDEX(Data[],ROW()-ROW(Data[[#Headers],[3]]),1)/12,Data[[#Headers],[3]]*12,-LoanAmount,0,IF(PaymentsDue="End of Period",0,1)), "")</t>
        </is>
      </c>
      <c r="G443" t="n">
        <v>318.9082803665087</v>
      </c>
      <c r="H443" t="inlineStr"/>
      <c r="I443" t="inlineStr">
        <is>
          <t>"$"#,##0.00_);[Red]\("$"#,##0.00\)</t>
        </is>
      </c>
      <c r="J443" t="b">
        <v>0</v>
      </c>
      <c r="K443" t="b">
        <v>0</v>
      </c>
      <c r="L443" t="n">
        <v>11</v>
      </c>
      <c r="M443" t="inlineStr">
        <is>
          <t>Values must be of type &lt;class 'str'&gt;</t>
        </is>
      </c>
      <c r="N443" t="inlineStr">
        <is>
          <t>00000000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inlineStr">
        <is>
          <t>G000002</t>
        </is>
      </c>
      <c r="T443" t="inlineStr">
        <is>
          <t>Vertical</t>
        </is>
      </c>
      <c r="U443" t="n">
        <v>57</v>
      </c>
      <c r="V443" t="b">
        <v>1</v>
      </c>
      <c r="W443" t="inlineStr">
        <is>
          <t>Loan analysis!C10:C66</t>
        </is>
      </c>
      <c r="X443">
        <f>IFERROR(PMT(INDEX(Data[],ROW()-ROW(Data[[#Headers],[3]]),1)/12,Data[[#Headers],[3]]*12,-LoanAmount,0,IF(PaymentsDue="End of Period",0,1)), "")</f>
        <v/>
      </c>
    </row>
    <row r="444">
      <c r="A444" t="inlineStr">
        <is>
          <t>Loan analysis</t>
        </is>
      </c>
      <c r="B444" t="inlineStr">
        <is>
          <t>D41</t>
        </is>
      </c>
      <c r="C444" t="n">
        <v>41</v>
      </c>
      <c r="D444" t="n">
        <v>4</v>
      </c>
      <c r="E444" t="inlineStr">
        <is>
          <t>Output</t>
        </is>
      </c>
      <c r="F444" t="inlineStr">
        <is>
          <t>'=IFERROR(PMT(INDEX(Data[],ROW()-ROW(Data[[#Headers],[5]]),1)/12,Data[[#Headers],[5]]*12,-LoanAmount,0,IF(PaymentsDue="End of Period",0,1)), "")</t>
        </is>
      </c>
      <c r="G444" t="n">
        <v>209.5399246836167</v>
      </c>
      <c r="H444" t="inlineStr"/>
      <c r="I444" t="inlineStr">
        <is>
          <t>"$"#,##0.00_);[Red]\("$"#,##0.00\)</t>
        </is>
      </c>
      <c r="J444" t="b">
        <v>0</v>
      </c>
      <c r="K444" t="b">
        <v>0</v>
      </c>
      <c r="L444" t="n">
        <v>11</v>
      </c>
      <c r="M444" t="inlineStr">
        <is>
          <t>Values must be of type &lt;class 'str'&gt;</t>
        </is>
      </c>
      <c r="N444" t="inlineStr">
        <is>
          <t>00000000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inlineStr">
        <is>
          <t>G000003</t>
        </is>
      </c>
      <c r="T444" t="inlineStr">
        <is>
          <t>Vertical</t>
        </is>
      </c>
      <c r="U444" t="n">
        <v>57</v>
      </c>
      <c r="V444" t="b">
        <v>1</v>
      </c>
      <c r="W444" t="inlineStr">
        <is>
          <t>Loan analysis!D10:D66</t>
        </is>
      </c>
      <c r="X444">
        <f>IFERROR(PMT(INDEX(Data[],ROW()-ROW(Data[[#Headers],[5]]),1)/12,Data[[#Headers],[5]]*12,-LoanAmount,0,IF(PaymentsDue="End of Period",0,1)), "")</f>
        <v/>
      </c>
    </row>
    <row r="445">
      <c r="A445" t="inlineStr">
        <is>
          <t>Loan analysis</t>
        </is>
      </c>
      <c r="B445" t="inlineStr">
        <is>
          <t>E41</t>
        </is>
      </c>
      <c r="C445" t="n">
        <v>41</v>
      </c>
      <c r="D445" t="n">
        <v>5</v>
      </c>
      <c r="E445" t="inlineStr">
        <is>
          <t>Output</t>
        </is>
      </c>
      <c r="F445" t="inlineStr">
        <is>
          <t>'=IFERROR(PMT(INDEX(Data[],ROW()-ROW(Data[[#Headers],[10]]),1)/12,Data[[#Headers],[10]]*12,-LoanAmount,0,IF(PaymentsDue="End of Period",0,1)), "")</t>
        </is>
      </c>
      <c r="G445" t="n">
        <v>129.7162972865843</v>
      </c>
      <c r="H445" t="inlineStr"/>
      <c r="I445" t="inlineStr">
        <is>
          <t>"$"#,##0.00_);[Red]\("$"#,##0.00\)</t>
        </is>
      </c>
      <c r="J445" t="b">
        <v>0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00000000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inlineStr">
        <is>
          <t>G000004</t>
        </is>
      </c>
      <c r="T445" t="inlineStr">
        <is>
          <t>Vertical</t>
        </is>
      </c>
      <c r="U445" t="n">
        <v>57</v>
      </c>
      <c r="V445" t="b">
        <v>1</v>
      </c>
      <c r="W445" t="inlineStr">
        <is>
          <t>Loan analysis!E10:E66</t>
        </is>
      </c>
      <c r="X445">
        <f>IFERROR(PMT(INDEX(Data[],ROW()-ROW(Data[[#Headers],[10]]),1)/12,Data[[#Headers],[10]]*12,-LoanAmount,0,IF(PaymentsDue="End of Period",0,1)), "")</f>
        <v/>
      </c>
    </row>
    <row r="446">
      <c r="A446" t="inlineStr">
        <is>
          <t>Loan analysis</t>
        </is>
      </c>
      <c r="B446" t="inlineStr">
        <is>
          <t>F41</t>
        </is>
      </c>
      <c r="C446" t="n">
        <v>41</v>
      </c>
      <c r="D446" t="n">
        <v>6</v>
      </c>
      <c r="E446" t="inlineStr">
        <is>
          <t>Output</t>
        </is>
      </c>
      <c r="F446" t="inlineStr">
        <is>
          <t>'=IFERROR(PMT(INDEX(Data[],ROW()-ROW(Data[[#Headers],[12]]),1)/12,Data[[#Headers],[12]]*12,-LoanAmount,0,IF(PaymentsDue="End of Period",0,1)), "")</t>
        </is>
      </c>
      <c r="G446" t="n">
        <v>117.1165037607406</v>
      </c>
      <c r="H446" t="inlineStr"/>
      <c r="I446" t="inlineStr">
        <is>
          <t>"$"#,##0.00_);[Red]\("$"#,##0.00\)</t>
        </is>
      </c>
      <c r="J446" t="b">
        <v>0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00000000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inlineStr">
        <is>
          <t>G000005</t>
        </is>
      </c>
      <c r="T446" t="inlineStr">
        <is>
          <t>Vertical</t>
        </is>
      </c>
      <c r="U446" t="n">
        <v>57</v>
      </c>
      <c r="V446" t="b">
        <v>1</v>
      </c>
      <c r="W446" t="inlineStr">
        <is>
          <t>Loan analysis!F10:F66</t>
        </is>
      </c>
      <c r="X446">
        <f>IFERROR(PMT(INDEX(Data[],ROW()-ROW(Data[[#Headers],[12]]),1)/12,Data[[#Headers],[12]]*12,-LoanAmount,0,IF(PaymentsDue="End of Period",0,1)), "")</f>
        <v/>
      </c>
    </row>
    <row r="447">
      <c r="A447" t="inlineStr">
        <is>
          <t>Loan analysis</t>
        </is>
      </c>
      <c r="B447" t="inlineStr">
        <is>
          <t>G41</t>
        </is>
      </c>
      <c r="C447" t="n">
        <v>41</v>
      </c>
      <c r="D447" t="n">
        <v>7</v>
      </c>
      <c r="E447" t="inlineStr">
        <is>
          <t>Output</t>
        </is>
      </c>
      <c r="F447" t="inlineStr">
        <is>
          <t>'=IFERROR(PMT(INDEX(Data[],ROW()-ROW(Data[[#Headers],[15]]),1)/12,Data[[#Headers],[15]]*12,-LoanAmount,0,IF(PaymentsDue="End of Period",0,1)), "")</t>
        </is>
      </c>
      <c r="G447" t="n">
        <v>105.0824712751649</v>
      </c>
      <c r="H447" t="inlineStr"/>
      <c r="I447" t="inlineStr">
        <is>
          <t>"$"#,##0.00_);[Red]\("$"#,##0.00\)</t>
        </is>
      </c>
      <c r="J447" t="b">
        <v>0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00000000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inlineStr">
        <is>
          <t>G000006</t>
        </is>
      </c>
      <c r="T447" t="inlineStr">
        <is>
          <t>Vertical</t>
        </is>
      </c>
      <c r="U447" t="n">
        <v>57</v>
      </c>
      <c r="V447" t="b">
        <v>1</v>
      </c>
      <c r="W447" t="inlineStr">
        <is>
          <t>Loan analysis!G10:G66</t>
        </is>
      </c>
      <c r="X447">
        <f>IFERROR(PMT(INDEX(Data[],ROW()-ROW(Data[[#Headers],[15]]),1)/12,Data[[#Headers],[15]]*12,-LoanAmount,0,IF(PaymentsDue="End of Period",0,1)), "")</f>
        <v/>
      </c>
    </row>
    <row r="448">
      <c r="A448" t="inlineStr">
        <is>
          <t>Loan analysis</t>
        </is>
      </c>
      <c r="B448" t="inlineStr">
        <is>
          <t>H41</t>
        </is>
      </c>
      <c r="C448" t="n">
        <v>41</v>
      </c>
      <c r="D448" t="n">
        <v>8</v>
      </c>
      <c r="E448" t="inlineStr">
        <is>
          <t>Output</t>
        </is>
      </c>
      <c r="F448" t="inlineStr">
        <is>
          <t>'=IFERROR(PMT(INDEX(Data[],ROW()-ROW(Data[[#Headers],[20]]),1)/12,Data[[#Headers],[20]]*12,-LoanAmount,0,IF(PaymentsDue="End of Period",0,1)), "")</t>
        </is>
      </c>
      <c r="G448" t="n">
        <v>94.08722634357015</v>
      </c>
      <c r="H448" t="inlineStr"/>
      <c r="I448" t="inlineStr">
        <is>
          <t>"$"#,##0.00_);[Red]\("$"#,##0.00\)</t>
        </is>
      </c>
      <c r="J448" t="b">
        <v>0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00000000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inlineStr">
        <is>
          <t>G000007</t>
        </is>
      </c>
      <c r="T448" t="inlineStr">
        <is>
          <t>Vertical</t>
        </is>
      </c>
      <c r="U448" t="n">
        <v>57</v>
      </c>
      <c r="V448" t="b">
        <v>1</v>
      </c>
      <c r="W448" t="inlineStr">
        <is>
          <t>Loan analysis!H10:H66</t>
        </is>
      </c>
      <c r="X448">
        <f>IFERROR(PMT(INDEX(Data[],ROW()-ROW(Data[[#Headers],[20]]),1)/12,Data[[#Headers],[20]]*12,-LoanAmount,0,IF(PaymentsDue="End of Period",0,1)), "")</f>
        <v/>
      </c>
    </row>
    <row r="449">
      <c r="A449" t="inlineStr">
        <is>
          <t>Loan analysis</t>
        </is>
      </c>
      <c r="B449" t="inlineStr">
        <is>
          <t>I41</t>
        </is>
      </c>
      <c r="C449" t="n">
        <v>41</v>
      </c>
      <c r="D449" t="n">
        <v>9</v>
      </c>
      <c r="E449" t="inlineStr">
        <is>
          <t>Output</t>
        </is>
      </c>
      <c r="F449" t="inlineStr">
        <is>
          <t>'=IFERROR(PMT(INDEX(Data[],ROW()-ROW(Data[[#Headers],[25]]),1)/12,Data[[#Headers],[25]]*12,-LoanAmount,0,IF(PaymentsDue="End of Period",0,1)), "")</t>
        </is>
      </c>
      <c r="G449" t="n">
        <v>88.39552841793136</v>
      </c>
      <c r="H449" t="inlineStr"/>
      <c r="I449" t="inlineStr">
        <is>
          <t>"$"#,##0.00_);[Red]\("$"#,##0.00\)</t>
        </is>
      </c>
      <c r="J449" t="b">
        <v>0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00000000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inlineStr">
        <is>
          <t>G000008</t>
        </is>
      </c>
      <c r="T449" t="inlineStr">
        <is>
          <t>Vertical</t>
        </is>
      </c>
      <c r="U449" t="n">
        <v>57</v>
      </c>
      <c r="V449" t="b">
        <v>1</v>
      </c>
      <c r="W449" t="inlineStr">
        <is>
          <t>Loan analysis!I10:I66</t>
        </is>
      </c>
      <c r="X449">
        <f>IFERROR(PMT(INDEX(Data[],ROW()-ROW(Data[[#Headers],[25]]),1)/12,Data[[#Headers],[25]]*12,-LoanAmount,0,IF(PaymentsDue="End of Period",0,1)), "")</f>
        <v/>
      </c>
    </row>
    <row r="450">
      <c r="A450" t="inlineStr">
        <is>
          <t>Loan analysis</t>
        </is>
      </c>
      <c r="B450" t="inlineStr">
        <is>
          <t>J41</t>
        </is>
      </c>
      <c r="C450" t="n">
        <v>41</v>
      </c>
      <c r="D450" t="n">
        <v>10</v>
      </c>
      <c r="E450" t="inlineStr">
        <is>
          <t>Output</t>
        </is>
      </c>
      <c r="F450" t="inlineStr">
        <is>
          <t>'=IFERROR(PMT(INDEX(Data[],ROW()-ROW(Data[[#Headers],[30]]),1)/12,Data[[#Headers],[30]]*12,-LoanAmount,0,IF(PaymentsDue="End of Period",0,1)), "")</t>
        </is>
      </c>
      <c r="G450" t="n">
        <v>85.22300429597031</v>
      </c>
      <c r="H450" t="inlineStr"/>
      <c r="I450" t="inlineStr">
        <is>
          <t>"$"#,##0.00_);[Red]\("$"#,##0.00\)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00000000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inlineStr">
        <is>
          <t>G000009</t>
        </is>
      </c>
      <c r="T450" t="inlineStr">
        <is>
          <t>Vertical</t>
        </is>
      </c>
      <c r="U450" t="n">
        <v>57</v>
      </c>
      <c r="V450" t="b">
        <v>1</v>
      </c>
      <c r="W450" t="inlineStr">
        <is>
          <t>Loan analysis!J10:J66</t>
        </is>
      </c>
      <c r="X450">
        <f>IFERROR(PMT(INDEX(Data[],ROW()-ROW(Data[[#Headers],[30]]),1)/12,Data[[#Headers],[30]]*12,-LoanAmount,0,IF(PaymentsDue="End of Period",0,1)), "")</f>
        <v/>
      </c>
    </row>
    <row r="451">
      <c r="A451" t="inlineStr">
        <is>
          <t>Loan analysis</t>
        </is>
      </c>
      <c r="B451" t="inlineStr">
        <is>
          <t>K41</t>
        </is>
      </c>
      <c r="C451" t="n">
        <v>41</v>
      </c>
      <c r="D451" t="n">
        <v>11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n">
        <v/>
      </c>
      <c r="P451" t="n">
        <v/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Loan analysis</t>
        </is>
      </c>
      <c r="B452" t="inlineStr">
        <is>
          <t>A42</t>
        </is>
      </c>
      <c r="C452" t="n">
        <v>42</v>
      </c>
      <c r="D452" t="n">
        <v>1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n">
        <v/>
      </c>
      <c r="P452" t="n">
        <v/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Loan analysis</t>
        </is>
      </c>
      <c r="B453" t="inlineStr">
        <is>
          <t>B42</t>
        </is>
      </c>
      <c r="C453" t="n">
        <v>42</v>
      </c>
      <c r="D453" t="n">
        <v>2</v>
      </c>
      <c r="E453" t="inlineStr">
        <is>
          <t>Output</t>
        </is>
      </c>
      <c r="F453" t="inlineStr">
        <is>
          <t>'=IFERROR(MAX((ROW()-ROW(Data[[#Headers],[RATE]]))*0.0025+0.0175,0.0025), "")</t>
        </is>
      </c>
      <c r="G453" t="n">
        <v>0.1</v>
      </c>
      <c r="H453" t="inlineStr"/>
      <c r="I453" t="inlineStr">
        <is>
          <t>0.00%</t>
        </is>
      </c>
      <c r="J453" t="b">
        <v>0</v>
      </c>
      <c r="K453" t="b">
        <v>0</v>
      </c>
      <c r="L453" t="n">
        <v>11</v>
      </c>
      <c r="M453" t="inlineStr">
        <is>
          <t>Values must be of type &lt;class 'str'&gt;</t>
        </is>
      </c>
      <c r="N453" t="inlineStr">
        <is>
          <t>00000000</t>
        </is>
      </c>
      <c r="O453" t="inlineStr">
        <is>
          <t>center</t>
        </is>
      </c>
      <c r="P453" t="inlineStr">
        <is>
          <t>center</t>
        </is>
      </c>
      <c r="R453" t="b">
        <v>1</v>
      </c>
      <c r="S453" t="inlineStr">
        <is>
          <t>G000001</t>
        </is>
      </c>
      <c r="T453" t="inlineStr">
        <is>
          <t>Vertical</t>
        </is>
      </c>
      <c r="U453" t="n">
        <v>57</v>
      </c>
      <c r="V453" t="b">
        <v>1</v>
      </c>
      <c r="W453" t="inlineStr">
        <is>
          <t>Loan analysis!B10:B66</t>
        </is>
      </c>
      <c r="X453">
        <f>IFERROR(MAX((ROW()-ROW(Data[[#Headers],[RATE]]))*0.0025+0.0175,0.0025), "")</f>
        <v/>
      </c>
    </row>
    <row r="454">
      <c r="A454" t="inlineStr">
        <is>
          <t>Loan analysis</t>
        </is>
      </c>
      <c r="B454" t="inlineStr">
        <is>
          <t>C42</t>
        </is>
      </c>
      <c r="C454" t="n">
        <v>42</v>
      </c>
      <c r="D454" t="n">
        <v>3</v>
      </c>
      <c r="E454" t="inlineStr">
        <is>
          <t>Output</t>
        </is>
      </c>
      <c r="F454" t="inlineStr">
        <is>
          <t>'=IFERROR(PMT(INDEX(Data[],ROW()-ROW(Data[[#Headers],[3]]),1)/12,Data[[#Headers],[3]]*12,-LoanAmount,0,IF(PaymentsDue="End of Period",0,1)), "")</t>
        </is>
      </c>
      <c r="G454" t="n">
        <v>320.0051622529338</v>
      </c>
      <c r="H454" t="inlineStr"/>
      <c r="I454" t="inlineStr">
        <is>
          <t>"$"#,##0.00_);[Red]\("$"#,##0.00\)</t>
        </is>
      </c>
      <c r="J454" t="b">
        <v>0</v>
      </c>
      <c r="K454" t="b">
        <v>0</v>
      </c>
      <c r="L454" t="n">
        <v>11</v>
      </c>
      <c r="M454" t="inlineStr">
        <is>
          <t>Values must be of type &lt;class 'str'&gt;</t>
        </is>
      </c>
      <c r="N454" t="inlineStr">
        <is>
          <t>00000000</t>
        </is>
      </c>
      <c r="O454" t="inlineStr">
        <is>
          <t>center</t>
        </is>
      </c>
      <c r="P454" t="inlineStr">
        <is>
          <t>center</t>
        </is>
      </c>
      <c r="R454" t="b">
        <v>1</v>
      </c>
      <c r="S454" t="inlineStr">
        <is>
          <t>G000002</t>
        </is>
      </c>
      <c r="T454" t="inlineStr">
        <is>
          <t>Vertical</t>
        </is>
      </c>
      <c r="U454" t="n">
        <v>57</v>
      </c>
      <c r="V454" t="b">
        <v>1</v>
      </c>
      <c r="W454" t="inlineStr">
        <is>
          <t>Loan analysis!C10:C66</t>
        </is>
      </c>
      <c r="X454">
        <f>IFERROR(PMT(INDEX(Data[],ROW()-ROW(Data[[#Headers],[3]]),1)/12,Data[[#Headers],[3]]*12,-LoanAmount,0,IF(PaymentsDue="End of Period",0,1)), "")</f>
        <v/>
      </c>
    </row>
    <row r="455">
      <c r="A455" t="inlineStr">
        <is>
          <t>Loan analysis</t>
        </is>
      </c>
      <c r="B455" t="inlineStr">
        <is>
          <t>D42</t>
        </is>
      </c>
      <c r="C455" t="n">
        <v>42</v>
      </c>
      <c r="D455" t="n">
        <v>4</v>
      </c>
      <c r="E455" t="inlineStr">
        <is>
          <t>Output</t>
        </is>
      </c>
      <c r="F455" t="inlineStr">
        <is>
          <t>'=IFERROR(PMT(INDEX(Data[],ROW()-ROW(Data[[#Headers],[5]]),1)/12,Data[[#Headers],[5]]*12,-LoanAmount,0,IF(PaymentsDue="End of Period",0,1)), "")</t>
        </is>
      </c>
      <c r="G455" t="n">
        <v>210.7144930043135</v>
      </c>
      <c r="H455" t="inlineStr"/>
      <c r="I455" t="inlineStr">
        <is>
          <t>"$"#,##0.00_);[Red]\("$"#,##0.00\)</t>
        </is>
      </c>
      <c r="J455" t="b">
        <v>0</v>
      </c>
      <c r="K455" t="b">
        <v>0</v>
      </c>
      <c r="L455" t="n">
        <v>11</v>
      </c>
      <c r="M455" t="inlineStr">
        <is>
          <t>Values must be of type &lt;class 'str'&gt;</t>
        </is>
      </c>
      <c r="N455" t="inlineStr">
        <is>
          <t>00000000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inlineStr">
        <is>
          <t>G000003</t>
        </is>
      </c>
      <c r="T455" t="inlineStr">
        <is>
          <t>Vertical</t>
        </is>
      </c>
      <c r="U455" t="n">
        <v>57</v>
      </c>
      <c r="V455" t="b">
        <v>1</v>
      </c>
      <c r="W455" t="inlineStr">
        <is>
          <t>Loan analysis!D10:D66</t>
        </is>
      </c>
      <c r="X455">
        <f>IFERROR(PMT(INDEX(Data[],ROW()-ROW(Data[[#Headers],[5]]),1)/12,Data[[#Headers],[5]]*12,-LoanAmount,0,IF(PaymentsDue="End of Period",0,1)), "")</f>
        <v/>
      </c>
    </row>
    <row r="456">
      <c r="A456" t="inlineStr">
        <is>
          <t>Loan analysis</t>
        </is>
      </c>
      <c r="B456" t="inlineStr">
        <is>
          <t>E42</t>
        </is>
      </c>
      <c r="C456" t="n">
        <v>42</v>
      </c>
      <c r="D456" t="n">
        <v>5</v>
      </c>
      <c r="E456" t="inlineStr">
        <is>
          <t>Output</t>
        </is>
      </c>
      <c r="F456" t="inlineStr">
        <is>
          <t>'=IFERROR(PMT(INDEX(Data[],ROW()-ROW(Data[[#Headers],[10]]),1)/12,Data[[#Headers],[10]]*12,-LoanAmount,0,IF(PaymentsDue="End of Period",0,1)), "")</t>
        </is>
      </c>
      <c r="G456" t="n">
        <v>131.0585820314992</v>
      </c>
      <c r="H456" t="inlineStr"/>
      <c r="I456" t="inlineStr">
        <is>
          <t>"$"#,##0.00_);[Red]\("$"#,##0.00\)</t>
        </is>
      </c>
      <c r="J456" t="b">
        <v>0</v>
      </c>
      <c r="K456" t="b">
        <v>0</v>
      </c>
      <c r="L456" t="n">
        <v>11</v>
      </c>
      <c r="M456" t="inlineStr">
        <is>
          <t>Values must be of type &lt;class 'str'&gt;</t>
        </is>
      </c>
      <c r="N456" t="inlineStr">
        <is>
          <t>00000000</t>
        </is>
      </c>
      <c r="O456" t="inlineStr">
        <is>
          <t>center</t>
        </is>
      </c>
      <c r="P456" t="inlineStr">
        <is>
          <t>center</t>
        </is>
      </c>
      <c r="R456" t="b">
        <v>1</v>
      </c>
      <c r="S456" t="inlineStr">
        <is>
          <t>G000004</t>
        </is>
      </c>
      <c r="T456" t="inlineStr">
        <is>
          <t>Vertical</t>
        </is>
      </c>
      <c r="U456" t="n">
        <v>57</v>
      </c>
      <c r="V456" t="b">
        <v>1</v>
      </c>
      <c r="W456" t="inlineStr">
        <is>
          <t>Loan analysis!E10:E66</t>
        </is>
      </c>
      <c r="X456">
        <f>IFERROR(PMT(INDEX(Data[],ROW()-ROW(Data[[#Headers],[10]]),1)/12,Data[[#Headers],[10]]*12,-LoanAmount,0,IF(PaymentsDue="End of Period",0,1)), "")</f>
        <v/>
      </c>
    </row>
    <row r="457">
      <c r="A457" t="inlineStr">
        <is>
          <t>Loan analysis</t>
        </is>
      </c>
      <c r="B457" t="inlineStr">
        <is>
          <t>F42</t>
        </is>
      </c>
      <c r="C457" t="n">
        <v>42</v>
      </c>
      <c r="D457" t="n">
        <v>6</v>
      </c>
      <c r="E457" t="inlineStr">
        <is>
          <t>Output</t>
        </is>
      </c>
      <c r="F457" t="inlineStr">
        <is>
          <t>'=IFERROR(PMT(INDEX(Data[],ROW()-ROW(Data[[#Headers],[12]]),1)/12,Data[[#Headers],[12]]*12,-LoanAmount,0,IF(PaymentsDue="End of Period",0,1)), "")</t>
        </is>
      </c>
      <c r="G457" t="n">
        <v>118.5201582969257</v>
      </c>
      <c r="H457" t="inlineStr"/>
      <c r="I457" t="inlineStr">
        <is>
          <t>"$"#,##0.00_);[Red]\("$"#,##0.00\)</t>
        </is>
      </c>
      <c r="J457" t="b">
        <v>0</v>
      </c>
      <c r="K457" t="b">
        <v>0</v>
      </c>
      <c r="L457" t="n">
        <v>11</v>
      </c>
      <c r="M457" t="inlineStr">
        <is>
          <t>Values must be of type &lt;class 'str'&gt;</t>
        </is>
      </c>
      <c r="N457" t="inlineStr">
        <is>
          <t>00000000</t>
        </is>
      </c>
      <c r="O457" t="inlineStr">
        <is>
          <t>center</t>
        </is>
      </c>
      <c r="P457" t="inlineStr">
        <is>
          <t>center</t>
        </is>
      </c>
      <c r="R457" t="b">
        <v>1</v>
      </c>
      <c r="S457" t="inlineStr">
        <is>
          <t>G000005</t>
        </is>
      </c>
      <c r="T457" t="inlineStr">
        <is>
          <t>Vertical</t>
        </is>
      </c>
      <c r="U457" t="n">
        <v>57</v>
      </c>
      <c r="V457" t="b">
        <v>1</v>
      </c>
      <c r="W457" t="inlineStr">
        <is>
          <t>Loan analysis!F10:F66</t>
        </is>
      </c>
      <c r="X457">
        <f>IFERROR(PMT(INDEX(Data[],ROW()-ROW(Data[[#Headers],[12]]),1)/12,Data[[#Headers],[12]]*12,-LoanAmount,0,IF(PaymentsDue="End of Period",0,1)), "")</f>
        <v/>
      </c>
    </row>
    <row r="458">
      <c r="A458" t="inlineStr">
        <is>
          <t>Loan analysis</t>
        </is>
      </c>
      <c r="B458" t="inlineStr">
        <is>
          <t>G42</t>
        </is>
      </c>
      <c r="C458" t="n">
        <v>42</v>
      </c>
      <c r="D458" t="n">
        <v>7</v>
      </c>
      <c r="E458" t="inlineStr">
        <is>
          <t>Output</t>
        </is>
      </c>
      <c r="F458" t="inlineStr">
        <is>
          <t>'=IFERROR(PMT(INDEX(Data[],ROW()-ROW(Data[[#Headers],[15]]),1)/12,Data[[#Headers],[15]]*12,-LoanAmount,0,IF(PaymentsDue="End of Period",0,1)), "")</t>
        </is>
      </c>
      <c r="G458" t="n">
        <v>106.5724083677471</v>
      </c>
      <c r="H458" t="inlineStr"/>
      <c r="I458" t="inlineStr">
        <is>
          <t>"$"#,##0.00_);[Red]\("$"#,##0.00\)</t>
        </is>
      </c>
      <c r="J458" t="b">
        <v>0</v>
      </c>
      <c r="K458" t="b">
        <v>0</v>
      </c>
      <c r="L458" t="n">
        <v>11</v>
      </c>
      <c r="M458" t="inlineStr">
        <is>
          <t>Values must be of type &lt;class 'str'&gt;</t>
        </is>
      </c>
      <c r="N458" t="inlineStr">
        <is>
          <t>00000000</t>
        </is>
      </c>
      <c r="O458" t="inlineStr">
        <is>
          <t>center</t>
        </is>
      </c>
      <c r="P458" t="inlineStr">
        <is>
          <t>center</t>
        </is>
      </c>
      <c r="R458" t="b">
        <v>1</v>
      </c>
      <c r="S458" t="inlineStr">
        <is>
          <t>G000006</t>
        </is>
      </c>
      <c r="T458" t="inlineStr">
        <is>
          <t>Vertical</t>
        </is>
      </c>
      <c r="U458" t="n">
        <v>57</v>
      </c>
      <c r="V458" t="b">
        <v>1</v>
      </c>
      <c r="W458" t="inlineStr">
        <is>
          <t>Loan analysis!G10:G66</t>
        </is>
      </c>
      <c r="X458">
        <f>IFERROR(PMT(INDEX(Data[],ROW()-ROW(Data[[#Headers],[15]]),1)/12,Data[[#Headers],[15]]*12,-LoanAmount,0,IF(PaymentsDue="End of Period",0,1)), "")</f>
        <v/>
      </c>
    </row>
    <row r="459">
      <c r="A459" t="inlineStr">
        <is>
          <t>Loan analysis</t>
        </is>
      </c>
      <c r="B459" t="inlineStr">
        <is>
          <t>H42</t>
        </is>
      </c>
      <c r="C459" t="n">
        <v>42</v>
      </c>
      <c r="D459" t="n">
        <v>8</v>
      </c>
      <c r="E459" t="inlineStr">
        <is>
          <t>Output</t>
        </is>
      </c>
      <c r="F459" t="inlineStr">
        <is>
          <t>'=IFERROR(PMT(INDEX(Data[],ROW()-ROW(Data[[#Headers],[20]]),1)/12,Data[[#Headers],[20]]*12,-LoanAmount,0,IF(PaymentsDue="End of Period",0,1)), "")</t>
        </is>
      </c>
      <c r="G459" t="n">
        <v>95.70462595775284</v>
      </c>
      <c r="H459" t="inlineStr"/>
      <c r="I459" t="inlineStr">
        <is>
          <t>"$"#,##0.00_);[Red]\("$"#,##0.00\)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00000000</t>
        </is>
      </c>
      <c r="O459" t="inlineStr">
        <is>
          <t>center</t>
        </is>
      </c>
      <c r="P459" t="inlineStr">
        <is>
          <t>center</t>
        </is>
      </c>
      <c r="R459" t="b">
        <v>1</v>
      </c>
      <c r="S459" t="inlineStr">
        <is>
          <t>G000007</t>
        </is>
      </c>
      <c r="T459" t="inlineStr">
        <is>
          <t>Vertical</t>
        </is>
      </c>
      <c r="U459" t="n">
        <v>57</v>
      </c>
      <c r="V459" t="b">
        <v>1</v>
      </c>
      <c r="W459" t="inlineStr">
        <is>
          <t>Loan analysis!H10:H66</t>
        </is>
      </c>
      <c r="X459">
        <f>IFERROR(PMT(INDEX(Data[],ROW()-ROW(Data[[#Headers],[20]]),1)/12,Data[[#Headers],[20]]*12,-LoanAmount,0,IF(PaymentsDue="End of Period",0,1)), "")</f>
        <v/>
      </c>
    </row>
    <row r="460">
      <c r="A460" t="inlineStr">
        <is>
          <t>Loan analysis</t>
        </is>
      </c>
      <c r="B460" t="inlineStr">
        <is>
          <t>I42</t>
        </is>
      </c>
      <c r="C460" t="n">
        <v>42</v>
      </c>
      <c r="D460" t="n">
        <v>9</v>
      </c>
      <c r="E460" t="inlineStr">
        <is>
          <t>Output</t>
        </is>
      </c>
      <c r="F460" t="inlineStr">
        <is>
          <t>'=IFERROR(PMT(INDEX(Data[],ROW()-ROW(Data[[#Headers],[25]]),1)/12,Data[[#Headers],[25]]*12,-LoanAmount,0,IF(PaymentsDue="End of Period",0,1)), "")</t>
        </is>
      </c>
      <c r="G460" t="n">
        <v>90.11908220232004</v>
      </c>
      <c r="H460" t="inlineStr"/>
      <c r="I460" t="inlineStr">
        <is>
          <t>"$"#,##0.00_);[Red]\("$"#,##0.00\)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00000000</t>
        </is>
      </c>
      <c r="O460" t="inlineStr">
        <is>
          <t>center</t>
        </is>
      </c>
      <c r="P460" t="inlineStr">
        <is>
          <t>center</t>
        </is>
      </c>
      <c r="R460" t="b">
        <v>1</v>
      </c>
      <c r="S460" t="inlineStr">
        <is>
          <t>G000008</t>
        </is>
      </c>
      <c r="T460" t="inlineStr">
        <is>
          <t>Vertical</t>
        </is>
      </c>
      <c r="U460" t="n">
        <v>57</v>
      </c>
      <c r="V460" t="b">
        <v>1</v>
      </c>
      <c r="W460" t="inlineStr">
        <is>
          <t>Loan analysis!I10:I66</t>
        </is>
      </c>
      <c r="X460">
        <f>IFERROR(PMT(INDEX(Data[],ROW()-ROW(Data[[#Headers],[25]]),1)/12,Data[[#Headers],[25]]*12,-LoanAmount,0,IF(PaymentsDue="End of Period",0,1)), "")</f>
        <v/>
      </c>
    </row>
    <row r="461">
      <c r="A461" t="inlineStr">
        <is>
          <t>Loan analysis</t>
        </is>
      </c>
      <c r="B461" t="inlineStr">
        <is>
          <t>J42</t>
        </is>
      </c>
      <c r="C461" t="n">
        <v>42</v>
      </c>
      <c r="D461" t="n">
        <v>10</v>
      </c>
      <c r="E461" t="inlineStr">
        <is>
          <t>Output</t>
        </is>
      </c>
      <c r="F461" t="inlineStr">
        <is>
          <t>'=IFERROR(PMT(INDEX(Data[],ROW()-ROW(Data[[#Headers],[30]]),1)/12,Data[[#Headers],[30]]*12,-LoanAmount,0,IF(PaymentsDue="End of Period",0,1)), "")</t>
        </is>
      </c>
      <c r="G461" t="n">
        <v>87.03189124847592</v>
      </c>
      <c r="H461" t="inlineStr"/>
      <c r="I461" t="inlineStr">
        <is>
          <t>"$"#,##0.00_);[Red]\("$"#,##0.00\)</t>
        </is>
      </c>
      <c r="J461" t="b">
        <v>0</v>
      </c>
      <c r="K461" t="b">
        <v>0</v>
      </c>
      <c r="L461" t="n">
        <v>11</v>
      </c>
      <c r="M461" t="inlineStr">
        <is>
          <t>Values must be of type &lt;class 'str'&gt;</t>
        </is>
      </c>
      <c r="N461" t="inlineStr">
        <is>
          <t>00000000</t>
        </is>
      </c>
      <c r="O461" t="inlineStr">
        <is>
          <t>center</t>
        </is>
      </c>
      <c r="P461" t="inlineStr">
        <is>
          <t>center</t>
        </is>
      </c>
      <c r="R461" t="b">
        <v>1</v>
      </c>
      <c r="S461" t="inlineStr">
        <is>
          <t>G000009</t>
        </is>
      </c>
      <c r="T461" t="inlineStr">
        <is>
          <t>Vertical</t>
        </is>
      </c>
      <c r="U461" t="n">
        <v>57</v>
      </c>
      <c r="V461" t="b">
        <v>1</v>
      </c>
      <c r="W461" t="inlineStr">
        <is>
          <t>Loan analysis!J10:J66</t>
        </is>
      </c>
      <c r="X461">
        <f>IFERROR(PMT(INDEX(Data[],ROW()-ROW(Data[[#Headers],[30]]),1)/12,Data[[#Headers],[30]]*12,-LoanAmount,0,IF(PaymentsDue="End of Period",0,1)), "")</f>
        <v/>
      </c>
    </row>
    <row r="462">
      <c r="A462" t="inlineStr">
        <is>
          <t>Loan analysis</t>
        </is>
      </c>
      <c r="B462" t="inlineStr">
        <is>
          <t>K42</t>
        </is>
      </c>
      <c r="C462" t="n">
        <v>42</v>
      </c>
      <c r="D462" t="n">
        <v>11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11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n">
        <v/>
      </c>
      <c r="P462" t="n">
        <v/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Loan analysis</t>
        </is>
      </c>
      <c r="B463" t="inlineStr">
        <is>
          <t>A43</t>
        </is>
      </c>
      <c r="C463" t="n">
        <v>43</v>
      </c>
      <c r="D463" t="n">
        <v>1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11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n">
        <v/>
      </c>
      <c r="P463" t="n">
        <v/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Loan analysis</t>
        </is>
      </c>
      <c r="B464" t="inlineStr">
        <is>
          <t>B43</t>
        </is>
      </c>
      <c r="C464" t="n">
        <v>43</v>
      </c>
      <c r="D464" t="n">
        <v>2</v>
      </c>
      <c r="E464" t="inlineStr">
        <is>
          <t>Output</t>
        </is>
      </c>
      <c r="F464" t="inlineStr">
        <is>
          <t>'=IFERROR(MAX((ROW()-ROW(Data[[#Headers],[RATE]]))*0.0025+0.0175,0.0025), "")</t>
        </is>
      </c>
      <c r="G464" t="n">
        <v>0.1025</v>
      </c>
      <c r="H464" t="inlineStr"/>
      <c r="I464" t="inlineStr">
        <is>
          <t>0.00%</t>
        </is>
      </c>
      <c r="J464" t="b">
        <v>0</v>
      </c>
      <c r="K464" t="b">
        <v>0</v>
      </c>
      <c r="L464" t="n">
        <v>11</v>
      </c>
      <c r="M464" t="inlineStr">
        <is>
          <t>Values must be of type &lt;class 'str'&gt;</t>
        </is>
      </c>
      <c r="N464" t="inlineStr">
        <is>
          <t>00000000</t>
        </is>
      </c>
      <c r="O464" t="inlineStr">
        <is>
          <t>center</t>
        </is>
      </c>
      <c r="P464" t="inlineStr">
        <is>
          <t>center</t>
        </is>
      </c>
      <c r="R464" t="b">
        <v>1</v>
      </c>
      <c r="S464" t="inlineStr">
        <is>
          <t>G000001</t>
        </is>
      </c>
      <c r="T464" t="inlineStr">
        <is>
          <t>Vertical</t>
        </is>
      </c>
      <c r="U464" t="n">
        <v>57</v>
      </c>
      <c r="V464" t="b">
        <v>1</v>
      </c>
      <c r="W464" t="inlineStr">
        <is>
          <t>Loan analysis!B10:B66</t>
        </is>
      </c>
      <c r="X464">
        <f>IFERROR(MAX((ROW()-ROW(Data[[#Headers],[RATE]]))*0.0025+0.0175,0.0025), "")</f>
        <v/>
      </c>
    </row>
    <row r="465">
      <c r="A465" t="inlineStr">
        <is>
          <t>Loan analysis</t>
        </is>
      </c>
      <c r="B465" t="inlineStr">
        <is>
          <t>C43</t>
        </is>
      </c>
      <c r="C465" t="n">
        <v>43</v>
      </c>
      <c r="D465" t="n">
        <v>3</v>
      </c>
      <c r="E465" t="inlineStr">
        <is>
          <t>Output</t>
        </is>
      </c>
      <c r="F465" t="inlineStr">
        <is>
          <t>'=IFERROR(PMT(INDEX(Data[],ROW()-ROW(Data[[#Headers],[3]]),1)/12,Data[[#Headers],[3]]*12,-LoanAmount,0,IF(PaymentsDue="End of Period",0,1)), "")</t>
        </is>
      </c>
      <c r="G465" t="n">
        <v>321.1041165543931</v>
      </c>
      <c r="H465" t="inlineStr"/>
      <c r="I465" t="inlineStr">
        <is>
          <t>"$"#,##0.00_);[Red]\("$"#,##0.00\)</t>
        </is>
      </c>
      <c r="J465" t="b">
        <v>0</v>
      </c>
      <c r="K465" t="b">
        <v>0</v>
      </c>
      <c r="L465" t="n">
        <v>11</v>
      </c>
      <c r="M465" t="inlineStr">
        <is>
          <t>Values must be of type &lt;class 'str'&gt;</t>
        </is>
      </c>
      <c r="N465" t="inlineStr">
        <is>
          <t>00000000</t>
        </is>
      </c>
      <c r="O465" t="inlineStr">
        <is>
          <t>center</t>
        </is>
      </c>
      <c r="P465" t="inlineStr">
        <is>
          <t>center</t>
        </is>
      </c>
      <c r="R465" t="b">
        <v>1</v>
      </c>
      <c r="S465" t="inlineStr">
        <is>
          <t>G000002</t>
        </is>
      </c>
      <c r="T465" t="inlineStr">
        <is>
          <t>Vertical</t>
        </is>
      </c>
      <c r="U465" t="n">
        <v>57</v>
      </c>
      <c r="V465" t="b">
        <v>1</v>
      </c>
      <c r="W465" t="inlineStr">
        <is>
          <t>Loan analysis!C10:C66</t>
        </is>
      </c>
      <c r="X465">
        <f>IFERROR(PMT(INDEX(Data[],ROW()-ROW(Data[[#Headers],[3]]),1)/12,Data[[#Headers],[3]]*12,-LoanAmount,0,IF(PaymentsDue="End of Period",0,1)), "")</f>
        <v/>
      </c>
    </row>
    <row r="466">
      <c r="A466" t="inlineStr">
        <is>
          <t>Loan analysis</t>
        </is>
      </c>
      <c r="B466" t="inlineStr">
        <is>
          <t>D43</t>
        </is>
      </c>
      <c r="C466" t="n">
        <v>43</v>
      </c>
      <c r="D466" t="n">
        <v>4</v>
      </c>
      <c r="E466" t="inlineStr">
        <is>
          <t>Output</t>
        </is>
      </c>
      <c r="F466" t="inlineStr">
        <is>
          <t>'=IFERROR(PMT(INDEX(Data[],ROW()-ROW(Data[[#Headers],[5]]),1)/12,Data[[#Headers],[5]]*12,-LoanAmount,0,IF(PaymentsDue="End of Period",0,1)), "")</t>
        </is>
      </c>
      <c r="G466" t="n">
        <v>211.8927213509275</v>
      </c>
      <c r="H466" t="inlineStr"/>
      <c r="I466" t="inlineStr">
        <is>
          <t>"$"#,##0.00_);[Red]\("$"#,##0.00\)</t>
        </is>
      </c>
      <c r="J466" t="b">
        <v>0</v>
      </c>
      <c r="K466" t="b">
        <v>0</v>
      </c>
      <c r="L466" t="n">
        <v>11</v>
      </c>
      <c r="M466" t="inlineStr">
        <is>
          <t>Values must be of type &lt;class 'str'&gt;</t>
        </is>
      </c>
      <c r="N466" t="inlineStr">
        <is>
          <t>00000000</t>
        </is>
      </c>
      <c r="O466" t="inlineStr">
        <is>
          <t>center</t>
        </is>
      </c>
      <c r="P466" t="inlineStr">
        <is>
          <t>center</t>
        </is>
      </c>
      <c r="R466" t="b">
        <v>1</v>
      </c>
      <c r="S466" t="inlineStr">
        <is>
          <t>G000003</t>
        </is>
      </c>
      <c r="T466" t="inlineStr">
        <is>
          <t>Vertical</t>
        </is>
      </c>
      <c r="U466" t="n">
        <v>57</v>
      </c>
      <c r="V466" t="b">
        <v>1</v>
      </c>
      <c r="W466" t="inlineStr">
        <is>
          <t>Loan analysis!D10:D66</t>
        </is>
      </c>
      <c r="X466">
        <f>IFERROR(PMT(INDEX(Data[],ROW()-ROW(Data[[#Headers],[5]]),1)/12,Data[[#Headers],[5]]*12,-LoanAmount,0,IF(PaymentsDue="End of Period",0,1)), "")</f>
        <v/>
      </c>
    </row>
    <row r="467">
      <c r="A467" t="inlineStr">
        <is>
          <t>Loan analysis</t>
        </is>
      </c>
      <c r="B467" t="inlineStr">
        <is>
          <t>E43</t>
        </is>
      </c>
      <c r="C467" t="n">
        <v>43</v>
      </c>
      <c r="D467" t="n">
        <v>5</v>
      </c>
      <c r="E467" t="inlineStr">
        <is>
          <t>Output</t>
        </is>
      </c>
      <c r="F467" t="inlineStr">
        <is>
          <t>'=IFERROR(PMT(INDEX(Data[],ROW()-ROW(Data[[#Headers],[10]]),1)/12,Data[[#Headers],[10]]*12,-LoanAmount,0,IF(PaymentsDue="End of Period",0,1)), "")</t>
        </is>
      </c>
      <c r="G467" t="n">
        <v>132.4080167338417</v>
      </c>
      <c r="H467" t="inlineStr"/>
      <c r="I467" t="inlineStr">
        <is>
          <t>"$"#,##0.00_);[Red]\("$"#,##0.00\)</t>
        </is>
      </c>
      <c r="J467" t="b">
        <v>0</v>
      </c>
      <c r="K467" t="b">
        <v>0</v>
      </c>
      <c r="L467" t="n">
        <v>11</v>
      </c>
      <c r="M467" t="inlineStr">
        <is>
          <t>Values must be of type &lt;class 'str'&gt;</t>
        </is>
      </c>
      <c r="N467" t="inlineStr">
        <is>
          <t>00000000</t>
        </is>
      </c>
      <c r="O467" t="inlineStr">
        <is>
          <t>center</t>
        </is>
      </c>
      <c r="P467" t="inlineStr">
        <is>
          <t>center</t>
        </is>
      </c>
      <c r="R467" t="b">
        <v>1</v>
      </c>
      <c r="S467" t="inlineStr">
        <is>
          <t>G000004</t>
        </is>
      </c>
      <c r="T467" t="inlineStr">
        <is>
          <t>Vertical</t>
        </is>
      </c>
      <c r="U467" t="n">
        <v>57</v>
      </c>
      <c r="V467" t="b">
        <v>1</v>
      </c>
      <c r="W467" t="inlineStr">
        <is>
          <t>Loan analysis!E10:E66</t>
        </is>
      </c>
      <c r="X467">
        <f>IFERROR(PMT(INDEX(Data[],ROW()-ROW(Data[[#Headers],[10]]),1)/12,Data[[#Headers],[10]]*12,-LoanAmount,0,IF(PaymentsDue="End of Period",0,1)), "")</f>
        <v/>
      </c>
    </row>
    <row r="468">
      <c r="A468" t="inlineStr">
        <is>
          <t>Loan analysis</t>
        </is>
      </c>
      <c r="B468" t="inlineStr">
        <is>
          <t>F43</t>
        </is>
      </c>
      <c r="C468" t="n">
        <v>43</v>
      </c>
      <c r="D468" t="n">
        <v>6</v>
      </c>
      <c r="E468" t="inlineStr">
        <is>
          <t>Output</t>
        </is>
      </c>
      <c r="F468" t="inlineStr">
        <is>
          <t>'=IFERROR(PMT(INDEX(Data[],ROW()-ROW(Data[[#Headers],[12]]),1)/12,Data[[#Headers],[12]]*12,-LoanAmount,0,IF(PaymentsDue="End of Period",0,1)), "")</t>
        </is>
      </c>
      <c r="G468" t="n">
        <v>119.9320923928614</v>
      </c>
      <c r="H468" t="inlineStr"/>
      <c r="I468" t="inlineStr">
        <is>
          <t>"$"#,##0.00_);[Red]\("$"#,##0.00\)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00000000</t>
        </is>
      </c>
      <c r="O468" t="inlineStr">
        <is>
          <t>center</t>
        </is>
      </c>
      <c r="P468" t="inlineStr">
        <is>
          <t>center</t>
        </is>
      </c>
      <c r="R468" t="b">
        <v>1</v>
      </c>
      <c r="S468" t="inlineStr">
        <is>
          <t>G000005</t>
        </is>
      </c>
      <c r="T468" t="inlineStr">
        <is>
          <t>Vertical</t>
        </is>
      </c>
      <c r="U468" t="n">
        <v>57</v>
      </c>
      <c r="V468" t="b">
        <v>1</v>
      </c>
      <c r="W468" t="inlineStr">
        <is>
          <t>Loan analysis!F10:F66</t>
        </is>
      </c>
      <c r="X468">
        <f>IFERROR(PMT(INDEX(Data[],ROW()-ROW(Data[[#Headers],[12]]),1)/12,Data[[#Headers],[12]]*12,-LoanAmount,0,IF(PaymentsDue="End of Period",0,1)), "")</f>
        <v/>
      </c>
    </row>
    <row r="469">
      <c r="A469" t="inlineStr">
        <is>
          <t>Loan analysis</t>
        </is>
      </c>
      <c r="B469" t="inlineStr">
        <is>
          <t>G43</t>
        </is>
      </c>
      <c r="C469" t="n">
        <v>43</v>
      </c>
      <c r="D469" t="n">
        <v>7</v>
      </c>
      <c r="E469" t="inlineStr">
        <is>
          <t>Output</t>
        </is>
      </c>
      <c r="F469" t="inlineStr">
        <is>
          <t>'=IFERROR(PMT(INDEX(Data[],ROW()-ROW(Data[[#Headers],[15]]),1)/12,Data[[#Headers],[15]]*12,-LoanAmount,0,IF(PaymentsDue="End of Period",0,1)), "")</t>
        </is>
      </c>
      <c r="G469" t="n">
        <v>108.0719769770721</v>
      </c>
      <c r="H469" t="inlineStr"/>
      <c r="I469" t="inlineStr">
        <is>
          <t>"$"#,##0.00_);[Red]\("$"#,##0.00\)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00000000</t>
        </is>
      </c>
      <c r="O469" t="inlineStr">
        <is>
          <t>center</t>
        </is>
      </c>
      <c r="P469" t="inlineStr">
        <is>
          <t>center</t>
        </is>
      </c>
      <c r="R469" t="b">
        <v>1</v>
      </c>
      <c r="S469" t="inlineStr">
        <is>
          <t>G000006</t>
        </is>
      </c>
      <c r="T469" t="inlineStr">
        <is>
          <t>Vertical</t>
        </is>
      </c>
      <c r="U469" t="n">
        <v>57</v>
      </c>
      <c r="V469" t="b">
        <v>1</v>
      </c>
      <c r="W469" t="inlineStr">
        <is>
          <t>Loan analysis!G10:G66</t>
        </is>
      </c>
      <c r="X469">
        <f>IFERROR(PMT(INDEX(Data[],ROW()-ROW(Data[[#Headers],[15]]),1)/12,Data[[#Headers],[15]]*12,-LoanAmount,0,IF(PaymentsDue="End of Period",0,1)), "")</f>
        <v/>
      </c>
    </row>
    <row r="470">
      <c r="A470" t="inlineStr">
        <is>
          <t>Loan analysis</t>
        </is>
      </c>
      <c r="B470" t="inlineStr">
        <is>
          <t>H43</t>
        </is>
      </c>
      <c r="C470" t="n">
        <v>43</v>
      </c>
      <c r="D470" t="n">
        <v>8</v>
      </c>
      <c r="E470" t="inlineStr">
        <is>
          <t>Output</t>
        </is>
      </c>
      <c r="F470" t="inlineStr">
        <is>
          <t>'=IFERROR(PMT(INDEX(Data[],ROW()-ROW(Data[[#Headers],[20]]),1)/12,Data[[#Headers],[20]]*12,-LoanAmount,0,IF(PaymentsDue="End of Period",0,1)), "")</t>
        </is>
      </c>
      <c r="G470" t="n">
        <v>97.33295305794117</v>
      </c>
      <c r="H470" t="inlineStr"/>
      <c r="I470" t="inlineStr">
        <is>
          <t>"$"#,##0.00_);[Red]\("$"#,##0.00\)</t>
        </is>
      </c>
      <c r="J470" t="b">
        <v>0</v>
      </c>
      <c r="K470" t="b">
        <v>0</v>
      </c>
      <c r="L470" t="n">
        <v>11</v>
      </c>
      <c r="M470" t="inlineStr">
        <is>
          <t>Values must be of type &lt;class 'str'&gt;</t>
        </is>
      </c>
      <c r="N470" t="inlineStr">
        <is>
          <t>00000000</t>
        </is>
      </c>
      <c r="O470" t="inlineStr">
        <is>
          <t>center</t>
        </is>
      </c>
      <c r="P470" t="inlineStr">
        <is>
          <t>center</t>
        </is>
      </c>
      <c r="R470" t="b">
        <v>1</v>
      </c>
      <c r="S470" t="inlineStr">
        <is>
          <t>G000007</t>
        </is>
      </c>
      <c r="T470" t="inlineStr">
        <is>
          <t>Vertical</t>
        </is>
      </c>
      <c r="U470" t="n">
        <v>57</v>
      </c>
      <c r="V470" t="b">
        <v>1</v>
      </c>
      <c r="W470" t="inlineStr">
        <is>
          <t>Loan analysis!H10:H66</t>
        </is>
      </c>
      <c r="X470">
        <f>IFERROR(PMT(INDEX(Data[],ROW()-ROW(Data[[#Headers],[20]]),1)/12,Data[[#Headers],[20]]*12,-LoanAmount,0,IF(PaymentsDue="End of Period",0,1)), "")</f>
        <v/>
      </c>
    </row>
    <row r="471">
      <c r="A471" t="inlineStr">
        <is>
          <t>Loan analysis</t>
        </is>
      </c>
      <c r="B471" t="inlineStr">
        <is>
          <t>I43</t>
        </is>
      </c>
      <c r="C471" t="n">
        <v>43</v>
      </c>
      <c r="D471" t="n">
        <v>9</v>
      </c>
      <c r="E471" t="inlineStr">
        <is>
          <t>Output</t>
        </is>
      </c>
      <c r="F471" t="inlineStr">
        <is>
          <t>'=IFERROR(PMT(INDEX(Data[],ROW()-ROW(Data[[#Headers],[25]]),1)/12,Data[[#Headers],[25]]*12,-LoanAmount,0,IF(PaymentsDue="End of Period",0,1)), "")</t>
        </is>
      </c>
      <c r="G471" t="n">
        <v>91.85374412501193</v>
      </c>
      <c r="H471" t="inlineStr"/>
      <c r="I471" t="inlineStr">
        <is>
          <t>"$"#,##0.00_);[Red]\("$"#,##0.00\)</t>
        </is>
      </c>
      <c r="J471" t="b">
        <v>0</v>
      </c>
      <c r="K471" t="b">
        <v>0</v>
      </c>
      <c r="L471" t="n">
        <v>11</v>
      </c>
      <c r="M471" t="inlineStr">
        <is>
          <t>Values must be of type &lt;class 'str'&gt;</t>
        </is>
      </c>
      <c r="N471" t="inlineStr">
        <is>
          <t>00000000</t>
        </is>
      </c>
      <c r="O471" t="inlineStr">
        <is>
          <t>center</t>
        </is>
      </c>
      <c r="P471" t="inlineStr">
        <is>
          <t>center</t>
        </is>
      </c>
      <c r="R471" t="b">
        <v>1</v>
      </c>
      <c r="S471" t="inlineStr">
        <is>
          <t>G000008</t>
        </is>
      </c>
      <c r="T471" t="inlineStr">
        <is>
          <t>Vertical</t>
        </is>
      </c>
      <c r="U471" t="n">
        <v>57</v>
      </c>
      <c r="V471" t="b">
        <v>1</v>
      </c>
      <c r="W471" t="inlineStr">
        <is>
          <t>Loan analysis!I10:I66</t>
        </is>
      </c>
      <c r="X471">
        <f>IFERROR(PMT(INDEX(Data[],ROW()-ROW(Data[[#Headers],[25]]),1)/12,Data[[#Headers],[25]]*12,-LoanAmount,0,IF(PaymentsDue="End of Period",0,1)), "")</f>
        <v/>
      </c>
    </row>
    <row r="472">
      <c r="A472" t="inlineStr">
        <is>
          <t>Loan analysis</t>
        </is>
      </c>
      <c r="B472" t="inlineStr">
        <is>
          <t>J43</t>
        </is>
      </c>
      <c r="C472" t="n">
        <v>43</v>
      </c>
      <c r="D472" t="n">
        <v>10</v>
      </c>
      <c r="E472" t="inlineStr">
        <is>
          <t>Output</t>
        </is>
      </c>
      <c r="F472" t="inlineStr">
        <is>
          <t>'=IFERROR(PMT(INDEX(Data[],ROW()-ROW(Data[[#Headers],[30]]),1)/12,Data[[#Headers],[30]]*12,-LoanAmount,0,IF(PaymentsDue="End of Period",0,1)), "")</t>
        </is>
      </c>
      <c r="G472" t="n">
        <v>88.85119234568077</v>
      </c>
      <c r="H472" t="inlineStr"/>
      <c r="I472" t="inlineStr">
        <is>
          <t>"$"#,##0.00_);[Red]\("$"#,##0.00\)</t>
        </is>
      </c>
      <c r="J472" t="b">
        <v>0</v>
      </c>
      <c r="K472" t="b">
        <v>0</v>
      </c>
      <c r="L472" t="n">
        <v>11</v>
      </c>
      <c r="M472" t="inlineStr">
        <is>
          <t>Values must be of type &lt;class 'str'&gt;</t>
        </is>
      </c>
      <c r="N472" t="inlineStr">
        <is>
          <t>00000000</t>
        </is>
      </c>
      <c r="O472" t="inlineStr">
        <is>
          <t>center</t>
        </is>
      </c>
      <c r="P472" t="inlineStr">
        <is>
          <t>center</t>
        </is>
      </c>
      <c r="R472" t="b">
        <v>1</v>
      </c>
      <c r="S472" t="inlineStr">
        <is>
          <t>G000009</t>
        </is>
      </c>
      <c r="T472" t="inlineStr">
        <is>
          <t>Vertical</t>
        </is>
      </c>
      <c r="U472" t="n">
        <v>57</v>
      </c>
      <c r="V472" t="b">
        <v>1</v>
      </c>
      <c r="W472" t="inlineStr">
        <is>
          <t>Loan analysis!J10:J66</t>
        </is>
      </c>
      <c r="X472">
        <f>IFERROR(PMT(INDEX(Data[],ROW()-ROW(Data[[#Headers],[30]]),1)/12,Data[[#Headers],[30]]*12,-LoanAmount,0,IF(PaymentsDue="End of Period",0,1)), "")</f>
        <v/>
      </c>
    </row>
    <row r="473">
      <c r="A473" t="inlineStr">
        <is>
          <t>Loan analysis</t>
        </is>
      </c>
      <c r="B473" t="inlineStr">
        <is>
          <t>K43</t>
        </is>
      </c>
      <c r="C473" t="n">
        <v>43</v>
      </c>
      <c r="D473" t="n">
        <v>11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n">
        <v/>
      </c>
      <c r="P473" t="n">
        <v/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Loan analysis</t>
        </is>
      </c>
      <c r="B474" t="inlineStr">
        <is>
          <t>A44</t>
        </is>
      </c>
      <c r="C474" t="n">
        <v>44</v>
      </c>
      <c r="D474" t="n">
        <v>1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n">
        <v/>
      </c>
      <c r="P474" t="n">
        <v/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Loan analysis</t>
        </is>
      </c>
      <c r="B475" t="inlineStr">
        <is>
          <t>B44</t>
        </is>
      </c>
      <c r="C475" t="n">
        <v>44</v>
      </c>
      <c r="D475" t="n">
        <v>2</v>
      </c>
      <c r="E475" t="inlineStr">
        <is>
          <t>Output</t>
        </is>
      </c>
      <c r="F475" t="inlineStr">
        <is>
          <t>'=IFERROR(MAX((ROW()-ROW(Data[[#Headers],[RATE]]))*0.0025+0.0175,0.0025), "")</t>
        </is>
      </c>
      <c r="G475" t="n">
        <v>0.105</v>
      </c>
      <c r="H475" t="inlineStr"/>
      <c r="I475" t="inlineStr">
        <is>
          <t>0.00%</t>
        </is>
      </c>
      <c r="J475" t="b">
        <v>0</v>
      </c>
      <c r="K475" t="b">
        <v>0</v>
      </c>
      <c r="L475" t="n">
        <v>11</v>
      </c>
      <c r="M475" t="inlineStr">
        <is>
          <t>Values must be of type &lt;class 'str'&gt;</t>
        </is>
      </c>
      <c r="N475" t="inlineStr">
        <is>
          <t>00000000</t>
        </is>
      </c>
      <c r="O475" t="inlineStr">
        <is>
          <t>center</t>
        </is>
      </c>
      <c r="P475" t="inlineStr">
        <is>
          <t>center</t>
        </is>
      </c>
      <c r="R475" t="b">
        <v>1</v>
      </c>
      <c r="S475" t="inlineStr">
        <is>
          <t>G000001</t>
        </is>
      </c>
      <c r="T475" t="inlineStr">
        <is>
          <t>Vertical</t>
        </is>
      </c>
      <c r="U475" t="n">
        <v>57</v>
      </c>
      <c r="V475" t="b">
        <v>1</v>
      </c>
      <c r="W475" t="inlineStr">
        <is>
          <t>Loan analysis!B10:B66</t>
        </is>
      </c>
      <c r="X475">
        <f>IFERROR(MAX((ROW()-ROW(Data[[#Headers],[RATE]]))*0.0025+0.0175,0.0025), "")</f>
        <v/>
      </c>
    </row>
    <row r="476">
      <c r="A476" t="inlineStr">
        <is>
          <t>Loan analysis</t>
        </is>
      </c>
      <c r="B476" t="inlineStr">
        <is>
          <t>C44</t>
        </is>
      </c>
      <c r="C476" t="n">
        <v>44</v>
      </c>
      <c r="D476" t="n">
        <v>3</v>
      </c>
      <c r="E476" t="inlineStr">
        <is>
          <t>Output</t>
        </is>
      </c>
      <c r="F476" t="inlineStr">
        <is>
          <t>'=IFERROR(PMT(INDEX(Data[],ROW()-ROW(Data[[#Headers],[3]]),1)/12,Data[[#Headers],[3]]*12,-LoanAmount,0,IF(PaymentsDue="End of Period",0,1)), "")</t>
        </is>
      </c>
      <c r="G476" t="n">
        <v>322.2051400712459</v>
      </c>
      <c r="H476" t="inlineStr"/>
      <c r="I476" t="inlineStr">
        <is>
          <t>"$"#,##0.00_);[Red]\("$"#,##0.00\)</t>
        </is>
      </c>
      <c r="J476" t="b">
        <v>0</v>
      </c>
      <c r="K476" t="b">
        <v>0</v>
      </c>
      <c r="L476" t="n">
        <v>11</v>
      </c>
      <c r="M476" t="inlineStr">
        <is>
          <t>Values must be of type &lt;class 'str'&gt;</t>
        </is>
      </c>
      <c r="N476" t="inlineStr">
        <is>
          <t>00000000</t>
        </is>
      </c>
      <c r="O476" t="inlineStr">
        <is>
          <t>center</t>
        </is>
      </c>
      <c r="P476" t="inlineStr">
        <is>
          <t>center</t>
        </is>
      </c>
      <c r="R476" t="b">
        <v>1</v>
      </c>
      <c r="S476" t="inlineStr">
        <is>
          <t>G000002</t>
        </is>
      </c>
      <c r="T476" t="inlineStr">
        <is>
          <t>Vertical</t>
        </is>
      </c>
      <c r="U476" t="n">
        <v>57</v>
      </c>
      <c r="V476" t="b">
        <v>1</v>
      </c>
      <c r="W476" t="inlineStr">
        <is>
          <t>Loan analysis!C10:C66</t>
        </is>
      </c>
      <c r="X476">
        <f>IFERROR(PMT(INDEX(Data[],ROW()-ROW(Data[[#Headers],[3]]),1)/12,Data[[#Headers],[3]]*12,-LoanAmount,0,IF(PaymentsDue="End of Period",0,1)), "")</f>
        <v/>
      </c>
    </row>
    <row r="477">
      <c r="A477" t="inlineStr">
        <is>
          <t>Loan analysis</t>
        </is>
      </c>
      <c r="B477" t="inlineStr">
        <is>
          <t>D44</t>
        </is>
      </c>
      <c r="C477" t="n">
        <v>44</v>
      </c>
      <c r="D477" t="n">
        <v>4</v>
      </c>
      <c r="E477" t="inlineStr">
        <is>
          <t>Output</t>
        </is>
      </c>
      <c r="F477" t="inlineStr">
        <is>
          <t>'=IFERROR(PMT(INDEX(Data[],ROW()-ROW(Data[[#Headers],[5]]),1)/12,Data[[#Headers],[5]]*12,-LoanAmount,0,IF(PaymentsDue="End of Period",0,1)), "")</t>
        </is>
      </c>
      <c r="G477" t="n">
        <v>213.0746010222301</v>
      </c>
      <c r="H477" t="inlineStr"/>
      <c r="I477" t="inlineStr">
        <is>
          <t>"$"#,##0.00_);[Red]\("$"#,##0.00\)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00000000</t>
        </is>
      </c>
      <c r="O477" t="inlineStr">
        <is>
          <t>center</t>
        </is>
      </c>
      <c r="P477" t="inlineStr">
        <is>
          <t>center</t>
        </is>
      </c>
      <c r="R477" t="b">
        <v>1</v>
      </c>
      <c r="S477" t="inlineStr">
        <is>
          <t>G000003</t>
        </is>
      </c>
      <c r="T477" t="inlineStr">
        <is>
          <t>Vertical</t>
        </is>
      </c>
      <c r="U477" t="n">
        <v>57</v>
      </c>
      <c r="V477" t="b">
        <v>1</v>
      </c>
      <c r="W477" t="inlineStr">
        <is>
          <t>Loan analysis!D10:D66</t>
        </is>
      </c>
      <c r="X477">
        <f>IFERROR(PMT(INDEX(Data[],ROW()-ROW(Data[[#Headers],[5]]),1)/12,Data[[#Headers],[5]]*12,-LoanAmount,0,IF(PaymentsDue="End of Period",0,1)), "")</f>
        <v/>
      </c>
    </row>
    <row r="478">
      <c r="A478" t="inlineStr">
        <is>
          <t>Loan analysis</t>
        </is>
      </c>
      <c r="B478" t="inlineStr">
        <is>
          <t>E44</t>
        </is>
      </c>
      <c r="C478" t="n">
        <v>44</v>
      </c>
      <c r="D478" t="n">
        <v>5</v>
      </c>
      <c r="E478" t="inlineStr">
        <is>
          <t>Output</t>
        </is>
      </c>
      <c r="F478" t="inlineStr">
        <is>
          <t>'=IFERROR(PMT(INDEX(Data[],ROW()-ROW(Data[[#Headers],[10]]),1)/12,Data[[#Headers],[10]]*12,-LoanAmount,0,IF(PaymentsDue="End of Period",0,1)), "")</t>
        </is>
      </c>
      <c r="G478" t="n">
        <v>133.7645569026488</v>
      </c>
      <c r="H478" t="inlineStr"/>
      <c r="I478" t="inlineStr">
        <is>
          <t>"$"#,##0.00_);[Red]\("$"#,##0.00\)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00000000</t>
        </is>
      </c>
      <c r="O478" t="inlineStr">
        <is>
          <t>center</t>
        </is>
      </c>
      <c r="P478" t="inlineStr">
        <is>
          <t>center</t>
        </is>
      </c>
      <c r="R478" t="b">
        <v>1</v>
      </c>
      <c r="S478" t="inlineStr">
        <is>
          <t>G000004</t>
        </is>
      </c>
      <c r="T478" t="inlineStr">
        <is>
          <t>Vertical</t>
        </is>
      </c>
      <c r="U478" t="n">
        <v>57</v>
      </c>
      <c r="V478" t="b">
        <v>1</v>
      </c>
      <c r="W478" t="inlineStr">
        <is>
          <t>Loan analysis!E10:E66</t>
        </is>
      </c>
      <c r="X478">
        <f>IFERROR(PMT(INDEX(Data[],ROW()-ROW(Data[[#Headers],[10]]),1)/12,Data[[#Headers],[10]]*12,-LoanAmount,0,IF(PaymentsDue="End of Period",0,1)), "")</f>
        <v/>
      </c>
    </row>
    <row r="479">
      <c r="A479" t="inlineStr">
        <is>
          <t>Loan analysis</t>
        </is>
      </c>
      <c r="B479" t="inlineStr">
        <is>
          <t>F44</t>
        </is>
      </c>
      <c r="C479" t="n">
        <v>44</v>
      </c>
      <c r="D479" t="n">
        <v>6</v>
      </c>
      <c r="E479" t="inlineStr">
        <is>
          <t>Output</t>
        </is>
      </c>
      <c r="F479" t="inlineStr">
        <is>
          <t>'=IFERROR(PMT(INDEX(Data[],ROW()-ROW(Data[[#Headers],[12]]),1)/12,Data[[#Headers],[12]]*12,-LoanAmount,0,IF(PaymentsDue="End of Period",0,1)), "")</t>
        </is>
      </c>
      <c r="G479" t="n">
        <v>121.3522363655342</v>
      </c>
      <c r="H479" t="inlineStr"/>
      <c r="I479" t="inlineStr">
        <is>
          <t>"$"#,##0.00_);[Red]\("$"#,##0.00\)</t>
        </is>
      </c>
      <c r="J479" t="b">
        <v>0</v>
      </c>
      <c r="K479" t="b">
        <v>0</v>
      </c>
      <c r="L479" t="n">
        <v>11</v>
      </c>
      <c r="M479" t="inlineStr">
        <is>
          <t>Values must be of type &lt;class 'str'&gt;</t>
        </is>
      </c>
      <c r="N479" t="inlineStr">
        <is>
          <t>00000000</t>
        </is>
      </c>
      <c r="O479" t="inlineStr">
        <is>
          <t>center</t>
        </is>
      </c>
      <c r="P479" t="inlineStr">
        <is>
          <t>center</t>
        </is>
      </c>
      <c r="R479" t="b">
        <v>1</v>
      </c>
      <c r="S479" t="inlineStr">
        <is>
          <t>G000005</t>
        </is>
      </c>
      <c r="T479" t="inlineStr">
        <is>
          <t>Vertical</t>
        </is>
      </c>
      <c r="U479" t="n">
        <v>57</v>
      </c>
      <c r="V479" t="b">
        <v>1</v>
      </c>
      <c r="W479" t="inlineStr">
        <is>
          <t>Loan analysis!F10:F66</t>
        </is>
      </c>
      <c r="X479">
        <f>IFERROR(PMT(INDEX(Data[],ROW()-ROW(Data[[#Headers],[12]]),1)/12,Data[[#Headers],[12]]*12,-LoanAmount,0,IF(PaymentsDue="End of Period",0,1)), "")</f>
        <v/>
      </c>
    </row>
    <row r="480">
      <c r="A480" t="inlineStr">
        <is>
          <t>Loan analysis</t>
        </is>
      </c>
      <c r="B480" t="inlineStr">
        <is>
          <t>G44</t>
        </is>
      </c>
      <c r="C480" t="n">
        <v>44</v>
      </c>
      <c r="D480" t="n">
        <v>7</v>
      </c>
      <c r="E480" t="inlineStr">
        <is>
          <t>Output</t>
        </is>
      </c>
      <c r="F480" t="inlineStr">
        <is>
          <t>'=IFERROR(PMT(INDEX(Data[],ROW()-ROW(Data[[#Headers],[15]]),1)/12,Data[[#Headers],[15]]*12,-LoanAmount,0,IF(PaymentsDue="End of Period",0,1)), "")</t>
        </is>
      </c>
      <c r="G480" t="n">
        <v>109.5810581112436</v>
      </c>
      <c r="H480" t="inlineStr"/>
      <c r="I480" t="inlineStr">
        <is>
          <t>"$"#,##0.00_);[Red]\("$"#,##0.00\)</t>
        </is>
      </c>
      <c r="J480" t="b">
        <v>0</v>
      </c>
      <c r="K480" t="b">
        <v>0</v>
      </c>
      <c r="L480" t="n">
        <v>11</v>
      </c>
      <c r="M480" t="inlineStr">
        <is>
          <t>Values must be of type &lt;class 'str'&gt;</t>
        </is>
      </c>
      <c r="N480" t="inlineStr">
        <is>
          <t>00000000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inlineStr">
        <is>
          <t>G000006</t>
        </is>
      </c>
      <c r="T480" t="inlineStr">
        <is>
          <t>Vertical</t>
        </is>
      </c>
      <c r="U480" t="n">
        <v>57</v>
      </c>
      <c r="V480" t="b">
        <v>1</v>
      </c>
      <c r="W480" t="inlineStr">
        <is>
          <t>Loan analysis!G10:G66</t>
        </is>
      </c>
      <c r="X480">
        <f>IFERROR(PMT(INDEX(Data[],ROW()-ROW(Data[[#Headers],[15]]),1)/12,Data[[#Headers],[15]]*12,-LoanAmount,0,IF(PaymentsDue="End of Period",0,1)), "")</f>
        <v/>
      </c>
    </row>
    <row r="481">
      <c r="A481" t="inlineStr">
        <is>
          <t>Loan analysis</t>
        </is>
      </c>
      <c r="B481" t="inlineStr">
        <is>
          <t>H44</t>
        </is>
      </c>
      <c r="C481" t="n">
        <v>44</v>
      </c>
      <c r="D481" t="n">
        <v>8</v>
      </c>
      <c r="E481" t="inlineStr">
        <is>
          <t>Output</t>
        </is>
      </c>
      <c r="F481" t="inlineStr">
        <is>
          <t>'=IFERROR(PMT(INDEX(Data[],ROW()-ROW(Data[[#Headers],[20]]),1)/12,Data[[#Headers],[20]]*12,-LoanAmount,0,IF(PaymentsDue="End of Period",0,1)), "")</t>
        </is>
      </c>
      <c r="G481" t="n">
        <v>98.97198383836383</v>
      </c>
      <c r="H481" t="inlineStr"/>
      <c r="I481" t="inlineStr">
        <is>
          <t>"$"#,##0.00_);[Red]\("$"#,##0.00\)</t>
        </is>
      </c>
      <c r="J481" t="b">
        <v>0</v>
      </c>
      <c r="K481" t="b">
        <v>0</v>
      </c>
      <c r="L481" t="n">
        <v>11</v>
      </c>
      <c r="M481" t="inlineStr">
        <is>
          <t>Values must be of type &lt;class 'str'&gt;</t>
        </is>
      </c>
      <c r="N481" t="inlineStr">
        <is>
          <t>00000000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inlineStr">
        <is>
          <t>G000007</t>
        </is>
      </c>
      <c r="T481" t="inlineStr">
        <is>
          <t>Vertical</t>
        </is>
      </c>
      <c r="U481" t="n">
        <v>57</v>
      </c>
      <c r="V481" t="b">
        <v>1</v>
      </c>
      <c r="W481" t="inlineStr">
        <is>
          <t>Loan analysis!H10:H66</t>
        </is>
      </c>
      <c r="X481">
        <f>IFERROR(PMT(INDEX(Data[],ROW()-ROW(Data[[#Headers],[20]]),1)/12,Data[[#Headers],[20]]*12,-LoanAmount,0,IF(PaymentsDue="End of Period",0,1)), "")</f>
        <v/>
      </c>
    </row>
    <row r="482">
      <c r="A482" t="inlineStr">
        <is>
          <t>Loan analysis</t>
        </is>
      </c>
      <c r="B482" t="inlineStr">
        <is>
          <t>I44</t>
        </is>
      </c>
      <c r="C482" t="n">
        <v>44</v>
      </c>
      <c r="D482" t="n">
        <v>9</v>
      </c>
      <c r="E482" t="inlineStr">
        <is>
          <t>Output</t>
        </is>
      </c>
      <c r="F482" t="inlineStr">
        <is>
          <t>'=IFERROR(PMT(INDEX(Data[],ROW()-ROW(Data[[#Headers],[25]]),1)/12,Data[[#Headers],[25]]*12,-LoanAmount,0,IF(PaymentsDue="End of Period",0,1)), "")</t>
        </is>
      </c>
      <c r="G482" t="n">
        <v>93.59917771048471</v>
      </c>
      <c r="H482" t="inlineStr"/>
      <c r="I482" t="inlineStr">
        <is>
          <t>"$"#,##0.00_);[Red]\("$"#,##0.00\)</t>
        </is>
      </c>
      <c r="J482" t="b">
        <v>0</v>
      </c>
      <c r="K482" t="b">
        <v>0</v>
      </c>
      <c r="L482" t="n">
        <v>11</v>
      </c>
      <c r="M482" t="inlineStr">
        <is>
          <t>Values must be of type &lt;class 'str'&gt;</t>
        </is>
      </c>
      <c r="N482" t="inlineStr">
        <is>
          <t>00000000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inlineStr">
        <is>
          <t>G000008</t>
        </is>
      </c>
      <c r="T482" t="inlineStr">
        <is>
          <t>Vertical</t>
        </is>
      </c>
      <c r="U482" t="n">
        <v>57</v>
      </c>
      <c r="V482" t="b">
        <v>1</v>
      </c>
      <c r="W482" t="inlineStr">
        <is>
          <t>Loan analysis!I10:I66</t>
        </is>
      </c>
      <c r="X482">
        <f>IFERROR(PMT(INDEX(Data[],ROW()-ROW(Data[[#Headers],[25]]),1)/12,Data[[#Headers],[25]]*12,-LoanAmount,0,IF(PaymentsDue="End of Period",0,1)), "")</f>
        <v/>
      </c>
    </row>
    <row r="483">
      <c r="A483" t="inlineStr">
        <is>
          <t>Loan analysis</t>
        </is>
      </c>
      <c r="B483" t="inlineStr">
        <is>
          <t>J44</t>
        </is>
      </c>
      <c r="C483" t="n">
        <v>44</v>
      </c>
      <c r="D483" t="n">
        <v>10</v>
      </c>
      <c r="E483" t="inlineStr">
        <is>
          <t>Output</t>
        </is>
      </c>
      <c r="F483" t="inlineStr">
        <is>
          <t>'=IFERROR(PMT(INDEX(Data[],ROW()-ROW(Data[[#Headers],[30]]),1)/12,Data[[#Headers],[30]]*12,-LoanAmount,0,IF(PaymentsDue="End of Period",0,1)), "")</t>
        </is>
      </c>
      <c r="G483" t="n">
        <v>90.68047529051513</v>
      </c>
      <c r="H483" t="inlineStr"/>
      <c r="I483" t="inlineStr">
        <is>
          <t>"$"#,##0.00_);[Red]\("$"#,##0.00\)</t>
        </is>
      </c>
      <c r="J483" t="b">
        <v>0</v>
      </c>
      <c r="K483" t="b">
        <v>0</v>
      </c>
      <c r="L483" t="n">
        <v>11</v>
      </c>
      <c r="M483" t="inlineStr">
        <is>
          <t>Values must be of type &lt;class 'str'&gt;</t>
        </is>
      </c>
      <c r="N483" t="inlineStr">
        <is>
          <t>00000000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inlineStr">
        <is>
          <t>G000009</t>
        </is>
      </c>
      <c r="T483" t="inlineStr">
        <is>
          <t>Vertical</t>
        </is>
      </c>
      <c r="U483" t="n">
        <v>57</v>
      </c>
      <c r="V483" t="b">
        <v>1</v>
      </c>
      <c r="W483" t="inlineStr">
        <is>
          <t>Loan analysis!J10:J66</t>
        </is>
      </c>
      <c r="X483">
        <f>IFERROR(PMT(INDEX(Data[],ROW()-ROW(Data[[#Headers],[30]]),1)/12,Data[[#Headers],[30]]*12,-LoanAmount,0,IF(PaymentsDue="End of Period",0,1)), "")</f>
        <v/>
      </c>
    </row>
    <row r="484">
      <c r="A484" t="inlineStr">
        <is>
          <t>Loan analysis</t>
        </is>
      </c>
      <c r="B484" t="inlineStr">
        <is>
          <t>K44</t>
        </is>
      </c>
      <c r="C484" t="n">
        <v>44</v>
      </c>
      <c r="D484" t="n">
        <v>11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11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n">
        <v/>
      </c>
      <c r="P484" t="n">
        <v/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Loan analysis</t>
        </is>
      </c>
      <c r="B485" t="inlineStr">
        <is>
          <t>A45</t>
        </is>
      </c>
      <c r="C485" t="n">
        <v>45</v>
      </c>
      <c r="D485" t="n">
        <v>1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11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n">
        <v/>
      </c>
      <c r="P485" t="n">
        <v/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Loan analysis</t>
        </is>
      </c>
      <c r="B486" t="inlineStr">
        <is>
          <t>B45</t>
        </is>
      </c>
      <c r="C486" t="n">
        <v>45</v>
      </c>
      <c r="D486" t="n">
        <v>2</v>
      </c>
      <c r="E486" t="inlineStr">
        <is>
          <t>Output</t>
        </is>
      </c>
      <c r="F486" t="inlineStr">
        <is>
          <t>'=IFERROR(MAX((ROW()-ROW(Data[[#Headers],[RATE]]))*0.0025+0.0175,0.0025), "")</t>
        </is>
      </c>
      <c r="G486" t="n">
        <v>0.1075</v>
      </c>
      <c r="H486" t="inlineStr"/>
      <c r="I486" t="inlineStr">
        <is>
          <t>0.00%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00000000</t>
        </is>
      </c>
      <c r="O486" t="inlineStr">
        <is>
          <t>center</t>
        </is>
      </c>
      <c r="P486" t="inlineStr">
        <is>
          <t>center</t>
        </is>
      </c>
      <c r="R486" t="b">
        <v>1</v>
      </c>
      <c r="S486" t="inlineStr">
        <is>
          <t>G000001</t>
        </is>
      </c>
      <c r="T486" t="inlineStr">
        <is>
          <t>Vertical</t>
        </is>
      </c>
      <c r="U486" t="n">
        <v>57</v>
      </c>
      <c r="V486" t="b">
        <v>1</v>
      </c>
      <c r="W486" t="inlineStr">
        <is>
          <t>Loan analysis!B10:B66</t>
        </is>
      </c>
      <c r="X486">
        <f>IFERROR(MAX((ROW()-ROW(Data[[#Headers],[RATE]]))*0.0025+0.0175,0.0025), "")</f>
        <v/>
      </c>
    </row>
    <row r="487">
      <c r="A487" t="inlineStr">
        <is>
          <t>Loan analysis</t>
        </is>
      </c>
      <c r="B487" t="inlineStr">
        <is>
          <t>C45</t>
        </is>
      </c>
      <c r="C487" t="n">
        <v>45</v>
      </c>
      <c r="D487" t="n">
        <v>3</v>
      </c>
      <c r="E487" t="inlineStr">
        <is>
          <t>Output</t>
        </is>
      </c>
      <c r="F487" t="inlineStr">
        <is>
          <t>'=IFERROR(PMT(INDEX(Data[],ROW()-ROW(Data[[#Headers],[3]]),1)/12,Data[[#Headers],[3]]*12,-LoanAmount,0,IF(PaymentsDue="End of Period",0,1)), "")</t>
        </is>
      </c>
      <c r="G487" t="n">
        <v>323.3082295806191</v>
      </c>
      <c r="H487" t="inlineStr"/>
      <c r="I487" t="inlineStr">
        <is>
          <t>"$"#,##0.00_);[Red]\("$"#,##0.00\)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00000000</t>
        </is>
      </c>
      <c r="O487" t="inlineStr">
        <is>
          <t>center</t>
        </is>
      </c>
      <c r="P487" t="inlineStr">
        <is>
          <t>center</t>
        </is>
      </c>
      <c r="R487" t="b">
        <v>1</v>
      </c>
      <c r="S487" t="inlineStr">
        <is>
          <t>G000002</t>
        </is>
      </c>
      <c r="T487" t="inlineStr">
        <is>
          <t>Vertical</t>
        </is>
      </c>
      <c r="U487" t="n">
        <v>57</v>
      </c>
      <c r="V487" t="b">
        <v>1</v>
      </c>
      <c r="W487" t="inlineStr">
        <is>
          <t>Loan analysis!C10:C66</t>
        </is>
      </c>
      <c r="X487">
        <f>IFERROR(PMT(INDEX(Data[],ROW()-ROW(Data[[#Headers],[3]]),1)/12,Data[[#Headers],[3]]*12,-LoanAmount,0,IF(PaymentsDue="End of Period",0,1)), "")</f>
        <v/>
      </c>
    </row>
    <row r="488">
      <c r="A488" t="inlineStr">
        <is>
          <t>Loan analysis</t>
        </is>
      </c>
      <c r="B488" t="inlineStr">
        <is>
          <t>D45</t>
        </is>
      </c>
      <c r="C488" t="n">
        <v>45</v>
      </c>
      <c r="D488" t="n">
        <v>4</v>
      </c>
      <c r="E488" t="inlineStr">
        <is>
          <t>Output</t>
        </is>
      </c>
      <c r="F488" t="inlineStr">
        <is>
          <t>'=IFERROR(PMT(INDEX(Data[],ROW()-ROW(Data[[#Headers],[5]]),1)/12,Data[[#Headers],[5]]*12,-LoanAmount,0,IF(PaymentsDue="End of Period",0,1)), "")</t>
        </is>
      </c>
      <c r="G488" t="n">
        <v>214.2601232104747</v>
      </c>
      <c r="H488" t="inlineStr"/>
      <c r="I488" t="inlineStr">
        <is>
          <t>"$"#,##0.00_);[Red]\("$"#,##0.00\)</t>
        </is>
      </c>
      <c r="J488" t="b">
        <v>0</v>
      </c>
      <c r="K488" t="b">
        <v>0</v>
      </c>
      <c r="L488" t="n">
        <v>11</v>
      </c>
      <c r="M488" t="inlineStr">
        <is>
          <t>Values must be of type &lt;class 'str'&gt;</t>
        </is>
      </c>
      <c r="N488" t="inlineStr">
        <is>
          <t>00000000</t>
        </is>
      </c>
      <c r="O488" t="inlineStr">
        <is>
          <t>center</t>
        </is>
      </c>
      <c r="P488" t="inlineStr">
        <is>
          <t>center</t>
        </is>
      </c>
      <c r="R488" t="b">
        <v>1</v>
      </c>
      <c r="S488" t="inlineStr">
        <is>
          <t>G000003</t>
        </is>
      </c>
      <c r="T488" t="inlineStr">
        <is>
          <t>Vertical</t>
        </is>
      </c>
      <c r="U488" t="n">
        <v>57</v>
      </c>
      <c r="V488" t="b">
        <v>1</v>
      </c>
      <c r="W488" t="inlineStr">
        <is>
          <t>Loan analysis!D10:D66</t>
        </is>
      </c>
      <c r="X488">
        <f>IFERROR(PMT(INDEX(Data[],ROW()-ROW(Data[[#Headers],[5]]),1)/12,Data[[#Headers],[5]]*12,-LoanAmount,0,IF(PaymentsDue="End of Period",0,1)), "")</f>
        <v/>
      </c>
    </row>
    <row r="489">
      <c r="A489" t="inlineStr">
        <is>
          <t>Loan analysis</t>
        </is>
      </c>
      <c r="B489" t="inlineStr">
        <is>
          <t>E45</t>
        </is>
      </c>
      <c r="C489" t="n">
        <v>45</v>
      </c>
      <c r="D489" t="n">
        <v>5</v>
      </c>
      <c r="E489" t="inlineStr">
        <is>
          <t>Output</t>
        </is>
      </c>
      <c r="F489" t="inlineStr">
        <is>
          <t>'=IFERROR(PMT(INDEX(Data[],ROW()-ROW(Data[[#Headers],[10]]),1)/12,Data[[#Headers],[10]]*12,-LoanAmount,0,IF(PaymentsDue="End of Period",0,1)), "")</t>
        </is>
      </c>
      <c r="G489" t="n">
        <v>135.1281574172083</v>
      </c>
      <c r="H489" t="inlineStr"/>
      <c r="I489" t="inlineStr">
        <is>
          <t>"$"#,##0.00_);[Red]\("$"#,##0.00\)</t>
        </is>
      </c>
      <c r="J489" t="b">
        <v>0</v>
      </c>
      <c r="K489" t="b">
        <v>0</v>
      </c>
      <c r="L489" t="n">
        <v>11</v>
      </c>
      <c r="M489" t="inlineStr">
        <is>
          <t>Values must be of type &lt;class 'str'&gt;</t>
        </is>
      </c>
      <c r="N489" t="inlineStr">
        <is>
          <t>00000000</t>
        </is>
      </c>
      <c r="O489" t="inlineStr">
        <is>
          <t>center</t>
        </is>
      </c>
      <c r="P489" t="inlineStr">
        <is>
          <t>center</t>
        </is>
      </c>
      <c r="R489" t="b">
        <v>1</v>
      </c>
      <c r="S489" t="inlineStr">
        <is>
          <t>G000004</t>
        </is>
      </c>
      <c r="T489" t="inlineStr">
        <is>
          <t>Vertical</t>
        </is>
      </c>
      <c r="U489" t="n">
        <v>57</v>
      </c>
      <c r="V489" t="b">
        <v>1</v>
      </c>
      <c r="W489" t="inlineStr">
        <is>
          <t>Loan analysis!E10:E66</t>
        </is>
      </c>
      <c r="X489">
        <f>IFERROR(PMT(INDEX(Data[],ROW()-ROW(Data[[#Headers],[10]]),1)/12,Data[[#Headers],[10]]*12,-LoanAmount,0,IF(PaymentsDue="End of Period",0,1)), "")</f>
        <v/>
      </c>
    </row>
    <row r="490">
      <c r="A490" t="inlineStr">
        <is>
          <t>Loan analysis</t>
        </is>
      </c>
      <c r="B490" t="inlineStr">
        <is>
          <t>F45</t>
        </is>
      </c>
      <c r="C490" t="n">
        <v>45</v>
      </c>
      <c r="D490" t="n">
        <v>6</v>
      </c>
      <c r="E490" t="inlineStr">
        <is>
          <t>Output</t>
        </is>
      </c>
      <c r="F490" t="inlineStr">
        <is>
          <t>'=IFERROR(PMT(INDEX(Data[],ROW()-ROW(Data[[#Headers],[12]]),1)/12,Data[[#Headers],[12]]*12,-LoanAmount,0,IF(PaymentsDue="End of Period",0,1)), "")</t>
        </is>
      </c>
      <c r="G490" t="n">
        <v>122.7805196534862</v>
      </c>
      <c r="H490" t="inlineStr"/>
      <c r="I490" t="inlineStr">
        <is>
          <t>"$"#,##0.00_);[Red]\("$"#,##0.00\)</t>
        </is>
      </c>
      <c r="J490" t="b">
        <v>0</v>
      </c>
      <c r="K490" t="b">
        <v>0</v>
      </c>
      <c r="L490" t="n">
        <v>11</v>
      </c>
      <c r="M490" t="inlineStr">
        <is>
          <t>Values must be of type &lt;class 'str'&gt;</t>
        </is>
      </c>
      <c r="N490" t="inlineStr">
        <is>
          <t>00000000</t>
        </is>
      </c>
      <c r="O490" t="inlineStr">
        <is>
          <t>center</t>
        </is>
      </c>
      <c r="P490" t="inlineStr">
        <is>
          <t>center</t>
        </is>
      </c>
      <c r="R490" t="b">
        <v>1</v>
      </c>
      <c r="S490" t="inlineStr">
        <is>
          <t>G000005</t>
        </is>
      </c>
      <c r="T490" t="inlineStr">
        <is>
          <t>Vertical</t>
        </is>
      </c>
      <c r="U490" t="n">
        <v>57</v>
      </c>
      <c r="V490" t="b">
        <v>1</v>
      </c>
      <c r="W490" t="inlineStr">
        <is>
          <t>Loan analysis!F10:F66</t>
        </is>
      </c>
      <c r="X490">
        <f>IFERROR(PMT(INDEX(Data[],ROW()-ROW(Data[[#Headers],[12]]),1)/12,Data[[#Headers],[12]]*12,-LoanAmount,0,IF(PaymentsDue="End of Period",0,1)), "")</f>
        <v/>
      </c>
    </row>
    <row r="491">
      <c r="A491" t="inlineStr">
        <is>
          <t>Loan analysis</t>
        </is>
      </c>
      <c r="B491" t="inlineStr">
        <is>
          <t>G45</t>
        </is>
      </c>
      <c r="C491" t="n">
        <v>45</v>
      </c>
      <c r="D491" t="n">
        <v>7</v>
      </c>
      <c r="E491" t="inlineStr">
        <is>
          <t>Output</t>
        </is>
      </c>
      <c r="F491" t="inlineStr">
        <is>
          <t>'=IFERROR(PMT(INDEX(Data[],ROW()-ROW(Data[[#Headers],[15]]),1)/12,Data[[#Headers],[15]]*12,-LoanAmount,0,IF(PaymentsDue="End of Period",0,1)), "")</t>
        </is>
      </c>
      <c r="G491" t="n">
        <v>111.0995317144517</v>
      </c>
      <c r="H491" t="inlineStr"/>
      <c r="I491" t="inlineStr">
        <is>
          <t>"$"#,##0.00_);[Red]\("$"#,##0.00\)</t>
        </is>
      </c>
      <c r="J491" t="b">
        <v>0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00000000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inlineStr">
        <is>
          <t>G000006</t>
        </is>
      </c>
      <c r="T491" t="inlineStr">
        <is>
          <t>Vertical</t>
        </is>
      </c>
      <c r="U491" t="n">
        <v>57</v>
      </c>
      <c r="V491" t="b">
        <v>1</v>
      </c>
      <c r="W491" t="inlineStr">
        <is>
          <t>Loan analysis!G10:G66</t>
        </is>
      </c>
      <c r="X491">
        <f>IFERROR(PMT(INDEX(Data[],ROW()-ROW(Data[[#Headers],[15]]),1)/12,Data[[#Headers],[15]]*12,-LoanAmount,0,IF(PaymentsDue="End of Period",0,1)), "")</f>
        <v/>
      </c>
    </row>
    <row r="492">
      <c r="A492" t="inlineStr">
        <is>
          <t>Loan analysis</t>
        </is>
      </c>
      <c r="B492" t="inlineStr">
        <is>
          <t>H45</t>
        </is>
      </c>
      <c r="C492" t="n">
        <v>45</v>
      </c>
      <c r="D492" t="n">
        <v>8</v>
      </c>
      <c r="E492" t="inlineStr">
        <is>
          <t>Output</t>
        </is>
      </c>
      <c r="F492" t="inlineStr">
        <is>
          <t>'=IFERROR(PMT(INDEX(Data[],ROW()-ROW(Data[[#Headers],[20]]),1)/12,Data[[#Headers],[20]]*12,-LoanAmount,0,IF(PaymentsDue="End of Period",0,1)), "")</t>
        </is>
      </c>
      <c r="G492" t="n">
        <v>100.6214944082773</v>
      </c>
      <c r="H492" t="inlineStr"/>
      <c r="I492" t="inlineStr">
        <is>
          <t>"$"#,##0.00_);[Red]\("$"#,##0.00\)</t>
        </is>
      </c>
      <c r="J492" t="b">
        <v>0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00000000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inlineStr">
        <is>
          <t>G000007</t>
        </is>
      </c>
      <c r="T492" t="inlineStr">
        <is>
          <t>Vertical</t>
        </is>
      </c>
      <c r="U492" t="n">
        <v>57</v>
      </c>
      <c r="V492" t="b">
        <v>1</v>
      </c>
      <c r="W492" t="inlineStr">
        <is>
          <t>Loan analysis!H10:H66</t>
        </is>
      </c>
      <c r="X492">
        <f>IFERROR(PMT(INDEX(Data[],ROW()-ROW(Data[[#Headers],[20]]),1)/12,Data[[#Headers],[20]]*12,-LoanAmount,0,IF(PaymentsDue="End of Period",0,1)), "")</f>
        <v/>
      </c>
    </row>
    <row r="493">
      <c r="A493" t="inlineStr">
        <is>
          <t>Loan analysis</t>
        </is>
      </c>
      <c r="B493" t="inlineStr">
        <is>
          <t>I45</t>
        </is>
      </c>
      <c r="C493" t="n">
        <v>45</v>
      </c>
      <c r="D493" t="n">
        <v>9</v>
      </c>
      <c r="E493" t="inlineStr">
        <is>
          <t>Output</t>
        </is>
      </c>
      <c r="F493" t="inlineStr">
        <is>
          <t>'=IFERROR(PMT(INDEX(Data[],ROW()-ROW(Data[[#Headers],[25]]),1)/12,Data[[#Headers],[25]]*12,-LoanAmount,0,IF(PaymentsDue="End of Period",0,1)), "")</t>
        </is>
      </c>
      <c r="G493" t="n">
        <v>95.35504993398706</v>
      </c>
      <c r="H493" t="inlineStr"/>
      <c r="I493" t="inlineStr">
        <is>
          <t>"$"#,##0.00_);[Red]\("$"#,##0.00\)</t>
        </is>
      </c>
      <c r="J493" t="b">
        <v>0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00000000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inlineStr">
        <is>
          <t>G000008</t>
        </is>
      </c>
      <c r="T493" t="inlineStr">
        <is>
          <t>Vertical</t>
        </is>
      </c>
      <c r="U493" t="n">
        <v>57</v>
      </c>
      <c r="V493" t="b">
        <v>1</v>
      </c>
      <c r="W493" t="inlineStr">
        <is>
          <t>Loan analysis!I10:I66</t>
        </is>
      </c>
      <c r="X493">
        <f>IFERROR(PMT(INDEX(Data[],ROW()-ROW(Data[[#Headers],[25]]),1)/12,Data[[#Headers],[25]]*12,-LoanAmount,0,IF(PaymentsDue="End of Period",0,1)), "")</f>
        <v/>
      </c>
    </row>
    <row r="494">
      <c r="A494" t="inlineStr">
        <is>
          <t>Loan analysis</t>
        </is>
      </c>
      <c r="B494" t="inlineStr">
        <is>
          <t>J45</t>
        </is>
      </c>
      <c r="C494" t="n">
        <v>45</v>
      </c>
      <c r="D494" t="n">
        <v>10</v>
      </c>
      <c r="E494" t="inlineStr">
        <is>
          <t>Output</t>
        </is>
      </c>
      <c r="F494" t="inlineStr">
        <is>
          <t>'=IFERROR(PMT(INDEX(Data[],ROW()-ROW(Data[[#Headers],[30]]),1)/12,Data[[#Headers],[30]]*12,-LoanAmount,0,IF(PaymentsDue="End of Period",0,1)), "")</t>
        </is>
      </c>
      <c r="G494" t="n">
        <v>92.51931739747884</v>
      </c>
      <c r="H494" t="inlineStr"/>
      <c r="I494" t="inlineStr">
        <is>
          <t>"$"#,##0.00_);[Red]\("$"#,##0.00\)</t>
        </is>
      </c>
      <c r="J494" t="b">
        <v>0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00000000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inlineStr">
        <is>
          <t>G000009</t>
        </is>
      </c>
      <c r="T494" t="inlineStr">
        <is>
          <t>Vertical</t>
        </is>
      </c>
      <c r="U494" t="n">
        <v>57</v>
      </c>
      <c r="V494" t="b">
        <v>1</v>
      </c>
      <c r="W494" t="inlineStr">
        <is>
          <t>Loan analysis!J10:J66</t>
        </is>
      </c>
      <c r="X494">
        <f>IFERROR(PMT(INDEX(Data[],ROW()-ROW(Data[[#Headers],[30]]),1)/12,Data[[#Headers],[30]]*12,-LoanAmount,0,IF(PaymentsDue="End of Period",0,1)), "")</f>
        <v/>
      </c>
    </row>
    <row r="495">
      <c r="A495" t="inlineStr">
        <is>
          <t>Loan analysis</t>
        </is>
      </c>
      <c r="B495" t="inlineStr">
        <is>
          <t>K45</t>
        </is>
      </c>
      <c r="C495" t="n">
        <v>45</v>
      </c>
      <c r="D495" t="n">
        <v>11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n">
        <v/>
      </c>
      <c r="P495" t="n">
        <v/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Loan analysis</t>
        </is>
      </c>
      <c r="B496" t="inlineStr">
        <is>
          <t>A46</t>
        </is>
      </c>
      <c r="C496" t="n">
        <v>46</v>
      </c>
      <c r="D496" t="n">
        <v>1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n">
        <v/>
      </c>
      <c r="P496" t="n">
        <v/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Loan analysis</t>
        </is>
      </c>
      <c r="B497" t="inlineStr">
        <is>
          <t>B46</t>
        </is>
      </c>
      <c r="C497" t="n">
        <v>46</v>
      </c>
      <c r="D497" t="n">
        <v>2</v>
      </c>
      <c r="E497" t="inlineStr">
        <is>
          <t>Output</t>
        </is>
      </c>
      <c r="F497" t="inlineStr">
        <is>
          <t>'=IFERROR(MAX((ROW()-ROW(Data[[#Headers],[RATE]]))*0.0025+0.0175,0.0025), "")</t>
        </is>
      </c>
      <c r="G497" t="n">
        <v>0.11</v>
      </c>
      <c r="H497" t="inlineStr"/>
      <c r="I497" t="inlineStr">
        <is>
          <t>0.00%</t>
        </is>
      </c>
      <c r="J497" t="b">
        <v>0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00000000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inlineStr">
        <is>
          <t>G000001</t>
        </is>
      </c>
      <c r="T497" t="inlineStr">
        <is>
          <t>Vertical</t>
        </is>
      </c>
      <c r="U497" t="n">
        <v>57</v>
      </c>
      <c r="V497" t="b">
        <v>1</v>
      </c>
      <c r="W497" t="inlineStr">
        <is>
          <t>Loan analysis!B10:B66</t>
        </is>
      </c>
      <c r="X497">
        <f>IFERROR(MAX((ROW()-ROW(Data[[#Headers],[RATE]]))*0.0025+0.0175,0.0025), "")</f>
        <v/>
      </c>
    </row>
    <row r="498">
      <c r="A498" t="inlineStr">
        <is>
          <t>Loan analysis</t>
        </is>
      </c>
      <c r="B498" t="inlineStr">
        <is>
          <t>C46</t>
        </is>
      </c>
      <c r="C498" t="n">
        <v>46</v>
      </c>
      <c r="D498" t="n">
        <v>3</v>
      </c>
      <c r="E498" t="inlineStr">
        <is>
          <t>Output</t>
        </is>
      </c>
      <c r="F498" t="inlineStr">
        <is>
          <t>'=IFERROR(PMT(INDEX(Data[],ROW()-ROW(Data[[#Headers],[3]]),1)/12,Data[[#Headers],[3]]*12,-LoanAmount,0,IF(PaymentsDue="End of Period",0,1)), "")</t>
        </is>
      </c>
      <c r="G498" t="n">
        <v>324.413381836519</v>
      </c>
      <c r="H498" t="inlineStr"/>
      <c r="I498" t="inlineStr">
        <is>
          <t>"$"#,##0.00_);[Red]\("$"#,##0.00\)</t>
        </is>
      </c>
      <c r="J498" t="b">
        <v>0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00000000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inlineStr">
        <is>
          <t>G000002</t>
        </is>
      </c>
      <c r="T498" t="inlineStr">
        <is>
          <t>Vertical</t>
        </is>
      </c>
      <c r="U498" t="n">
        <v>57</v>
      </c>
      <c r="V498" t="b">
        <v>1</v>
      </c>
      <c r="W498" t="inlineStr">
        <is>
          <t>Loan analysis!C10:C66</t>
        </is>
      </c>
      <c r="X498">
        <f>IFERROR(PMT(INDEX(Data[],ROW()-ROW(Data[[#Headers],[3]]),1)/12,Data[[#Headers],[3]]*12,-LoanAmount,0,IF(PaymentsDue="End of Period",0,1)), "")</f>
        <v/>
      </c>
    </row>
    <row r="499">
      <c r="A499" t="inlineStr">
        <is>
          <t>Loan analysis</t>
        </is>
      </c>
      <c r="B499" t="inlineStr">
        <is>
          <t>D46</t>
        </is>
      </c>
      <c r="C499" t="n">
        <v>46</v>
      </c>
      <c r="D499" t="n">
        <v>4</v>
      </c>
      <c r="E499" t="inlineStr">
        <is>
          <t>Output</t>
        </is>
      </c>
      <c r="F499" t="inlineStr">
        <is>
          <t>'=IFERROR(PMT(INDEX(Data[],ROW()-ROW(Data[[#Headers],[5]]),1)/12,Data[[#Headers],[5]]*12,-LoanAmount,0,IF(PaymentsDue="End of Period",0,1)), "")</t>
        </is>
      </c>
      <c r="G499" t="n">
        <v>215.4492790022458</v>
      </c>
      <c r="H499" t="inlineStr"/>
      <c r="I499" t="inlineStr">
        <is>
          <t>"$"#,##0.00_);[Red]\("$"#,##0.00\)</t>
        </is>
      </c>
      <c r="J499" t="b">
        <v>0</v>
      </c>
      <c r="K499" t="b">
        <v>0</v>
      </c>
      <c r="L499" t="n">
        <v>11</v>
      </c>
      <c r="M499" t="inlineStr">
        <is>
          <t>Values must be of type &lt;class 'str'&gt;</t>
        </is>
      </c>
      <c r="N499" t="inlineStr">
        <is>
          <t>00000000</t>
        </is>
      </c>
      <c r="O499" t="inlineStr">
        <is>
          <t>center</t>
        </is>
      </c>
      <c r="P499" t="inlineStr">
        <is>
          <t>center</t>
        </is>
      </c>
      <c r="R499" t="b">
        <v>1</v>
      </c>
      <c r="S499" t="inlineStr">
        <is>
          <t>G000003</t>
        </is>
      </c>
      <c r="T499" t="inlineStr">
        <is>
          <t>Vertical</t>
        </is>
      </c>
      <c r="U499" t="n">
        <v>57</v>
      </c>
      <c r="V499" t="b">
        <v>1</v>
      </c>
      <c r="W499" t="inlineStr">
        <is>
          <t>Loan analysis!D10:D66</t>
        </is>
      </c>
      <c r="X499">
        <f>IFERROR(PMT(INDEX(Data[],ROW()-ROW(Data[[#Headers],[5]]),1)/12,Data[[#Headers],[5]]*12,-LoanAmount,0,IF(PaymentsDue="End of Period",0,1)), "")</f>
        <v/>
      </c>
    </row>
    <row r="500">
      <c r="A500" t="inlineStr">
        <is>
          <t>Loan analysis</t>
        </is>
      </c>
      <c r="B500" t="inlineStr">
        <is>
          <t>E46</t>
        </is>
      </c>
      <c r="C500" t="n">
        <v>46</v>
      </c>
      <c r="D500" t="n">
        <v>5</v>
      </c>
      <c r="E500" t="inlineStr">
        <is>
          <t>Output</t>
        </is>
      </c>
      <c r="F500" t="inlineStr">
        <is>
          <t>'=IFERROR(PMT(INDEX(Data[],ROW()-ROW(Data[[#Headers],[10]]),1)/12,Data[[#Headers],[10]]*12,-LoanAmount,0,IF(PaymentsDue="End of Period",0,1)), "")</t>
        </is>
      </c>
      <c r="G500" t="n">
        <v>136.4987725436061</v>
      </c>
      <c r="H500" t="inlineStr"/>
      <c r="I500" t="inlineStr">
        <is>
          <t>"$"#,##0.00_);[Red]\("$"#,##0.00\)</t>
        </is>
      </c>
      <c r="J500" t="b">
        <v>0</v>
      </c>
      <c r="K500" t="b">
        <v>0</v>
      </c>
      <c r="L500" t="n">
        <v>11</v>
      </c>
      <c r="M500" t="inlineStr">
        <is>
          <t>Values must be of type &lt;class 'str'&gt;</t>
        </is>
      </c>
      <c r="N500" t="inlineStr">
        <is>
          <t>00000000</t>
        </is>
      </c>
      <c r="O500" t="inlineStr">
        <is>
          <t>center</t>
        </is>
      </c>
      <c r="P500" t="inlineStr">
        <is>
          <t>center</t>
        </is>
      </c>
      <c r="R500" t="b">
        <v>1</v>
      </c>
      <c r="S500" t="inlineStr">
        <is>
          <t>G000004</t>
        </is>
      </c>
      <c r="T500" t="inlineStr">
        <is>
          <t>Vertical</t>
        </is>
      </c>
      <c r="U500" t="n">
        <v>57</v>
      </c>
      <c r="V500" t="b">
        <v>1</v>
      </c>
      <c r="W500" t="inlineStr">
        <is>
          <t>Loan analysis!E10:E66</t>
        </is>
      </c>
      <c r="X500">
        <f>IFERROR(PMT(INDEX(Data[],ROW()-ROW(Data[[#Headers],[10]]),1)/12,Data[[#Headers],[10]]*12,-LoanAmount,0,IF(PaymentsDue="End of Period",0,1)), "")</f>
        <v/>
      </c>
    </row>
    <row r="501">
      <c r="A501" t="inlineStr">
        <is>
          <t>Loan analysis</t>
        </is>
      </c>
      <c r="B501" t="inlineStr">
        <is>
          <t>F46</t>
        </is>
      </c>
      <c r="C501" t="n">
        <v>46</v>
      </c>
      <c r="D501" t="n">
        <v>6</v>
      </c>
      <c r="E501" t="inlineStr">
        <is>
          <t>Output</t>
        </is>
      </c>
      <c r="F501" t="inlineStr">
        <is>
          <t>'=IFERROR(PMT(INDEX(Data[],ROW()-ROW(Data[[#Headers],[12]]),1)/12,Data[[#Headers],[12]]*12,-LoanAmount,0,IF(PaymentsDue="End of Period",0,1)), "")</t>
        </is>
      </c>
      <c r="G501" t="n">
        <v>124.2168708522664</v>
      </c>
      <c r="H501" t="inlineStr"/>
      <c r="I501" t="inlineStr">
        <is>
          <t>"$"#,##0.00_);[Red]\("$"#,##0.00\)</t>
        </is>
      </c>
      <c r="J501" t="b">
        <v>0</v>
      </c>
      <c r="K501" t="b">
        <v>0</v>
      </c>
      <c r="L501" t="n">
        <v>11</v>
      </c>
      <c r="M501" t="inlineStr">
        <is>
          <t>Values must be of type &lt;class 'str'&gt;</t>
        </is>
      </c>
      <c r="N501" t="inlineStr">
        <is>
          <t>00000000</t>
        </is>
      </c>
      <c r="O501" t="inlineStr">
        <is>
          <t>center</t>
        </is>
      </c>
      <c r="P501" t="inlineStr">
        <is>
          <t>center</t>
        </is>
      </c>
      <c r="R501" t="b">
        <v>1</v>
      </c>
      <c r="S501" t="inlineStr">
        <is>
          <t>G000005</t>
        </is>
      </c>
      <c r="T501" t="inlineStr">
        <is>
          <t>Vertical</t>
        </is>
      </c>
      <c r="U501" t="n">
        <v>57</v>
      </c>
      <c r="V501" t="b">
        <v>1</v>
      </c>
      <c r="W501" t="inlineStr">
        <is>
          <t>Loan analysis!F10:F66</t>
        </is>
      </c>
      <c r="X501">
        <f>IFERROR(PMT(INDEX(Data[],ROW()-ROW(Data[[#Headers],[12]]),1)/12,Data[[#Headers],[12]]*12,-LoanAmount,0,IF(PaymentsDue="End of Period",0,1)), "")</f>
        <v/>
      </c>
    </row>
    <row r="502">
      <c r="A502" t="inlineStr">
        <is>
          <t>Loan analysis</t>
        </is>
      </c>
      <c r="B502" t="inlineStr">
        <is>
          <t>G46</t>
        </is>
      </c>
      <c r="C502" t="n">
        <v>46</v>
      </c>
      <c r="D502" t="n">
        <v>7</v>
      </c>
      <c r="E502" t="inlineStr">
        <is>
          <t>Output</t>
        </is>
      </c>
      <c r="F502" t="inlineStr">
        <is>
          <t>'=IFERROR(PMT(INDEX(Data[],ROW()-ROW(Data[[#Headers],[15]]),1)/12,Data[[#Headers],[15]]*12,-LoanAmount,0,IF(PaymentsDue="End of Period",0,1)), "")</t>
        </is>
      </c>
      <c r="G502" t="n">
        <v>112.6272767520484</v>
      </c>
      <c r="H502" t="inlineStr"/>
      <c r="I502" t="inlineStr">
        <is>
          <t>"$"#,##0.00_);[Red]\("$"#,##0.00\)</t>
        </is>
      </c>
      <c r="J502" t="b">
        <v>0</v>
      </c>
      <c r="K502" t="b">
        <v>0</v>
      </c>
      <c r="L502" t="n">
        <v>11</v>
      </c>
      <c r="M502" t="inlineStr">
        <is>
          <t>Values must be of type &lt;class 'str'&gt;</t>
        </is>
      </c>
      <c r="N502" t="inlineStr">
        <is>
          <t>00000000</t>
        </is>
      </c>
      <c r="O502" t="inlineStr">
        <is>
          <t>center</t>
        </is>
      </c>
      <c r="P502" t="inlineStr">
        <is>
          <t>center</t>
        </is>
      </c>
      <c r="R502" t="b">
        <v>1</v>
      </c>
      <c r="S502" t="inlineStr">
        <is>
          <t>G000006</t>
        </is>
      </c>
      <c r="T502" t="inlineStr">
        <is>
          <t>Vertical</t>
        </is>
      </c>
      <c r="U502" t="n">
        <v>57</v>
      </c>
      <c r="V502" t="b">
        <v>1</v>
      </c>
      <c r="W502" t="inlineStr">
        <is>
          <t>Loan analysis!G10:G66</t>
        </is>
      </c>
      <c r="X502">
        <f>IFERROR(PMT(INDEX(Data[],ROW()-ROW(Data[[#Headers],[15]]),1)/12,Data[[#Headers],[15]]*12,-LoanAmount,0,IF(PaymentsDue="End of Period",0,1)), "")</f>
        <v/>
      </c>
    </row>
    <row r="503">
      <c r="A503" t="inlineStr">
        <is>
          <t>Loan analysis</t>
        </is>
      </c>
      <c r="B503" t="inlineStr">
        <is>
          <t>H46</t>
        </is>
      </c>
      <c r="C503" t="n">
        <v>46</v>
      </c>
      <c r="D503" t="n">
        <v>8</v>
      </c>
      <c r="E503" t="inlineStr">
        <is>
          <t>Output</t>
        </is>
      </c>
      <c r="F503" t="inlineStr">
        <is>
          <t>'=IFERROR(PMT(INDEX(Data[],ROW()-ROW(Data[[#Headers],[20]]),1)/12,Data[[#Headers],[20]]*12,-LoanAmount,0,IF(PaymentsDue="End of Period",0,1)), "")</t>
        </is>
      </c>
      <c r="G503" t="n">
        <v>102.2812610116654</v>
      </c>
      <c r="H503" t="inlineStr"/>
      <c r="I503" t="inlineStr">
        <is>
          <t>"$"#,##0.00_);[Red]\("$"#,##0.00\)</t>
        </is>
      </c>
      <c r="J503" t="b">
        <v>0</v>
      </c>
      <c r="K503" t="b">
        <v>0</v>
      </c>
      <c r="L503" t="n">
        <v>11</v>
      </c>
      <c r="M503" t="inlineStr">
        <is>
          <t>Values must be of type &lt;class 'str'&gt;</t>
        </is>
      </c>
      <c r="N503" t="inlineStr">
        <is>
          <t>00000000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inlineStr">
        <is>
          <t>G000007</t>
        </is>
      </c>
      <c r="T503" t="inlineStr">
        <is>
          <t>Vertical</t>
        </is>
      </c>
      <c r="U503" t="n">
        <v>57</v>
      </c>
      <c r="V503" t="b">
        <v>1</v>
      </c>
      <c r="W503" t="inlineStr">
        <is>
          <t>Loan analysis!H10:H66</t>
        </is>
      </c>
      <c r="X503">
        <f>IFERROR(PMT(INDEX(Data[],ROW()-ROW(Data[[#Headers],[20]]),1)/12,Data[[#Headers],[20]]*12,-LoanAmount,0,IF(PaymentsDue="End of Period",0,1)), "")</f>
        <v/>
      </c>
    </row>
    <row r="504">
      <c r="A504" t="inlineStr">
        <is>
          <t>Loan analysis</t>
        </is>
      </c>
      <c r="B504" t="inlineStr">
        <is>
          <t>I46</t>
        </is>
      </c>
      <c r="C504" t="n">
        <v>46</v>
      </c>
      <c r="D504" t="n">
        <v>9</v>
      </c>
      <c r="E504" t="inlineStr">
        <is>
          <t>Output</t>
        </is>
      </c>
      <c r="F504" t="inlineStr">
        <is>
          <t>'=IFERROR(PMT(INDEX(Data[],ROW()-ROW(Data[[#Headers],[25]]),1)/12,Data[[#Headers],[25]]*12,-LoanAmount,0,IF(PaymentsDue="End of Period",0,1)), "")</t>
        </is>
      </c>
      <c r="G504" t="n">
        <v>97.12103156895945</v>
      </c>
      <c r="H504" t="inlineStr"/>
      <c r="I504" t="inlineStr">
        <is>
          <t>"$"#,##0.00_);[Red]\("$"#,##0.00\)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00000000</t>
        </is>
      </c>
      <c r="O504" t="inlineStr">
        <is>
          <t>center</t>
        </is>
      </c>
      <c r="P504" t="inlineStr">
        <is>
          <t>center</t>
        </is>
      </c>
      <c r="R504" t="b">
        <v>1</v>
      </c>
      <c r="S504" t="inlineStr">
        <is>
          <t>G000008</t>
        </is>
      </c>
      <c r="T504" t="inlineStr">
        <is>
          <t>Vertical</t>
        </is>
      </c>
      <c r="U504" t="n">
        <v>57</v>
      </c>
      <c r="V504" t="b">
        <v>1</v>
      </c>
      <c r="W504" t="inlineStr">
        <is>
          <t>Loan analysis!I10:I66</t>
        </is>
      </c>
      <c r="X504">
        <f>IFERROR(PMT(INDEX(Data[],ROW()-ROW(Data[[#Headers],[25]]),1)/12,Data[[#Headers],[25]]*12,-LoanAmount,0,IF(PaymentsDue="End of Period",0,1)), "")</f>
        <v/>
      </c>
    </row>
    <row r="505">
      <c r="A505" t="inlineStr">
        <is>
          <t>Loan analysis</t>
        </is>
      </c>
      <c r="B505" t="inlineStr">
        <is>
          <t>J46</t>
        </is>
      </c>
      <c r="C505" t="n">
        <v>46</v>
      </c>
      <c r="D505" t="n">
        <v>10</v>
      </c>
      <c r="E505" t="inlineStr">
        <is>
          <t>Output</t>
        </is>
      </c>
      <c r="F505" t="inlineStr">
        <is>
          <t>'=IFERROR(PMT(INDEX(Data[],ROW()-ROW(Data[[#Headers],[30]]),1)/12,Data[[#Headers],[30]]*12,-LoanAmount,0,IF(PaymentsDue="End of Period",0,1)), "")</t>
        </is>
      </c>
      <c r="G505" t="n">
        <v>94.3673059213278</v>
      </c>
      <c r="H505" t="inlineStr"/>
      <c r="I505" t="inlineStr">
        <is>
          <t>"$"#,##0.00_);[Red]\("$"#,##0.00\)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00000000</t>
        </is>
      </c>
      <c r="O505" t="inlineStr">
        <is>
          <t>center</t>
        </is>
      </c>
      <c r="P505" t="inlineStr">
        <is>
          <t>center</t>
        </is>
      </c>
      <c r="R505" t="b">
        <v>1</v>
      </c>
      <c r="S505" t="inlineStr">
        <is>
          <t>G000009</t>
        </is>
      </c>
      <c r="T505" t="inlineStr">
        <is>
          <t>Vertical</t>
        </is>
      </c>
      <c r="U505" t="n">
        <v>57</v>
      </c>
      <c r="V505" t="b">
        <v>1</v>
      </c>
      <c r="W505" t="inlineStr">
        <is>
          <t>Loan analysis!J10:J66</t>
        </is>
      </c>
      <c r="X505">
        <f>IFERROR(PMT(INDEX(Data[],ROW()-ROW(Data[[#Headers],[30]]),1)/12,Data[[#Headers],[30]]*12,-LoanAmount,0,IF(PaymentsDue="End of Period",0,1)), "")</f>
        <v/>
      </c>
    </row>
    <row r="506">
      <c r="A506" t="inlineStr">
        <is>
          <t>Loan analysis</t>
        </is>
      </c>
      <c r="B506" t="inlineStr">
        <is>
          <t>K46</t>
        </is>
      </c>
      <c r="C506" t="n">
        <v>46</v>
      </c>
      <c r="D506" t="n">
        <v>11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n">
        <v/>
      </c>
      <c r="P506" t="n">
        <v/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</row>
    <row r="507">
      <c r="A507" t="inlineStr">
        <is>
          <t>Loan analysis</t>
        </is>
      </c>
      <c r="B507" t="inlineStr">
        <is>
          <t>A47</t>
        </is>
      </c>
      <c r="C507" t="n">
        <v>47</v>
      </c>
      <c r="D507" t="n">
        <v>1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n">
        <v/>
      </c>
      <c r="P507" t="n">
        <v/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</row>
    <row r="508">
      <c r="A508" t="inlineStr">
        <is>
          <t>Loan analysis</t>
        </is>
      </c>
      <c r="B508" t="inlineStr">
        <is>
          <t>B47</t>
        </is>
      </c>
      <c r="C508" t="n">
        <v>47</v>
      </c>
      <c r="D508" t="n">
        <v>2</v>
      </c>
      <c r="E508" t="inlineStr">
        <is>
          <t>Output</t>
        </is>
      </c>
      <c r="F508" t="inlineStr">
        <is>
          <t>'=IFERROR(MAX((ROW()-ROW(Data[[#Headers],[RATE]]))*0.0025+0.0175,0.0025), "")</t>
        </is>
      </c>
      <c r="G508" t="n">
        <v>0.1125</v>
      </c>
      <c r="H508" t="inlineStr"/>
      <c r="I508" t="inlineStr">
        <is>
          <t>0.00%</t>
        </is>
      </c>
      <c r="J508" t="b">
        <v>0</v>
      </c>
      <c r="K508" t="b">
        <v>0</v>
      </c>
      <c r="L508" t="n">
        <v>11</v>
      </c>
      <c r="M508" t="inlineStr">
        <is>
          <t>Values must be of type &lt;class 'str'&gt;</t>
        </is>
      </c>
      <c r="N508" t="inlineStr">
        <is>
          <t>00000000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inlineStr">
        <is>
          <t>G000001</t>
        </is>
      </c>
      <c r="T508" t="inlineStr">
        <is>
          <t>Vertical</t>
        </is>
      </c>
      <c r="U508" t="n">
        <v>57</v>
      </c>
      <c r="V508" t="b">
        <v>1</v>
      </c>
      <c r="W508" t="inlineStr">
        <is>
          <t>Loan analysis!B10:B66</t>
        </is>
      </c>
      <c r="X508">
        <f>IFERROR(MAX((ROW()-ROW(Data[[#Headers],[RATE]]))*0.0025+0.0175,0.0025), "")</f>
        <v/>
      </c>
    </row>
    <row r="509">
      <c r="A509" t="inlineStr">
        <is>
          <t>Loan analysis</t>
        </is>
      </c>
      <c r="B509" t="inlineStr">
        <is>
          <t>C47</t>
        </is>
      </c>
      <c r="C509" t="n">
        <v>47</v>
      </c>
      <c r="D509" t="n">
        <v>3</v>
      </c>
      <c r="E509" t="inlineStr">
        <is>
          <t>Output</t>
        </is>
      </c>
      <c r="F509" t="inlineStr">
        <is>
          <t>'=IFERROR(PMT(INDEX(Data[],ROW()-ROW(Data[[#Headers],[3]]),1)/12,Data[[#Headers],[3]]*12,-LoanAmount,0,IF(PaymentsDue="End of Period",0,1)), "")</t>
        </is>
      </c>
      <c r="G509" t="n">
        <v>325.5205935699407</v>
      </c>
      <c r="H509" t="inlineStr"/>
      <c r="I509" t="inlineStr">
        <is>
          <t>"$"#,##0.00_);[Red]\("$"#,##0.00\)</t>
        </is>
      </c>
      <c r="J509" t="b">
        <v>0</v>
      </c>
      <c r="K509" t="b">
        <v>0</v>
      </c>
      <c r="L509" t="n">
        <v>11</v>
      </c>
      <c r="M509" t="inlineStr">
        <is>
          <t>Values must be of type &lt;class 'str'&gt;</t>
        </is>
      </c>
      <c r="N509" t="inlineStr">
        <is>
          <t>00000000</t>
        </is>
      </c>
      <c r="O509" t="inlineStr">
        <is>
          <t>center</t>
        </is>
      </c>
      <c r="P509" t="inlineStr">
        <is>
          <t>center</t>
        </is>
      </c>
      <c r="R509" t="b">
        <v>1</v>
      </c>
      <c r="S509" t="inlineStr">
        <is>
          <t>G000002</t>
        </is>
      </c>
      <c r="T509" t="inlineStr">
        <is>
          <t>Vertical</t>
        </is>
      </c>
      <c r="U509" t="n">
        <v>57</v>
      </c>
      <c r="V509" t="b">
        <v>1</v>
      </c>
      <c r="W509" t="inlineStr">
        <is>
          <t>Loan analysis!C10:C66</t>
        </is>
      </c>
      <c r="X509">
        <f>IFERROR(PMT(INDEX(Data[],ROW()-ROW(Data[[#Headers],[3]]),1)/12,Data[[#Headers],[3]]*12,-LoanAmount,0,IF(PaymentsDue="End of Period",0,1)), "")</f>
        <v/>
      </c>
    </row>
    <row r="510">
      <c r="A510" t="inlineStr">
        <is>
          <t>Loan analysis</t>
        </is>
      </c>
      <c r="B510" t="inlineStr">
        <is>
          <t>D47</t>
        </is>
      </c>
      <c r="C510" t="n">
        <v>47</v>
      </c>
      <c r="D510" t="n">
        <v>4</v>
      </c>
      <c r="E510" t="inlineStr">
        <is>
          <t>Output</t>
        </is>
      </c>
      <c r="F510" t="inlineStr">
        <is>
          <t>'=IFERROR(PMT(INDEX(Data[],ROW()-ROW(Data[[#Headers],[5]]),1)/12,Data[[#Headers],[5]]*12,-LoanAmount,0,IF(PaymentsDue="End of Period",0,1)), "")</t>
        </is>
      </c>
      <c r="G510" t="n">
        <v>216.6420593793169</v>
      </c>
      <c r="H510" t="inlineStr"/>
      <c r="I510" t="inlineStr">
        <is>
          <t>"$"#,##0.00_);[Red]\("$"#,##0.00\)</t>
        </is>
      </c>
      <c r="J510" t="b">
        <v>0</v>
      </c>
      <c r="K510" t="b">
        <v>0</v>
      </c>
      <c r="L510" t="n">
        <v>11</v>
      </c>
      <c r="M510" t="inlineStr">
        <is>
          <t>Values must be of type &lt;class 'str'&gt;</t>
        </is>
      </c>
      <c r="N510" t="inlineStr">
        <is>
          <t>00000000</t>
        </is>
      </c>
      <c r="O510" t="inlineStr">
        <is>
          <t>center</t>
        </is>
      </c>
      <c r="P510" t="inlineStr">
        <is>
          <t>center</t>
        </is>
      </c>
      <c r="R510" t="b">
        <v>1</v>
      </c>
      <c r="S510" t="inlineStr">
        <is>
          <t>G000003</t>
        </is>
      </c>
      <c r="T510" t="inlineStr">
        <is>
          <t>Vertical</t>
        </is>
      </c>
      <c r="U510" t="n">
        <v>57</v>
      </c>
      <c r="V510" t="b">
        <v>1</v>
      </c>
      <c r="W510" t="inlineStr">
        <is>
          <t>Loan analysis!D10:D66</t>
        </is>
      </c>
      <c r="X510">
        <f>IFERROR(PMT(INDEX(Data[],ROW()-ROW(Data[[#Headers],[5]]),1)/12,Data[[#Headers],[5]]*12,-LoanAmount,0,IF(PaymentsDue="End of Period",0,1)), "")</f>
        <v/>
      </c>
    </row>
    <row r="511">
      <c r="A511" t="inlineStr">
        <is>
          <t>Loan analysis</t>
        </is>
      </c>
      <c r="B511" t="inlineStr">
        <is>
          <t>E47</t>
        </is>
      </c>
      <c r="C511" t="n">
        <v>47</v>
      </c>
      <c r="D511" t="n">
        <v>5</v>
      </c>
      <c r="E511" t="inlineStr">
        <is>
          <t>Output</t>
        </is>
      </c>
      <c r="F511" t="inlineStr">
        <is>
          <t>'=IFERROR(PMT(INDEX(Data[],ROW()-ROW(Data[[#Headers],[10]]),1)/12,Data[[#Headers],[10]]*12,-LoanAmount,0,IF(PaymentsDue="End of Period",0,1)), "")</t>
        </is>
      </c>
      <c r="G511" t="n">
        <v>137.8763559513868</v>
      </c>
      <c r="H511" t="inlineStr"/>
      <c r="I511" t="inlineStr">
        <is>
          <t>"$"#,##0.00_);[Red]\("$"#,##0.00\)</t>
        </is>
      </c>
      <c r="J511" t="b">
        <v>0</v>
      </c>
      <c r="K511" t="b">
        <v>0</v>
      </c>
      <c r="L511" t="n">
        <v>11</v>
      </c>
      <c r="M511" t="inlineStr">
        <is>
          <t>Values must be of type &lt;class 'str'&gt;</t>
        </is>
      </c>
      <c r="N511" t="inlineStr">
        <is>
          <t>00000000</t>
        </is>
      </c>
      <c r="O511" t="inlineStr">
        <is>
          <t>center</t>
        </is>
      </c>
      <c r="P511" t="inlineStr">
        <is>
          <t>center</t>
        </is>
      </c>
      <c r="R511" t="b">
        <v>1</v>
      </c>
      <c r="S511" t="inlineStr">
        <is>
          <t>G000004</t>
        </is>
      </c>
      <c r="T511" t="inlineStr">
        <is>
          <t>Vertical</t>
        </is>
      </c>
      <c r="U511" t="n">
        <v>57</v>
      </c>
      <c r="V511" t="b">
        <v>1</v>
      </c>
      <c r="W511" t="inlineStr">
        <is>
          <t>Loan analysis!E10:E66</t>
        </is>
      </c>
      <c r="X511">
        <f>IFERROR(PMT(INDEX(Data[],ROW()-ROW(Data[[#Headers],[10]]),1)/12,Data[[#Headers],[10]]*12,-LoanAmount,0,IF(PaymentsDue="End of Period",0,1)), "")</f>
        <v/>
      </c>
    </row>
    <row r="512">
      <c r="A512" t="inlineStr">
        <is>
          <t>Loan analysis</t>
        </is>
      </c>
      <c r="B512" t="inlineStr">
        <is>
          <t>F47</t>
        </is>
      </c>
      <c r="C512" t="n">
        <v>47</v>
      </c>
      <c r="D512" t="n">
        <v>6</v>
      </c>
      <c r="E512" t="inlineStr">
        <is>
          <t>Output</t>
        </is>
      </c>
      <c r="F512" t="inlineStr">
        <is>
          <t>'=IFERROR(PMT(INDEX(Data[],ROW()-ROW(Data[[#Headers],[12]]),1)/12,Data[[#Headers],[12]]*12,-LoanAmount,0,IF(PaymentsDue="End of Period",0,1)), "")</t>
        </is>
      </c>
      <c r="G512" t="n">
        <v>125.6612177499557</v>
      </c>
      <c r="H512" t="inlineStr"/>
      <c r="I512" t="inlineStr">
        <is>
          <t>"$"#,##0.00_);[Red]\("$"#,##0.00\)</t>
        </is>
      </c>
      <c r="J512" t="b">
        <v>0</v>
      </c>
      <c r="K512" t="b">
        <v>0</v>
      </c>
      <c r="L512" t="n">
        <v>11</v>
      </c>
      <c r="M512" t="inlineStr">
        <is>
          <t>Values must be of type &lt;class 'str'&gt;</t>
        </is>
      </c>
      <c r="N512" t="inlineStr">
        <is>
          <t>00000000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inlineStr">
        <is>
          <t>G000005</t>
        </is>
      </c>
      <c r="T512" t="inlineStr">
        <is>
          <t>Vertical</t>
        </is>
      </c>
      <c r="U512" t="n">
        <v>57</v>
      </c>
      <c r="V512" t="b">
        <v>1</v>
      </c>
      <c r="W512" t="inlineStr">
        <is>
          <t>Loan analysis!F10:F66</t>
        </is>
      </c>
      <c r="X512">
        <f>IFERROR(PMT(INDEX(Data[],ROW()-ROW(Data[[#Headers],[12]]),1)/12,Data[[#Headers],[12]]*12,-LoanAmount,0,IF(PaymentsDue="End of Period",0,1)), "")</f>
        <v/>
      </c>
    </row>
    <row r="513">
      <c r="A513" t="inlineStr">
        <is>
          <t>Loan analysis</t>
        </is>
      </c>
      <c r="B513" t="inlineStr">
        <is>
          <t>G47</t>
        </is>
      </c>
      <c r="C513" t="n">
        <v>47</v>
      </c>
      <c r="D513" t="n">
        <v>7</v>
      </c>
      <c r="E513" t="inlineStr">
        <is>
          <t>Output</t>
        </is>
      </c>
      <c r="F513" t="inlineStr">
        <is>
          <t>'=IFERROR(PMT(INDEX(Data[],ROW()-ROW(Data[[#Headers],[15]]),1)/12,Data[[#Headers],[15]]*12,-LoanAmount,0,IF(PaymentsDue="End of Period",0,1)), "")</t>
        </is>
      </c>
      <c r="G513" t="n">
        <v>114.1641712949623</v>
      </c>
      <c r="H513" t="inlineStr"/>
      <c r="I513" t="inlineStr">
        <is>
          <t>"$"#,##0.00_);[Red]\("$"#,##0.00\)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00000000</t>
        </is>
      </c>
      <c r="O513" t="inlineStr">
        <is>
          <t>center</t>
        </is>
      </c>
      <c r="P513" t="inlineStr">
        <is>
          <t>center</t>
        </is>
      </c>
      <c r="R513" t="b">
        <v>1</v>
      </c>
      <c r="S513" t="inlineStr">
        <is>
          <t>G000006</t>
        </is>
      </c>
      <c r="T513" t="inlineStr">
        <is>
          <t>Vertical</t>
        </is>
      </c>
      <c r="U513" t="n">
        <v>57</v>
      </c>
      <c r="V513" t="b">
        <v>1</v>
      </c>
      <c r="W513" t="inlineStr">
        <is>
          <t>Loan analysis!G10:G66</t>
        </is>
      </c>
      <c r="X513">
        <f>IFERROR(PMT(INDEX(Data[],ROW()-ROW(Data[[#Headers],[15]]),1)/12,Data[[#Headers],[15]]*12,-LoanAmount,0,IF(PaymentsDue="End of Period",0,1)), "")</f>
        <v/>
      </c>
    </row>
    <row r="514">
      <c r="A514" t="inlineStr">
        <is>
          <t>Loan analysis</t>
        </is>
      </c>
      <c r="B514" t="inlineStr">
        <is>
          <t>H47</t>
        </is>
      </c>
      <c r="C514" t="n">
        <v>47</v>
      </c>
      <c r="D514" t="n">
        <v>8</v>
      </c>
      <c r="E514" t="inlineStr">
        <is>
          <t>Output</t>
        </is>
      </c>
      <c r="F514" t="inlineStr">
        <is>
          <t>'=IFERROR(PMT(INDEX(Data[],ROW()-ROW(Data[[#Headers],[20]]),1)/12,Data[[#Headers],[20]]*12,-LoanAmount,0,IF(PaymentsDue="End of Period",0,1)), "")</t>
        </is>
      </c>
      <c r="G514" t="n">
        <v>103.9510602399904</v>
      </c>
      <c r="H514" t="inlineStr"/>
      <c r="I514" t="inlineStr">
        <is>
          <t>"$"#,##0.00_);[Red]\("$"#,##0.00\)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00000000</t>
        </is>
      </c>
      <c r="O514" t="inlineStr">
        <is>
          <t>center</t>
        </is>
      </c>
      <c r="P514" t="inlineStr">
        <is>
          <t>center</t>
        </is>
      </c>
      <c r="R514" t="b">
        <v>1</v>
      </c>
      <c r="S514" t="inlineStr">
        <is>
          <t>G000007</t>
        </is>
      </c>
      <c r="T514" t="inlineStr">
        <is>
          <t>Vertical</t>
        </is>
      </c>
      <c r="U514" t="n">
        <v>57</v>
      </c>
      <c r="V514" t="b">
        <v>1</v>
      </c>
      <c r="W514" t="inlineStr">
        <is>
          <t>Loan analysis!H10:H66</t>
        </is>
      </c>
      <c r="X514">
        <f>IFERROR(PMT(INDEX(Data[],ROW()-ROW(Data[[#Headers],[20]]),1)/12,Data[[#Headers],[20]]*12,-LoanAmount,0,IF(PaymentsDue="End of Period",0,1)), "")</f>
        <v/>
      </c>
    </row>
    <row r="515">
      <c r="A515" t="inlineStr">
        <is>
          <t>Loan analysis</t>
        </is>
      </c>
      <c r="B515" t="inlineStr">
        <is>
          <t>I47</t>
        </is>
      </c>
      <c r="C515" t="n">
        <v>47</v>
      </c>
      <c r="D515" t="n">
        <v>9</v>
      </c>
      <c r="E515" t="inlineStr">
        <is>
          <t>Output</t>
        </is>
      </c>
      <c r="F515" t="inlineStr">
        <is>
          <t>'=IFERROR(PMT(INDEX(Data[],ROW()-ROW(Data[[#Headers],[25]]),1)/12,Data[[#Headers],[25]]*12,-LoanAmount,0,IF(PaymentsDue="End of Period",0,1)), "")</t>
        </is>
      </c>
      <c r="G515" t="n">
        <v>98.8967975100235</v>
      </c>
      <c r="H515" t="inlineStr"/>
      <c r="I515" t="inlineStr">
        <is>
          <t>"$"#,##0.00_);[Red]\("$"#,##0.00\)</t>
        </is>
      </c>
      <c r="J515" t="b">
        <v>0</v>
      </c>
      <c r="K515" t="b">
        <v>0</v>
      </c>
      <c r="L515" t="n">
        <v>11</v>
      </c>
      <c r="M515" t="inlineStr">
        <is>
          <t>Values must be of type &lt;class 'str'&gt;</t>
        </is>
      </c>
      <c r="N515" t="inlineStr">
        <is>
          <t>00000000</t>
        </is>
      </c>
      <c r="O515" t="inlineStr">
        <is>
          <t>center</t>
        </is>
      </c>
      <c r="P515" t="inlineStr">
        <is>
          <t>center</t>
        </is>
      </c>
      <c r="R515" t="b">
        <v>1</v>
      </c>
      <c r="S515" t="inlineStr">
        <is>
          <t>G000008</t>
        </is>
      </c>
      <c r="T515" t="inlineStr">
        <is>
          <t>Vertical</t>
        </is>
      </c>
      <c r="U515" t="n">
        <v>57</v>
      </c>
      <c r="V515" t="b">
        <v>1</v>
      </c>
      <c r="W515" t="inlineStr">
        <is>
          <t>Loan analysis!I10:I66</t>
        </is>
      </c>
      <c r="X515">
        <f>IFERROR(PMT(INDEX(Data[],ROW()-ROW(Data[[#Headers],[25]]),1)/12,Data[[#Headers],[25]]*12,-LoanAmount,0,IF(PaymentsDue="End of Period",0,1)), "")</f>
        <v/>
      </c>
    </row>
    <row r="516">
      <c r="A516" t="inlineStr">
        <is>
          <t>Loan analysis</t>
        </is>
      </c>
      <c r="B516" t="inlineStr">
        <is>
          <t>J47</t>
        </is>
      </c>
      <c r="C516" t="n">
        <v>47</v>
      </c>
      <c r="D516" t="n">
        <v>10</v>
      </c>
      <c r="E516" t="inlineStr">
        <is>
          <t>Output</t>
        </is>
      </c>
      <c r="F516" t="inlineStr">
        <is>
          <t>'=IFERROR(PMT(INDEX(Data[],ROW()-ROW(Data[[#Headers],[30]]),1)/12,Data[[#Headers],[30]]*12,-LoanAmount,0,IF(PaymentsDue="End of Period",0,1)), "")</t>
        </is>
      </c>
      <c r="G516" t="n">
        <v>96.22403833457855</v>
      </c>
      <c r="H516" t="inlineStr"/>
      <c r="I516" t="inlineStr">
        <is>
          <t>"$"#,##0.00_);[Red]\("$"#,##0.00\)</t>
        </is>
      </c>
      <c r="J516" t="b">
        <v>0</v>
      </c>
      <c r="K516" t="b">
        <v>0</v>
      </c>
      <c r="L516" t="n">
        <v>11</v>
      </c>
      <c r="M516" t="inlineStr">
        <is>
          <t>Values must be of type &lt;class 'str'&gt;</t>
        </is>
      </c>
      <c r="N516" t="inlineStr">
        <is>
          <t>00000000</t>
        </is>
      </c>
      <c r="O516" t="inlineStr">
        <is>
          <t>center</t>
        </is>
      </c>
      <c r="P516" t="inlineStr">
        <is>
          <t>center</t>
        </is>
      </c>
      <c r="R516" t="b">
        <v>1</v>
      </c>
      <c r="S516" t="inlineStr">
        <is>
          <t>G000009</t>
        </is>
      </c>
      <c r="T516" t="inlineStr">
        <is>
          <t>Vertical</t>
        </is>
      </c>
      <c r="U516" t="n">
        <v>57</v>
      </c>
      <c r="V516" t="b">
        <v>1</v>
      </c>
      <c r="W516" t="inlineStr">
        <is>
          <t>Loan analysis!J10:J66</t>
        </is>
      </c>
      <c r="X516">
        <f>IFERROR(PMT(INDEX(Data[],ROW()-ROW(Data[[#Headers],[30]]),1)/12,Data[[#Headers],[30]]*12,-LoanAmount,0,IF(PaymentsDue="End of Period",0,1)), "")</f>
        <v/>
      </c>
    </row>
    <row r="517">
      <c r="A517" t="inlineStr">
        <is>
          <t>Loan analysis</t>
        </is>
      </c>
      <c r="B517" t="inlineStr">
        <is>
          <t>K47</t>
        </is>
      </c>
      <c r="C517" t="n">
        <v>47</v>
      </c>
      <c r="D517" t="n">
        <v>11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n">
        <v/>
      </c>
      <c r="P517" t="n">
        <v/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Loan analysis</t>
        </is>
      </c>
      <c r="B518" t="inlineStr">
        <is>
          <t>A48</t>
        </is>
      </c>
      <c r="C518" t="n">
        <v>48</v>
      </c>
      <c r="D518" t="n">
        <v>1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n">
        <v/>
      </c>
      <c r="P518" t="n">
        <v/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Loan analysis</t>
        </is>
      </c>
      <c r="B519" t="inlineStr">
        <is>
          <t>B48</t>
        </is>
      </c>
      <c r="C519" t="n">
        <v>48</v>
      </c>
      <c r="D519" t="n">
        <v>2</v>
      </c>
      <c r="E519" t="inlineStr">
        <is>
          <t>Output</t>
        </is>
      </c>
      <c r="F519" t="inlineStr">
        <is>
          <t>'=IFERROR(MAX((ROW()-ROW(Data[[#Headers],[RATE]]))*0.0025+0.0175,0.0025), "")</t>
        </is>
      </c>
      <c r="G519" t="n">
        <v>0.115</v>
      </c>
      <c r="H519" t="inlineStr"/>
      <c r="I519" t="inlineStr">
        <is>
          <t>0.00%</t>
        </is>
      </c>
      <c r="J519" t="b">
        <v>0</v>
      </c>
      <c r="K519" t="b">
        <v>0</v>
      </c>
      <c r="L519" t="n">
        <v>11</v>
      </c>
      <c r="M519" t="inlineStr">
        <is>
          <t>Values must be of type &lt;class 'str'&gt;</t>
        </is>
      </c>
      <c r="N519" t="inlineStr">
        <is>
          <t>00000000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inlineStr">
        <is>
          <t>G000001</t>
        </is>
      </c>
      <c r="T519" t="inlineStr">
        <is>
          <t>Vertical</t>
        </is>
      </c>
      <c r="U519" t="n">
        <v>57</v>
      </c>
      <c r="V519" t="b">
        <v>1</v>
      </c>
      <c r="W519" t="inlineStr">
        <is>
          <t>Loan analysis!B10:B66</t>
        </is>
      </c>
      <c r="X519">
        <f>IFERROR(MAX((ROW()-ROW(Data[[#Headers],[RATE]]))*0.0025+0.0175,0.0025), "")</f>
        <v/>
      </c>
    </row>
    <row r="520">
      <c r="A520" t="inlineStr">
        <is>
          <t>Loan analysis</t>
        </is>
      </c>
      <c r="B520" t="inlineStr">
        <is>
          <t>C48</t>
        </is>
      </c>
      <c r="C520" t="n">
        <v>48</v>
      </c>
      <c r="D520" t="n">
        <v>3</v>
      </c>
      <c r="E520" t="inlineStr">
        <is>
          <t>Output</t>
        </is>
      </c>
      <c r="F520" t="inlineStr">
        <is>
          <t>'=IFERROR(PMT(INDEX(Data[],ROW()-ROW(Data[[#Headers],[3]]),1)/12,Data[[#Headers],[3]]*12,-LoanAmount,0,IF(PaymentsDue="End of Period",0,1)), "")</t>
        </is>
      </c>
      <c r="G520" t="n">
        <v>326.6298614889815</v>
      </c>
      <c r="H520" t="inlineStr"/>
      <c r="I520" t="inlineStr">
        <is>
          <t>"$"#,##0.00_);[Red]\("$"#,##0.00\)</t>
        </is>
      </c>
      <c r="J520" t="b">
        <v>0</v>
      </c>
      <c r="K520" t="b">
        <v>0</v>
      </c>
      <c r="L520" t="n">
        <v>11</v>
      </c>
      <c r="M520" t="inlineStr">
        <is>
          <t>Values must be of type &lt;class 'str'&gt;</t>
        </is>
      </c>
      <c r="N520" t="inlineStr">
        <is>
          <t>00000000</t>
        </is>
      </c>
      <c r="O520" t="inlineStr">
        <is>
          <t>center</t>
        </is>
      </c>
      <c r="P520" t="inlineStr">
        <is>
          <t>center</t>
        </is>
      </c>
      <c r="R520" t="b">
        <v>1</v>
      </c>
      <c r="S520" t="inlineStr">
        <is>
          <t>G000002</t>
        </is>
      </c>
      <c r="T520" t="inlineStr">
        <is>
          <t>Vertical</t>
        </is>
      </c>
      <c r="U520" t="n">
        <v>57</v>
      </c>
      <c r="V520" t="b">
        <v>1</v>
      </c>
      <c r="W520" t="inlineStr">
        <is>
          <t>Loan analysis!C10:C66</t>
        </is>
      </c>
      <c r="X520">
        <f>IFERROR(PMT(INDEX(Data[],ROW()-ROW(Data[[#Headers],[3]]),1)/12,Data[[#Headers],[3]]*12,-LoanAmount,0,IF(PaymentsDue="End of Period",0,1)), "")</f>
        <v/>
      </c>
    </row>
    <row r="521">
      <c r="A521" t="inlineStr">
        <is>
          <t>Loan analysis</t>
        </is>
      </c>
      <c r="B521" t="inlineStr">
        <is>
          <t>D48</t>
        </is>
      </c>
      <c r="C521" t="n">
        <v>48</v>
      </c>
      <c r="D521" t="n">
        <v>4</v>
      </c>
      <c r="E521" t="inlineStr">
        <is>
          <t>Output</t>
        </is>
      </c>
      <c r="F521" t="inlineStr">
        <is>
          <t>'=IFERROR(PMT(INDEX(Data[],ROW()-ROW(Data[[#Headers],[5]]),1)/12,Data[[#Headers],[5]]*12,-LoanAmount,0,IF(PaymentsDue="End of Period",0,1)), "")</t>
        </is>
      </c>
      <c r="G521" t="n">
        <v>217.8384552195169</v>
      </c>
      <c r="H521" t="inlineStr"/>
      <c r="I521" t="inlineStr">
        <is>
          <t>"$"#,##0.00_);[Red]\("$"#,##0.00\)</t>
        </is>
      </c>
      <c r="J521" t="b">
        <v>0</v>
      </c>
      <c r="K521" t="b">
        <v>0</v>
      </c>
      <c r="L521" t="n">
        <v>11</v>
      </c>
      <c r="M521" t="inlineStr">
        <is>
          <t>Values must be of type &lt;class 'str'&gt;</t>
        </is>
      </c>
      <c r="N521" t="inlineStr">
        <is>
          <t>00000000</t>
        </is>
      </c>
      <c r="O521" t="inlineStr">
        <is>
          <t>center</t>
        </is>
      </c>
      <c r="P521" t="inlineStr">
        <is>
          <t>center</t>
        </is>
      </c>
      <c r="R521" t="b">
        <v>1</v>
      </c>
      <c r="S521" t="inlineStr">
        <is>
          <t>G000003</t>
        </is>
      </c>
      <c r="T521" t="inlineStr">
        <is>
          <t>Vertical</t>
        </is>
      </c>
      <c r="U521" t="n">
        <v>57</v>
      </c>
      <c r="V521" t="b">
        <v>1</v>
      </c>
      <c r="W521" t="inlineStr">
        <is>
          <t>Loan analysis!D10:D66</t>
        </is>
      </c>
      <c r="X521">
        <f>IFERROR(PMT(INDEX(Data[],ROW()-ROW(Data[[#Headers],[5]]),1)/12,Data[[#Headers],[5]]*12,-LoanAmount,0,IF(PaymentsDue="End of Period",0,1)), "")</f>
        <v/>
      </c>
    </row>
    <row r="522">
      <c r="A522" t="inlineStr">
        <is>
          <t>Loan analysis</t>
        </is>
      </c>
      <c r="B522" t="inlineStr">
        <is>
          <t>E48</t>
        </is>
      </c>
      <c r="C522" t="n">
        <v>48</v>
      </c>
      <c r="D522" t="n">
        <v>5</v>
      </c>
      <c r="E522" t="inlineStr">
        <is>
          <t>Output</t>
        </is>
      </c>
      <c r="F522" t="inlineStr">
        <is>
          <t>'=IFERROR(PMT(INDEX(Data[],ROW()-ROW(Data[[#Headers],[10]]),1)/12,Data[[#Headers],[10]]*12,-LoanAmount,0,IF(PaymentsDue="End of Period",0,1)), "")</t>
        </is>
      </c>
      <c r="G522" t="n">
        <v>139.2608607303148</v>
      </c>
      <c r="H522" t="inlineStr"/>
      <c r="I522" t="inlineStr">
        <is>
          <t>"$"#,##0.00_);[Red]\("$"#,##0.00\)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00000000</t>
        </is>
      </c>
      <c r="O522" t="inlineStr">
        <is>
          <t>center</t>
        </is>
      </c>
      <c r="P522" t="inlineStr">
        <is>
          <t>center</t>
        </is>
      </c>
      <c r="R522" t="b">
        <v>1</v>
      </c>
      <c r="S522" t="inlineStr">
        <is>
          <t>G000004</t>
        </is>
      </c>
      <c r="T522" t="inlineStr">
        <is>
          <t>Vertical</t>
        </is>
      </c>
      <c r="U522" t="n">
        <v>57</v>
      </c>
      <c r="V522" t="b">
        <v>1</v>
      </c>
      <c r="W522" t="inlineStr">
        <is>
          <t>Loan analysis!E10:E66</t>
        </is>
      </c>
      <c r="X522">
        <f>IFERROR(PMT(INDEX(Data[],ROW()-ROW(Data[[#Headers],[10]]),1)/12,Data[[#Headers],[10]]*12,-LoanAmount,0,IF(PaymentsDue="End of Period",0,1)), "")</f>
        <v/>
      </c>
    </row>
    <row r="523">
      <c r="A523" t="inlineStr">
        <is>
          <t>Loan analysis</t>
        </is>
      </c>
      <c r="B523" t="inlineStr">
        <is>
          <t>F48</t>
        </is>
      </c>
      <c r="C523" t="n">
        <v>48</v>
      </c>
      <c r="D523" t="n">
        <v>6</v>
      </c>
      <c r="E523" t="inlineStr">
        <is>
          <t>Output</t>
        </is>
      </c>
      <c r="F523" t="inlineStr">
        <is>
          <t>'=IFERROR(PMT(INDEX(Data[],ROW()-ROW(Data[[#Headers],[12]]),1)/12,Data[[#Headers],[12]]*12,-LoanAmount,0,IF(PaymentsDue="End of Period",0,1)), "")</t>
        </is>
      </c>
      <c r="G523" t="n">
        <v>127.1134873627299</v>
      </c>
      <c r="H523" t="inlineStr"/>
      <c r="I523" t="inlineStr">
        <is>
          <t>"$"#,##0.00_);[Red]\("$"#,##0.00\)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00000000</t>
        </is>
      </c>
      <c r="O523" t="inlineStr">
        <is>
          <t>center</t>
        </is>
      </c>
      <c r="P523" t="inlineStr">
        <is>
          <t>center</t>
        </is>
      </c>
      <c r="R523" t="b">
        <v>1</v>
      </c>
      <c r="S523" t="inlineStr">
        <is>
          <t>G000005</t>
        </is>
      </c>
      <c r="T523" t="inlineStr">
        <is>
          <t>Vertical</t>
        </is>
      </c>
      <c r="U523" t="n">
        <v>57</v>
      </c>
      <c r="V523" t="b">
        <v>1</v>
      </c>
      <c r="W523" t="inlineStr">
        <is>
          <t>Loan analysis!F10:F66</t>
        </is>
      </c>
      <c r="X523">
        <f>IFERROR(PMT(INDEX(Data[],ROW()-ROW(Data[[#Headers],[12]]),1)/12,Data[[#Headers],[12]]*12,-LoanAmount,0,IF(PaymentsDue="End of Period",0,1)), "")</f>
        <v/>
      </c>
    </row>
    <row r="524">
      <c r="A524" t="inlineStr">
        <is>
          <t>Loan analysis</t>
        </is>
      </c>
      <c r="B524" t="inlineStr">
        <is>
          <t>G48</t>
        </is>
      </c>
      <c r="C524" t="n">
        <v>48</v>
      </c>
      <c r="D524" t="n">
        <v>7</v>
      </c>
      <c r="E524" t="inlineStr">
        <is>
          <t>Output</t>
        </is>
      </c>
      <c r="F524" t="inlineStr">
        <is>
          <t>'=IFERROR(PMT(INDEX(Data[],ROW()-ROW(Data[[#Headers],[15]]),1)/12,Data[[#Headers],[15]]*12,-LoanAmount,0,IF(PaymentsDue="End of Period",0,1)), "")</t>
        </is>
      </c>
      <c r="G524" t="n">
        <v>115.710092603351</v>
      </c>
      <c r="H524" t="inlineStr"/>
      <c r="I524" t="inlineStr">
        <is>
          <t>"$"#,##0.00_);[Red]\("$"#,##0.00\)</t>
        </is>
      </c>
      <c r="J524" t="b">
        <v>0</v>
      </c>
      <c r="K524" t="b">
        <v>0</v>
      </c>
      <c r="L524" t="n">
        <v>11</v>
      </c>
      <c r="M524" t="inlineStr">
        <is>
          <t>Values must be of type &lt;class 'str'&gt;</t>
        </is>
      </c>
      <c r="N524" t="inlineStr">
        <is>
          <t>00000000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inlineStr">
        <is>
          <t>G000006</t>
        </is>
      </c>
      <c r="T524" t="inlineStr">
        <is>
          <t>Vertical</t>
        </is>
      </c>
      <c r="U524" t="n">
        <v>57</v>
      </c>
      <c r="V524" t="b">
        <v>1</v>
      </c>
      <c r="W524" t="inlineStr">
        <is>
          <t>Loan analysis!G10:G66</t>
        </is>
      </c>
      <c r="X524">
        <f>IFERROR(PMT(INDEX(Data[],ROW()-ROW(Data[[#Headers],[15]]),1)/12,Data[[#Headers],[15]]*12,-LoanAmount,0,IF(PaymentsDue="End of Period",0,1)), "")</f>
        <v/>
      </c>
    </row>
    <row r="525">
      <c r="A525" t="inlineStr">
        <is>
          <t>Loan analysis</t>
        </is>
      </c>
      <c r="B525" t="inlineStr">
        <is>
          <t>H48</t>
        </is>
      </c>
      <c r="C525" t="n">
        <v>48</v>
      </c>
      <c r="D525" t="n">
        <v>8</v>
      </c>
      <c r="E525" t="inlineStr">
        <is>
          <t>Output</t>
        </is>
      </c>
      <c r="F525" t="inlineStr">
        <is>
          <t>'=IFERROR(PMT(INDEX(Data[],ROW()-ROW(Data[[#Headers],[20]]),1)/12,Data[[#Headers],[20]]*12,-LoanAmount,0,IF(PaymentsDue="End of Period",0,1)), "")</t>
        </is>
      </c>
      <c r="G525" t="n">
        <v>105.6306692377574</v>
      </c>
      <c r="H525" t="inlineStr"/>
      <c r="I525" t="inlineStr">
        <is>
          <t>"$"#,##0.00_);[Red]\("$"#,##0.00\)</t>
        </is>
      </c>
      <c r="J525" t="b">
        <v>0</v>
      </c>
      <c r="K525" t="b">
        <v>0</v>
      </c>
      <c r="L525" t="n">
        <v>11</v>
      </c>
      <c r="M525" t="inlineStr">
        <is>
          <t>Values must be of type &lt;class 'str'&gt;</t>
        </is>
      </c>
      <c r="N525" t="inlineStr">
        <is>
          <t>00000000</t>
        </is>
      </c>
      <c r="O525" t="inlineStr">
        <is>
          <t>center</t>
        </is>
      </c>
      <c r="P525" t="inlineStr">
        <is>
          <t>center</t>
        </is>
      </c>
      <c r="R525" t="b">
        <v>1</v>
      </c>
      <c r="S525" t="inlineStr">
        <is>
          <t>G000007</t>
        </is>
      </c>
      <c r="T525" t="inlineStr">
        <is>
          <t>Vertical</t>
        </is>
      </c>
      <c r="U525" t="n">
        <v>57</v>
      </c>
      <c r="V525" t="b">
        <v>1</v>
      </c>
      <c r="W525" t="inlineStr">
        <is>
          <t>Loan analysis!H10:H66</t>
        </is>
      </c>
      <c r="X525">
        <f>IFERROR(PMT(INDEX(Data[],ROW()-ROW(Data[[#Headers],[20]]),1)/12,Data[[#Headers],[20]]*12,-LoanAmount,0,IF(PaymentsDue="End of Period",0,1)), "")</f>
        <v/>
      </c>
    </row>
    <row r="526">
      <c r="A526" t="inlineStr">
        <is>
          <t>Loan analysis</t>
        </is>
      </c>
      <c r="B526" t="inlineStr">
        <is>
          <t>I48</t>
        </is>
      </c>
      <c r="C526" t="n">
        <v>48</v>
      </c>
      <c r="D526" t="n">
        <v>9</v>
      </c>
      <c r="E526" t="inlineStr">
        <is>
          <t>Output</t>
        </is>
      </c>
      <c r="F526" t="inlineStr">
        <is>
          <t>'=IFERROR(PMT(INDEX(Data[],ROW()-ROW(Data[[#Headers],[25]]),1)/12,Data[[#Headers],[25]]*12,-LoanAmount,0,IF(PaymentsDue="End of Period",0,1)), "")</t>
        </is>
      </c>
      <c r="G526" t="n">
        <v>100.6820270717092</v>
      </c>
      <c r="H526" t="inlineStr"/>
      <c r="I526" t="inlineStr">
        <is>
          <t>"$"#,##0.00_);[Red]\("$"#,##0.00\)</t>
        </is>
      </c>
      <c r="J526" t="b">
        <v>0</v>
      </c>
      <c r="K526" t="b">
        <v>0</v>
      </c>
      <c r="L526" t="n">
        <v>11</v>
      </c>
      <c r="M526" t="inlineStr">
        <is>
          <t>Values must be of type &lt;class 'str'&gt;</t>
        </is>
      </c>
      <c r="N526" t="inlineStr">
        <is>
          <t>00000000</t>
        </is>
      </c>
      <c r="O526" t="inlineStr">
        <is>
          <t>center</t>
        </is>
      </c>
      <c r="P526" t="inlineStr">
        <is>
          <t>center</t>
        </is>
      </c>
      <c r="R526" t="b">
        <v>1</v>
      </c>
      <c r="S526" t="inlineStr">
        <is>
          <t>G000008</t>
        </is>
      </c>
      <c r="T526" t="inlineStr">
        <is>
          <t>Vertical</t>
        </is>
      </c>
      <c r="U526" t="n">
        <v>57</v>
      </c>
      <c r="V526" t="b">
        <v>1</v>
      </c>
      <c r="W526" t="inlineStr">
        <is>
          <t>Loan analysis!I10:I66</t>
        </is>
      </c>
      <c r="X526">
        <f>IFERROR(PMT(INDEX(Data[],ROW()-ROW(Data[[#Headers],[25]]),1)/12,Data[[#Headers],[25]]*12,-LoanAmount,0,IF(PaymentsDue="End of Period",0,1)), "")</f>
        <v/>
      </c>
    </row>
    <row r="527">
      <c r="A527" t="inlineStr">
        <is>
          <t>Loan analysis</t>
        </is>
      </c>
      <c r="B527" t="inlineStr">
        <is>
          <t>J48</t>
        </is>
      </c>
      <c r="C527" t="n">
        <v>48</v>
      </c>
      <c r="D527" t="n">
        <v>10</v>
      </c>
      <c r="E527" t="inlineStr">
        <is>
          <t>Output</t>
        </is>
      </c>
      <c r="F527" t="inlineStr">
        <is>
          <t>'=IFERROR(PMT(INDEX(Data[],ROW()-ROW(Data[[#Headers],[30]]),1)/12,Data[[#Headers],[30]]*12,-LoanAmount,0,IF(PaymentsDue="End of Period",0,1)), "")</t>
        </is>
      </c>
      <c r="G527" t="n">
        <v>98.08912255607758</v>
      </c>
      <c r="H527" t="inlineStr"/>
      <c r="I527" t="inlineStr">
        <is>
          <t>"$"#,##0.00_);[Red]\("$"#,##0.00\)</t>
        </is>
      </c>
      <c r="J527" t="b">
        <v>0</v>
      </c>
      <c r="K527" t="b">
        <v>0</v>
      </c>
      <c r="L527" t="n">
        <v>11</v>
      </c>
      <c r="M527" t="inlineStr">
        <is>
          <t>Values must be of type &lt;class 'str'&gt;</t>
        </is>
      </c>
      <c r="N527" t="inlineStr">
        <is>
          <t>00000000</t>
        </is>
      </c>
      <c r="O527" t="inlineStr">
        <is>
          <t>center</t>
        </is>
      </c>
      <c r="P527" t="inlineStr">
        <is>
          <t>center</t>
        </is>
      </c>
      <c r="R527" t="b">
        <v>1</v>
      </c>
      <c r="S527" t="inlineStr">
        <is>
          <t>G000009</t>
        </is>
      </c>
      <c r="T527" t="inlineStr">
        <is>
          <t>Vertical</t>
        </is>
      </c>
      <c r="U527" t="n">
        <v>57</v>
      </c>
      <c r="V527" t="b">
        <v>1</v>
      </c>
      <c r="W527" t="inlineStr">
        <is>
          <t>Loan analysis!J10:J66</t>
        </is>
      </c>
      <c r="X527">
        <f>IFERROR(PMT(INDEX(Data[],ROW()-ROW(Data[[#Headers],[30]]),1)/12,Data[[#Headers],[30]]*12,-LoanAmount,0,IF(PaymentsDue="End of Period",0,1)), "")</f>
        <v/>
      </c>
    </row>
    <row r="528">
      <c r="A528" t="inlineStr">
        <is>
          <t>Loan analysis</t>
        </is>
      </c>
      <c r="B528" t="inlineStr">
        <is>
          <t>K48</t>
        </is>
      </c>
      <c r="C528" t="n">
        <v>48</v>
      </c>
      <c r="D528" t="n">
        <v>11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Values must be of type &lt;class 'str'&gt;</t>
        </is>
      </c>
      <c r="N528" t="inlineStr">
        <is>
          <t>Values must be of type &lt;class 'str'&gt;</t>
        </is>
      </c>
      <c r="O528" t="n">
        <v/>
      </c>
      <c r="P528" t="n">
        <v/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</row>
    <row r="529">
      <c r="A529" t="inlineStr">
        <is>
          <t>Loan analysis</t>
        </is>
      </c>
      <c r="B529" t="inlineStr">
        <is>
          <t>A49</t>
        </is>
      </c>
      <c r="C529" t="n">
        <v>49</v>
      </c>
      <c r="D529" t="n">
        <v>1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11</v>
      </c>
      <c r="M529" t="inlineStr">
        <is>
          <t>Values must be of type &lt;class 'str'&gt;</t>
        </is>
      </c>
      <c r="N529" t="inlineStr">
        <is>
          <t>Values must be of type &lt;class 'str'&gt;</t>
        </is>
      </c>
      <c r="O529" t="n">
        <v/>
      </c>
      <c r="P529" t="n">
        <v/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</row>
    <row r="530">
      <c r="A530" t="inlineStr">
        <is>
          <t>Loan analysis</t>
        </is>
      </c>
      <c r="B530" t="inlineStr">
        <is>
          <t>B49</t>
        </is>
      </c>
      <c r="C530" t="n">
        <v>49</v>
      </c>
      <c r="D530" t="n">
        <v>2</v>
      </c>
      <c r="E530" t="inlineStr">
        <is>
          <t>Output</t>
        </is>
      </c>
      <c r="F530" t="inlineStr">
        <is>
          <t>'=IFERROR(MAX((ROW()-ROW(Data[[#Headers],[RATE]]))*0.0025+0.0175,0.0025), "")</t>
        </is>
      </c>
      <c r="G530" t="n">
        <v>0.1175</v>
      </c>
      <c r="H530" t="inlineStr"/>
      <c r="I530" t="inlineStr">
        <is>
          <t>0.00%</t>
        </is>
      </c>
      <c r="J530" t="b">
        <v>0</v>
      </c>
      <c r="K530" t="b">
        <v>0</v>
      </c>
      <c r="L530" t="n">
        <v>11</v>
      </c>
      <c r="M530" t="inlineStr">
        <is>
          <t>Values must be of type &lt;class 'str'&gt;</t>
        </is>
      </c>
      <c r="N530" t="inlineStr">
        <is>
          <t>00000000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inlineStr">
        <is>
          <t>G000001</t>
        </is>
      </c>
      <c r="T530" t="inlineStr">
        <is>
          <t>Vertical</t>
        </is>
      </c>
      <c r="U530" t="n">
        <v>57</v>
      </c>
      <c r="V530" t="b">
        <v>1</v>
      </c>
      <c r="W530" t="inlineStr">
        <is>
          <t>Loan analysis!B10:B66</t>
        </is>
      </c>
      <c r="X530">
        <f>IFERROR(MAX((ROW()-ROW(Data[[#Headers],[RATE]]))*0.0025+0.0175,0.0025), "")</f>
        <v/>
      </c>
    </row>
    <row r="531">
      <c r="A531" t="inlineStr">
        <is>
          <t>Loan analysis</t>
        </is>
      </c>
      <c r="B531" t="inlineStr">
        <is>
          <t>C49</t>
        </is>
      </c>
      <c r="C531" t="n">
        <v>49</v>
      </c>
      <c r="D531" t="n">
        <v>3</v>
      </c>
      <c r="E531" t="inlineStr">
        <is>
          <t>Output</t>
        </is>
      </c>
      <c r="F531" t="inlineStr">
        <is>
          <t>'=IFERROR(PMT(INDEX(Data[],ROW()-ROW(Data[[#Headers],[3]]),1)/12,Data[[#Headers],[3]]*12,-LoanAmount,0,IF(PaymentsDue="End of Period",0,1)), "")</t>
        </is>
      </c>
      <c r="G531" t="n">
        <v>327.7411822789512</v>
      </c>
      <c r="H531" t="inlineStr"/>
      <c r="I531" t="inlineStr">
        <is>
          <t>"$"#,##0.00_);[Red]\("$"#,##0.00\)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00000000</t>
        </is>
      </c>
      <c r="O531" t="inlineStr">
        <is>
          <t>center</t>
        </is>
      </c>
      <c r="P531" t="inlineStr">
        <is>
          <t>center</t>
        </is>
      </c>
      <c r="R531" t="b">
        <v>1</v>
      </c>
      <c r="S531" t="inlineStr">
        <is>
          <t>G000002</t>
        </is>
      </c>
      <c r="T531" t="inlineStr">
        <is>
          <t>Vertical</t>
        </is>
      </c>
      <c r="U531" t="n">
        <v>57</v>
      </c>
      <c r="V531" t="b">
        <v>1</v>
      </c>
      <c r="W531" t="inlineStr">
        <is>
          <t>Loan analysis!C10:C66</t>
        </is>
      </c>
      <c r="X531">
        <f>IFERROR(PMT(INDEX(Data[],ROW()-ROW(Data[[#Headers],[3]]),1)/12,Data[[#Headers],[3]]*12,-LoanAmount,0,IF(PaymentsDue="End of Period",0,1)), "")</f>
        <v/>
      </c>
    </row>
    <row r="532">
      <c r="A532" t="inlineStr">
        <is>
          <t>Loan analysis</t>
        </is>
      </c>
      <c r="B532" t="inlineStr">
        <is>
          <t>D49</t>
        </is>
      </c>
      <c r="C532" t="n">
        <v>49</v>
      </c>
      <c r="D532" t="n">
        <v>4</v>
      </c>
      <c r="E532" t="inlineStr">
        <is>
          <t>Output</t>
        </is>
      </c>
      <c r="F532" t="inlineStr">
        <is>
          <t>'=IFERROR(PMT(INDEX(Data[],ROW()-ROW(Data[[#Headers],[5]]),1)/12,Data[[#Headers],[5]]*12,-LoanAmount,0,IF(PaymentsDue="End of Period",0,1)), "")</t>
        </is>
      </c>
      <c r="G532" t="n">
        <v>219.0384572976054</v>
      </c>
      <c r="H532" t="inlineStr"/>
      <c r="I532" t="inlineStr">
        <is>
          <t>"$"#,##0.00_);[Red]\("$"#,##0.00\)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00000000</t>
        </is>
      </c>
      <c r="O532" t="inlineStr">
        <is>
          <t>center</t>
        </is>
      </c>
      <c r="P532" t="inlineStr">
        <is>
          <t>center</t>
        </is>
      </c>
      <c r="R532" t="b">
        <v>1</v>
      </c>
      <c r="S532" t="inlineStr">
        <is>
          <t>G000003</t>
        </is>
      </c>
      <c r="T532" t="inlineStr">
        <is>
          <t>Vertical</t>
        </is>
      </c>
      <c r="U532" t="n">
        <v>57</v>
      </c>
      <c r="V532" t="b">
        <v>1</v>
      </c>
      <c r="W532" t="inlineStr">
        <is>
          <t>Loan analysis!D10:D66</t>
        </is>
      </c>
      <c r="X532">
        <f>IFERROR(PMT(INDEX(Data[],ROW()-ROW(Data[[#Headers],[5]]),1)/12,Data[[#Headers],[5]]*12,-LoanAmount,0,IF(PaymentsDue="End of Period",0,1)), "")</f>
        <v/>
      </c>
    </row>
    <row r="533">
      <c r="A533" t="inlineStr">
        <is>
          <t>Loan analysis</t>
        </is>
      </c>
      <c r="B533" t="inlineStr">
        <is>
          <t>E49</t>
        </is>
      </c>
      <c r="C533" t="n">
        <v>49</v>
      </c>
      <c r="D533" t="n">
        <v>5</v>
      </c>
      <c r="E533" t="inlineStr">
        <is>
          <t>Output</t>
        </is>
      </c>
      <c r="F533" t="inlineStr">
        <is>
          <t>'=IFERROR(PMT(INDEX(Data[],ROW()-ROW(Data[[#Headers],[10]]),1)/12,Data[[#Headers],[10]]*12,-LoanAmount,0,IF(PaymentsDue="End of Period",0,1)), "")</t>
        </is>
      </c>
      <c r="G533" t="n">
        <v>140.652239407226</v>
      </c>
      <c r="H533" t="inlineStr"/>
      <c r="I533" t="inlineStr">
        <is>
          <t>"$"#,##0.00_);[Red]\("$"#,##0.00\)</t>
        </is>
      </c>
      <c r="J533" t="b">
        <v>0</v>
      </c>
      <c r="K533" t="b">
        <v>0</v>
      </c>
      <c r="L533" t="n">
        <v>11</v>
      </c>
      <c r="M533" t="inlineStr">
        <is>
          <t>Values must be of type &lt;class 'str'&gt;</t>
        </is>
      </c>
      <c r="N533" t="inlineStr">
        <is>
          <t>00000000</t>
        </is>
      </c>
      <c r="O533" t="inlineStr">
        <is>
          <t>center</t>
        </is>
      </c>
      <c r="P533" t="inlineStr">
        <is>
          <t>center</t>
        </is>
      </c>
      <c r="R533" t="b">
        <v>1</v>
      </c>
      <c r="S533" t="inlineStr">
        <is>
          <t>G000004</t>
        </is>
      </c>
      <c r="T533" t="inlineStr">
        <is>
          <t>Vertical</t>
        </is>
      </c>
      <c r="U533" t="n">
        <v>57</v>
      </c>
      <c r="V533" t="b">
        <v>1</v>
      </c>
      <c r="W533" t="inlineStr">
        <is>
          <t>Loan analysis!E10:E66</t>
        </is>
      </c>
      <c r="X533">
        <f>IFERROR(PMT(INDEX(Data[],ROW()-ROW(Data[[#Headers],[10]]),1)/12,Data[[#Headers],[10]]*12,-LoanAmount,0,IF(PaymentsDue="End of Period",0,1)), "")</f>
        <v/>
      </c>
    </row>
    <row r="534">
      <c r="A534" t="inlineStr">
        <is>
          <t>Loan analysis</t>
        </is>
      </c>
      <c r="B534" t="inlineStr">
        <is>
          <t>F49</t>
        </is>
      </c>
      <c r="C534" t="n">
        <v>49</v>
      </c>
      <c r="D534" t="n">
        <v>6</v>
      </c>
      <c r="E534" t="inlineStr">
        <is>
          <t>Output</t>
        </is>
      </c>
      <c r="F534" t="inlineStr">
        <is>
          <t>'=IFERROR(PMT(INDEX(Data[],ROW()-ROW(Data[[#Headers],[12]]),1)/12,Data[[#Headers],[12]]*12,-LoanAmount,0,IF(PaymentsDue="End of Period",0,1)), "")</t>
        </is>
      </c>
      <c r="G534" t="n">
        <v>128.5736059704319</v>
      </c>
      <c r="H534" t="inlineStr"/>
      <c r="I534" t="inlineStr">
        <is>
          <t>"$"#,##0.00_);[Red]\("$"#,##0.00\)</t>
        </is>
      </c>
      <c r="J534" t="b">
        <v>0</v>
      </c>
      <c r="K534" t="b">
        <v>0</v>
      </c>
      <c r="L534" t="n">
        <v>11</v>
      </c>
      <c r="M534" t="inlineStr">
        <is>
          <t>Values must be of type &lt;class 'str'&gt;</t>
        </is>
      </c>
      <c r="N534" t="inlineStr">
        <is>
          <t>00000000</t>
        </is>
      </c>
      <c r="O534" t="inlineStr">
        <is>
          <t>center</t>
        </is>
      </c>
      <c r="P534" t="inlineStr">
        <is>
          <t>center</t>
        </is>
      </c>
      <c r="R534" t="b">
        <v>1</v>
      </c>
      <c r="S534" t="inlineStr">
        <is>
          <t>G000005</t>
        </is>
      </c>
      <c r="T534" t="inlineStr">
        <is>
          <t>Vertical</t>
        </is>
      </c>
      <c r="U534" t="n">
        <v>57</v>
      </c>
      <c r="V534" t="b">
        <v>1</v>
      </c>
      <c r="W534" t="inlineStr">
        <is>
          <t>Loan analysis!F10:F66</t>
        </is>
      </c>
      <c r="X534">
        <f>IFERROR(PMT(INDEX(Data[],ROW()-ROW(Data[[#Headers],[12]]),1)/12,Data[[#Headers],[12]]*12,-LoanAmount,0,IF(PaymentsDue="End of Period",0,1)), "")</f>
        <v/>
      </c>
    </row>
    <row r="535">
      <c r="A535" t="inlineStr">
        <is>
          <t>Loan analysis</t>
        </is>
      </c>
      <c r="B535" t="inlineStr">
        <is>
          <t>G49</t>
        </is>
      </c>
      <c r="C535" t="n">
        <v>49</v>
      </c>
      <c r="D535" t="n">
        <v>7</v>
      </c>
      <c r="E535" t="inlineStr">
        <is>
          <t>Output</t>
        </is>
      </c>
      <c r="F535" t="inlineStr">
        <is>
          <t>'=IFERROR(PMT(INDEX(Data[],ROW()-ROW(Data[[#Headers],[15]]),1)/12,Data[[#Headers],[15]]*12,-LoanAmount,0,IF(PaymentsDue="End of Period",0,1)), "")</t>
        </is>
      </c>
      <c r="G535" t="n">
        <v>117.2649172093978</v>
      </c>
      <c r="H535" t="inlineStr"/>
      <c r="I535" t="inlineStr">
        <is>
          <t>"$"#,##0.00_);[Red]\("$"#,##0.00\)</t>
        </is>
      </c>
      <c r="J535" t="b">
        <v>0</v>
      </c>
      <c r="K535" t="b">
        <v>0</v>
      </c>
      <c r="L535" t="n">
        <v>11</v>
      </c>
      <c r="M535" t="inlineStr">
        <is>
          <t>Values must be of type &lt;class 'str'&gt;</t>
        </is>
      </c>
      <c r="N535" t="inlineStr">
        <is>
          <t>00000000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inlineStr">
        <is>
          <t>G000006</t>
        </is>
      </c>
      <c r="T535" t="inlineStr">
        <is>
          <t>Vertical</t>
        </is>
      </c>
      <c r="U535" t="n">
        <v>57</v>
      </c>
      <c r="V535" t="b">
        <v>1</v>
      </c>
      <c r="W535" t="inlineStr">
        <is>
          <t>Loan analysis!G10:G66</t>
        </is>
      </c>
      <c r="X535">
        <f>IFERROR(PMT(INDEX(Data[],ROW()-ROW(Data[[#Headers],[15]]),1)/12,Data[[#Headers],[15]]*12,-LoanAmount,0,IF(PaymentsDue="End of Period",0,1)), "")</f>
        <v/>
      </c>
    </row>
    <row r="536">
      <c r="A536" t="inlineStr">
        <is>
          <t>Loan analysis</t>
        </is>
      </c>
      <c r="B536" t="inlineStr">
        <is>
          <t>H49</t>
        </is>
      </c>
      <c r="C536" t="n">
        <v>49</v>
      </c>
      <c r="D536" t="n">
        <v>8</v>
      </c>
      <c r="E536" t="inlineStr">
        <is>
          <t>Output</t>
        </is>
      </c>
      <c r="F536" t="inlineStr">
        <is>
          <t>'=IFERROR(PMT(INDEX(Data[],ROW()-ROW(Data[[#Headers],[20]]),1)/12,Data[[#Headers],[20]]*12,-LoanAmount,0,IF(PaymentsDue="End of Period",0,1)), "")</t>
        </is>
      </c>
      <c r="G536" t="n">
        <v>107.3198659006839</v>
      </c>
      <c r="H536" t="inlineStr"/>
      <c r="I536" t="inlineStr">
        <is>
          <t>"$"#,##0.00_);[Red]\("$"#,##0.00\)</t>
        </is>
      </c>
      <c r="J536" t="b">
        <v>0</v>
      </c>
      <c r="K536" t="b">
        <v>0</v>
      </c>
      <c r="L536" t="n">
        <v>11</v>
      </c>
      <c r="M536" t="inlineStr">
        <is>
          <t>Values must be of type &lt;class 'str'&gt;</t>
        </is>
      </c>
      <c r="N536" t="inlineStr">
        <is>
          <t>00000000</t>
        </is>
      </c>
      <c r="O536" t="inlineStr">
        <is>
          <t>center</t>
        </is>
      </c>
      <c r="P536" t="inlineStr">
        <is>
          <t>center</t>
        </is>
      </c>
      <c r="R536" t="b">
        <v>1</v>
      </c>
      <c r="S536" t="inlineStr">
        <is>
          <t>G000007</t>
        </is>
      </c>
      <c r="T536" t="inlineStr">
        <is>
          <t>Vertical</t>
        </is>
      </c>
      <c r="U536" t="n">
        <v>57</v>
      </c>
      <c r="V536" t="b">
        <v>1</v>
      </c>
      <c r="W536" t="inlineStr">
        <is>
          <t>Loan analysis!H10:H66</t>
        </is>
      </c>
      <c r="X536">
        <f>IFERROR(PMT(INDEX(Data[],ROW()-ROW(Data[[#Headers],[20]]),1)/12,Data[[#Headers],[20]]*12,-LoanAmount,0,IF(PaymentsDue="End of Period",0,1)), "")</f>
        <v/>
      </c>
    </row>
    <row r="537">
      <c r="A537" t="inlineStr">
        <is>
          <t>Loan analysis</t>
        </is>
      </c>
      <c r="B537" t="inlineStr">
        <is>
          <t>I49</t>
        </is>
      </c>
      <c r="C537" t="n">
        <v>49</v>
      </c>
      <c r="D537" t="n">
        <v>9</v>
      </c>
      <c r="E537" t="inlineStr">
        <is>
          <t>Output</t>
        </is>
      </c>
      <c r="F537" t="inlineStr">
        <is>
          <t>'=IFERROR(PMT(INDEX(Data[],ROW()-ROW(Data[[#Headers],[25]]),1)/12,Data[[#Headers],[25]]*12,-LoanAmount,0,IF(PaymentsDue="End of Period",0,1)), "")</t>
        </is>
      </c>
      <c r="G537" t="n">
        <v>102.4764042631877</v>
      </c>
      <c r="H537" t="inlineStr"/>
      <c r="I537" t="inlineStr">
        <is>
          <t>"$"#,##0.00_);[Red]\("$"#,##0.00\)</t>
        </is>
      </c>
      <c r="J537" t="b">
        <v>0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00000000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inlineStr">
        <is>
          <t>G000008</t>
        </is>
      </c>
      <c r="T537" t="inlineStr">
        <is>
          <t>Vertical</t>
        </is>
      </c>
      <c r="U537" t="n">
        <v>57</v>
      </c>
      <c r="V537" t="b">
        <v>1</v>
      </c>
      <c r="W537" t="inlineStr">
        <is>
          <t>Loan analysis!I10:I66</t>
        </is>
      </c>
      <c r="X537">
        <f>IFERROR(PMT(INDEX(Data[],ROW()-ROW(Data[[#Headers],[25]]),1)/12,Data[[#Headers],[25]]*12,-LoanAmount,0,IF(PaymentsDue="End of Period",0,1)), "")</f>
        <v/>
      </c>
    </row>
    <row r="538">
      <c r="A538" t="inlineStr">
        <is>
          <t>Loan analysis</t>
        </is>
      </c>
      <c r="B538" t="inlineStr">
        <is>
          <t>J49</t>
        </is>
      </c>
      <c r="C538" t="n">
        <v>49</v>
      </c>
      <c r="D538" t="n">
        <v>10</v>
      </c>
      <c r="E538" t="inlineStr">
        <is>
          <t>Output</t>
        </is>
      </c>
      <c r="F538" t="inlineStr">
        <is>
          <t>'=IFERROR(PMT(INDEX(Data[],ROW()-ROW(Data[[#Headers],[30]]),1)/12,Data[[#Headers],[30]]*12,-LoanAmount,0,IF(PaymentsDue="End of Period",0,1)), "")</t>
        </is>
      </c>
      <c r="G538" t="n">
        <v>99.96217713300346</v>
      </c>
      <c r="H538" t="inlineStr"/>
      <c r="I538" t="inlineStr">
        <is>
          <t>"$"#,##0.00_);[Red]\("$"#,##0.00\)</t>
        </is>
      </c>
      <c r="J538" t="b">
        <v>0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00000000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inlineStr">
        <is>
          <t>G000009</t>
        </is>
      </c>
      <c r="T538" t="inlineStr">
        <is>
          <t>Vertical</t>
        </is>
      </c>
      <c r="U538" t="n">
        <v>57</v>
      </c>
      <c r="V538" t="b">
        <v>1</v>
      </c>
      <c r="W538" t="inlineStr">
        <is>
          <t>Loan analysis!J10:J66</t>
        </is>
      </c>
      <c r="X538">
        <f>IFERROR(PMT(INDEX(Data[],ROW()-ROW(Data[[#Headers],[30]]),1)/12,Data[[#Headers],[30]]*12,-LoanAmount,0,IF(PaymentsDue="End of Period",0,1)), "")</f>
        <v/>
      </c>
    </row>
    <row r="539">
      <c r="A539" t="inlineStr">
        <is>
          <t>Loan analysis</t>
        </is>
      </c>
      <c r="B539" t="inlineStr">
        <is>
          <t>K49</t>
        </is>
      </c>
      <c r="C539" t="n">
        <v>49</v>
      </c>
      <c r="D539" t="n">
        <v>11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n">
        <v/>
      </c>
      <c r="P539" t="n">
        <v/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Loan analysis</t>
        </is>
      </c>
      <c r="B540" t="inlineStr">
        <is>
          <t>A50</t>
        </is>
      </c>
      <c r="C540" t="n">
        <v>50</v>
      </c>
      <c r="D540" t="n">
        <v>1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n">
        <v/>
      </c>
      <c r="P540" t="n">
        <v/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Loan analysis</t>
        </is>
      </c>
      <c r="B541" t="inlineStr">
        <is>
          <t>B50</t>
        </is>
      </c>
      <c r="C541" t="n">
        <v>50</v>
      </c>
      <c r="D541" t="n">
        <v>2</v>
      </c>
      <c r="E541" t="inlineStr">
        <is>
          <t>Output</t>
        </is>
      </c>
      <c r="F541" t="inlineStr">
        <is>
          <t>'=IFERROR(MAX((ROW()-ROW(Data[[#Headers],[RATE]]))*0.0025+0.0175,0.0025), "")</t>
        </is>
      </c>
      <c r="G541" t="n">
        <v>0.12</v>
      </c>
      <c r="H541" t="inlineStr"/>
      <c r="I541" t="inlineStr">
        <is>
          <t>0.00%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00000000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inlineStr">
        <is>
          <t>G000001</t>
        </is>
      </c>
      <c r="T541" t="inlineStr">
        <is>
          <t>Vertical</t>
        </is>
      </c>
      <c r="U541" t="n">
        <v>57</v>
      </c>
      <c r="V541" t="b">
        <v>1</v>
      </c>
      <c r="W541" t="inlineStr">
        <is>
          <t>Loan analysis!B10:B66</t>
        </is>
      </c>
      <c r="X541">
        <f>IFERROR(MAX((ROW()-ROW(Data[[#Headers],[RATE]]))*0.0025+0.0175,0.0025), "")</f>
        <v/>
      </c>
    </row>
    <row r="542">
      <c r="A542" t="inlineStr">
        <is>
          <t>Loan analysis</t>
        </is>
      </c>
      <c r="B542" t="inlineStr">
        <is>
          <t>C50</t>
        </is>
      </c>
      <c r="C542" t="n">
        <v>50</v>
      </c>
      <c r="D542" t="n">
        <v>3</v>
      </c>
      <c r="E542" t="inlineStr">
        <is>
          <t>Output</t>
        </is>
      </c>
      <c r="F542" t="inlineStr">
        <is>
          <t>'=IFERROR(PMT(INDEX(Data[],ROW()-ROW(Data[[#Headers],[3]]),1)/12,Data[[#Headers],[3]]*12,-LoanAmount,0,IF(PaymentsDue="End of Period",0,1)), "")</t>
        </is>
      </c>
      <c r="G542" t="n">
        <v>328.854552602487</v>
      </c>
      <c r="H542" t="inlineStr"/>
      <c r="I542" t="inlineStr">
        <is>
          <t>"$"#,##0.00_);[Red]\("$"#,##0.00\)</t>
        </is>
      </c>
      <c r="J542" t="b">
        <v>0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00000000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inlineStr">
        <is>
          <t>G000002</t>
        </is>
      </c>
      <c r="T542" t="inlineStr">
        <is>
          <t>Vertical</t>
        </is>
      </c>
      <c r="U542" t="n">
        <v>57</v>
      </c>
      <c r="V542" t="b">
        <v>1</v>
      </c>
      <c r="W542" t="inlineStr">
        <is>
          <t>Loan analysis!C10:C66</t>
        </is>
      </c>
      <c r="X542">
        <f>IFERROR(PMT(INDEX(Data[],ROW()-ROW(Data[[#Headers],[3]]),1)/12,Data[[#Headers],[3]]*12,-LoanAmount,0,IF(PaymentsDue="End of Period",0,1)), "")</f>
        <v/>
      </c>
    </row>
    <row r="543">
      <c r="A543" t="inlineStr">
        <is>
          <t>Loan analysis</t>
        </is>
      </c>
      <c r="B543" t="inlineStr">
        <is>
          <t>D50</t>
        </is>
      </c>
      <c r="C543" t="n">
        <v>50</v>
      </c>
      <c r="D543" t="n">
        <v>4</v>
      </c>
      <c r="E543" t="inlineStr">
        <is>
          <t>Output</t>
        </is>
      </c>
      <c r="F543" t="inlineStr">
        <is>
          <t>'=IFERROR(PMT(INDEX(Data[],ROW()-ROW(Data[[#Headers],[5]]),1)/12,Data[[#Headers],[5]]*12,-LoanAmount,0,IF(PaymentsDue="End of Period",0,1)), "")</t>
        </is>
      </c>
      <c r="G543" t="n">
        <v>220.2420562861562</v>
      </c>
      <c r="H543" t="inlineStr"/>
      <c r="I543" t="inlineStr">
        <is>
          <t>"$"#,##0.00_);[Red]\("$"#,##0.00\)</t>
        </is>
      </c>
      <c r="J543" t="b">
        <v>0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00000000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inlineStr">
        <is>
          <t>G000003</t>
        </is>
      </c>
      <c r="T543" t="inlineStr">
        <is>
          <t>Vertical</t>
        </is>
      </c>
      <c r="U543" t="n">
        <v>57</v>
      </c>
      <c r="V543" t="b">
        <v>1</v>
      </c>
      <c r="W543" t="inlineStr">
        <is>
          <t>Loan analysis!D10:D66</t>
        </is>
      </c>
      <c r="X543">
        <f>IFERROR(PMT(INDEX(Data[],ROW()-ROW(Data[[#Headers],[5]]),1)/12,Data[[#Headers],[5]]*12,-LoanAmount,0,IF(PaymentsDue="End of Period",0,1)), "")</f>
        <v/>
      </c>
    </row>
    <row r="544">
      <c r="A544" t="inlineStr">
        <is>
          <t>Loan analysis</t>
        </is>
      </c>
      <c r="B544" t="inlineStr">
        <is>
          <t>E50</t>
        </is>
      </c>
      <c r="C544" t="n">
        <v>50</v>
      </c>
      <c r="D544" t="n">
        <v>5</v>
      </c>
      <c r="E544" t="inlineStr">
        <is>
          <t>Output</t>
        </is>
      </c>
      <c r="F544" t="inlineStr">
        <is>
          <t>'=IFERROR(PMT(INDEX(Data[],ROW()-ROW(Data[[#Headers],[10]]),1)/12,Data[[#Headers],[10]]*12,-LoanAmount,0,IF(PaymentsDue="End of Period",0,1)), "")</t>
        </is>
      </c>
      <c r="G544" t="n">
        <v>142.0504439629578</v>
      </c>
      <c r="H544" t="inlineStr"/>
      <c r="I544" t="inlineStr">
        <is>
          <t>"$"#,##0.00_);[Red]\("$"#,##0.00\)</t>
        </is>
      </c>
      <c r="J544" t="b">
        <v>0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inlineStr">
        <is>
          <t>G000004</t>
        </is>
      </c>
      <c r="T544" t="inlineStr">
        <is>
          <t>Vertical</t>
        </is>
      </c>
      <c r="U544" t="n">
        <v>57</v>
      </c>
      <c r="V544" t="b">
        <v>1</v>
      </c>
      <c r="W544" t="inlineStr">
        <is>
          <t>Loan analysis!E10:E66</t>
        </is>
      </c>
      <c r="X544">
        <f>IFERROR(PMT(INDEX(Data[],ROW()-ROW(Data[[#Headers],[10]]),1)/12,Data[[#Headers],[10]]*12,-LoanAmount,0,IF(PaymentsDue="End of Period",0,1)), "")</f>
        <v/>
      </c>
    </row>
    <row r="545">
      <c r="A545" t="inlineStr">
        <is>
          <t>Loan analysis</t>
        </is>
      </c>
      <c r="B545" t="inlineStr">
        <is>
          <t>F50</t>
        </is>
      </c>
      <c r="C545" t="n">
        <v>50</v>
      </c>
      <c r="D545" t="n">
        <v>6</v>
      </c>
      <c r="E545" t="inlineStr">
        <is>
          <t>Output</t>
        </is>
      </c>
      <c r="F545" t="inlineStr">
        <is>
          <t>'=IFERROR(PMT(INDEX(Data[],ROW()-ROW(Data[[#Headers],[12]]),1)/12,Data[[#Headers],[12]]*12,-LoanAmount,0,IF(PaymentsDue="End of Period",0,1)), "")</t>
        </is>
      </c>
      <c r="G545" t="n">
        <v>130.04149915212</v>
      </c>
      <c r="H545" t="inlineStr"/>
      <c r="I545" t="inlineStr">
        <is>
          <t>"$"#,##0.00_);[Red]\("$"#,##0.00\)</t>
        </is>
      </c>
      <c r="J545" t="b">
        <v>0</v>
      </c>
      <c r="K545" t="b">
        <v>0</v>
      </c>
      <c r="L545" t="n">
        <v>11</v>
      </c>
      <c r="M545" t="inlineStr">
        <is>
          <t>Values must be of type &lt;class 'str'&gt;</t>
        </is>
      </c>
      <c r="N545" t="inlineStr">
        <is>
          <t>00000000</t>
        </is>
      </c>
      <c r="O545" t="inlineStr">
        <is>
          <t>center</t>
        </is>
      </c>
      <c r="P545" t="inlineStr">
        <is>
          <t>center</t>
        </is>
      </c>
      <c r="R545" t="b">
        <v>1</v>
      </c>
      <c r="S545" t="inlineStr">
        <is>
          <t>G000005</t>
        </is>
      </c>
      <c r="T545" t="inlineStr">
        <is>
          <t>Vertical</t>
        </is>
      </c>
      <c r="U545" t="n">
        <v>57</v>
      </c>
      <c r="V545" t="b">
        <v>1</v>
      </c>
      <c r="W545" t="inlineStr">
        <is>
          <t>Loan analysis!F10:F66</t>
        </is>
      </c>
      <c r="X545">
        <f>IFERROR(PMT(INDEX(Data[],ROW()-ROW(Data[[#Headers],[12]]),1)/12,Data[[#Headers],[12]]*12,-LoanAmount,0,IF(PaymentsDue="End of Period",0,1)), "")</f>
        <v/>
      </c>
    </row>
    <row r="546">
      <c r="A546" t="inlineStr">
        <is>
          <t>Loan analysis</t>
        </is>
      </c>
      <c r="B546" t="inlineStr">
        <is>
          <t>G50</t>
        </is>
      </c>
      <c r="C546" t="n">
        <v>50</v>
      </c>
      <c r="D546" t="n">
        <v>7</v>
      </c>
      <c r="E546" t="inlineStr">
        <is>
          <t>Output</t>
        </is>
      </c>
      <c r="F546" t="inlineStr">
        <is>
          <t>'=IFERROR(PMT(INDEX(Data[],ROW()-ROW(Data[[#Headers],[15]]),1)/12,Data[[#Headers],[15]]*12,-LoanAmount,0,IF(PaymentsDue="End of Period",0,1)), "")</t>
        </is>
      </c>
      <c r="G546" t="n">
        <v>118.8285209991598</v>
      </c>
      <c r="H546" t="inlineStr"/>
      <c r="I546" t="inlineStr">
        <is>
          <t>"$"#,##0.00_);[Red]\("$"#,##0.00\)</t>
        </is>
      </c>
      <c r="J546" t="b">
        <v>0</v>
      </c>
      <c r="K546" t="b">
        <v>0</v>
      </c>
      <c r="L546" t="n">
        <v>11</v>
      </c>
      <c r="M546" t="inlineStr">
        <is>
          <t>Values must be of type &lt;class 'str'&gt;</t>
        </is>
      </c>
      <c r="N546" t="inlineStr">
        <is>
          <t>00000000</t>
        </is>
      </c>
      <c r="O546" t="inlineStr">
        <is>
          <t>center</t>
        </is>
      </c>
      <c r="P546" t="inlineStr">
        <is>
          <t>center</t>
        </is>
      </c>
      <c r="R546" t="b">
        <v>1</v>
      </c>
      <c r="S546" t="inlineStr">
        <is>
          <t>G000006</t>
        </is>
      </c>
      <c r="T546" t="inlineStr">
        <is>
          <t>Vertical</t>
        </is>
      </c>
      <c r="U546" t="n">
        <v>57</v>
      </c>
      <c r="V546" t="b">
        <v>1</v>
      </c>
      <c r="W546" t="inlineStr">
        <is>
          <t>Loan analysis!G10:G66</t>
        </is>
      </c>
      <c r="X546">
        <f>IFERROR(PMT(INDEX(Data[],ROW()-ROW(Data[[#Headers],[15]]),1)/12,Data[[#Headers],[15]]*12,-LoanAmount,0,IF(PaymentsDue="End of Period",0,1)), "")</f>
        <v/>
      </c>
    </row>
    <row r="547">
      <c r="A547" t="inlineStr">
        <is>
          <t>Loan analysis</t>
        </is>
      </c>
      <c r="B547" t="inlineStr">
        <is>
          <t>H50</t>
        </is>
      </c>
      <c r="C547" t="n">
        <v>50</v>
      </c>
      <c r="D547" t="n">
        <v>8</v>
      </c>
      <c r="E547" t="inlineStr">
        <is>
          <t>Output</t>
        </is>
      </c>
      <c r="F547" t="inlineStr">
        <is>
          <t>'=IFERROR(PMT(INDEX(Data[],ROW()-ROW(Data[[#Headers],[20]]),1)/12,Data[[#Headers],[20]]*12,-LoanAmount,0,IF(PaymentsDue="End of Period",0,1)), "")</t>
        </is>
      </c>
      <c r="G547" t="n">
        <v>109.018429066298</v>
      </c>
      <c r="H547" t="inlineStr"/>
      <c r="I547" t="inlineStr">
        <is>
          <t>"$"#,##0.00_);[Red]\("$"#,##0.00\)</t>
        </is>
      </c>
      <c r="J547" t="b">
        <v>0</v>
      </c>
      <c r="K547" t="b">
        <v>0</v>
      </c>
      <c r="L547" t="n">
        <v>11</v>
      </c>
      <c r="M547" t="inlineStr">
        <is>
          <t>Values must be of type &lt;class 'str'&gt;</t>
        </is>
      </c>
      <c r="N547" t="inlineStr">
        <is>
          <t>00000000</t>
        </is>
      </c>
      <c r="O547" t="inlineStr">
        <is>
          <t>center</t>
        </is>
      </c>
      <c r="P547" t="inlineStr">
        <is>
          <t>center</t>
        </is>
      </c>
      <c r="R547" t="b">
        <v>1</v>
      </c>
      <c r="S547" t="inlineStr">
        <is>
          <t>G000007</t>
        </is>
      </c>
      <c r="T547" t="inlineStr">
        <is>
          <t>Vertical</t>
        </is>
      </c>
      <c r="U547" t="n">
        <v>57</v>
      </c>
      <c r="V547" t="b">
        <v>1</v>
      </c>
      <c r="W547" t="inlineStr">
        <is>
          <t>Loan analysis!H10:H66</t>
        </is>
      </c>
      <c r="X547">
        <f>IFERROR(PMT(INDEX(Data[],ROW()-ROW(Data[[#Headers],[20]]),1)/12,Data[[#Headers],[20]]*12,-LoanAmount,0,IF(PaymentsDue="End of Period",0,1)), "")</f>
        <v/>
      </c>
    </row>
    <row r="548">
      <c r="A548" t="inlineStr">
        <is>
          <t>Loan analysis</t>
        </is>
      </c>
      <c r="B548" t="inlineStr">
        <is>
          <t>I50</t>
        </is>
      </c>
      <c r="C548" t="n">
        <v>50</v>
      </c>
      <c r="D548" t="n">
        <v>9</v>
      </c>
      <c r="E548" t="inlineStr">
        <is>
          <t>Output</t>
        </is>
      </c>
      <c r="F548" t="inlineStr">
        <is>
          <t>'=IFERROR(PMT(INDEX(Data[],ROW()-ROW(Data[[#Headers],[25]]),1)/12,Data[[#Headers],[25]]*12,-LoanAmount,0,IF(PaymentsDue="End of Period",0,1)), "")</t>
        </is>
      </c>
      <c r="G548" t="n">
        <v>104.2796180393691</v>
      </c>
      <c r="H548" t="inlineStr"/>
      <c r="I548" t="inlineStr">
        <is>
          <t>"$"#,##0.00_);[Red]\("$"#,##0.00\)</t>
        </is>
      </c>
      <c r="J548" t="b">
        <v>0</v>
      </c>
      <c r="K548" t="b">
        <v>0</v>
      </c>
      <c r="L548" t="n">
        <v>11</v>
      </c>
      <c r="M548" t="inlineStr">
        <is>
          <t>Values must be of type &lt;class 'str'&gt;</t>
        </is>
      </c>
      <c r="N548" t="inlineStr">
        <is>
          <t>00000000</t>
        </is>
      </c>
      <c r="O548" t="inlineStr">
        <is>
          <t>center</t>
        </is>
      </c>
      <c r="P548" t="inlineStr">
        <is>
          <t>center</t>
        </is>
      </c>
      <c r="R548" t="b">
        <v>1</v>
      </c>
      <c r="S548" t="inlineStr">
        <is>
          <t>G000008</t>
        </is>
      </c>
      <c r="T548" t="inlineStr">
        <is>
          <t>Vertical</t>
        </is>
      </c>
      <c r="U548" t="n">
        <v>57</v>
      </c>
      <c r="V548" t="b">
        <v>1</v>
      </c>
      <c r="W548" t="inlineStr">
        <is>
          <t>Loan analysis!I10:I66</t>
        </is>
      </c>
      <c r="X548">
        <f>IFERROR(PMT(INDEX(Data[],ROW()-ROW(Data[[#Headers],[25]]),1)/12,Data[[#Headers],[25]]*12,-LoanAmount,0,IF(PaymentsDue="End of Period",0,1)), "")</f>
        <v/>
      </c>
    </row>
    <row r="549">
      <c r="A549" t="inlineStr">
        <is>
          <t>Loan analysis</t>
        </is>
      </c>
      <c r="B549" t="inlineStr">
        <is>
          <t>J50</t>
        </is>
      </c>
      <c r="C549" t="n">
        <v>50</v>
      </c>
      <c r="D549" t="n">
        <v>10</v>
      </c>
      <c r="E549" t="inlineStr">
        <is>
          <t>Output</t>
        </is>
      </c>
      <c r="F549" t="inlineStr">
        <is>
          <t>'=IFERROR(PMT(INDEX(Data[],ROW()-ROW(Data[[#Headers],[30]]),1)/12,Data[[#Headers],[30]]*12,-LoanAmount,0,IF(PaymentsDue="End of Period",0,1)), "")</t>
        </is>
      </c>
      <c r="G549" t="n">
        <v>101.8428313787628</v>
      </c>
      <c r="H549" t="inlineStr"/>
      <c r="I549" t="inlineStr">
        <is>
          <t>"$"#,##0.00_);[Red]\("$"#,##0.00\)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00000000</t>
        </is>
      </c>
      <c r="O549" t="inlineStr">
        <is>
          <t>center</t>
        </is>
      </c>
      <c r="P549" t="inlineStr">
        <is>
          <t>center</t>
        </is>
      </c>
      <c r="R549" t="b">
        <v>1</v>
      </c>
      <c r="S549" t="inlineStr">
        <is>
          <t>G000009</t>
        </is>
      </c>
      <c r="T549" t="inlineStr">
        <is>
          <t>Vertical</t>
        </is>
      </c>
      <c r="U549" t="n">
        <v>57</v>
      </c>
      <c r="V549" t="b">
        <v>1</v>
      </c>
      <c r="W549" t="inlineStr">
        <is>
          <t>Loan analysis!J10:J66</t>
        </is>
      </c>
      <c r="X549">
        <f>IFERROR(PMT(INDEX(Data[],ROW()-ROW(Data[[#Headers],[30]]),1)/12,Data[[#Headers],[30]]*12,-LoanAmount,0,IF(PaymentsDue="End of Period",0,1)), "")</f>
        <v/>
      </c>
    </row>
    <row r="550">
      <c r="A550" t="inlineStr">
        <is>
          <t>Loan analysis</t>
        </is>
      </c>
      <c r="B550" t="inlineStr">
        <is>
          <t>K50</t>
        </is>
      </c>
      <c r="C550" t="n">
        <v>50</v>
      </c>
      <c r="D550" t="n">
        <v>11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n">
        <v/>
      </c>
      <c r="P550" t="n">
        <v/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Loan analysis</t>
        </is>
      </c>
      <c r="B551" t="inlineStr">
        <is>
          <t>A51</t>
        </is>
      </c>
      <c r="C551" t="n">
        <v>51</v>
      </c>
      <c r="D551" t="n">
        <v>1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n">
        <v/>
      </c>
      <c r="P551" t="n">
        <v/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Loan analysis</t>
        </is>
      </c>
      <c r="B552" t="inlineStr">
        <is>
          <t>B51</t>
        </is>
      </c>
      <c r="C552" t="n">
        <v>51</v>
      </c>
      <c r="D552" t="n">
        <v>2</v>
      </c>
      <c r="E552" t="inlineStr">
        <is>
          <t>Output</t>
        </is>
      </c>
      <c r="F552" t="inlineStr">
        <is>
          <t>'=IFERROR(MAX((ROW()-ROW(Data[[#Headers],[RATE]]))*0.0025+0.0175,0.0025), "")</t>
        </is>
      </c>
      <c r="G552" t="n">
        <v>0.1225</v>
      </c>
      <c r="H552" t="inlineStr"/>
      <c r="I552" t="inlineStr">
        <is>
          <t>0.00%</t>
        </is>
      </c>
      <c r="J552" t="b">
        <v>0</v>
      </c>
      <c r="K552" t="b">
        <v>0</v>
      </c>
      <c r="L552" t="n">
        <v>11</v>
      </c>
      <c r="M552" t="inlineStr">
        <is>
          <t>Values must be of type &lt;class 'str'&gt;</t>
        </is>
      </c>
      <c r="N552" t="inlineStr">
        <is>
          <t>00000000</t>
        </is>
      </c>
      <c r="O552" t="inlineStr">
        <is>
          <t>center</t>
        </is>
      </c>
      <c r="P552" t="inlineStr">
        <is>
          <t>center</t>
        </is>
      </c>
      <c r="R552" t="b">
        <v>1</v>
      </c>
      <c r="S552" t="inlineStr">
        <is>
          <t>G000001</t>
        </is>
      </c>
      <c r="T552" t="inlineStr">
        <is>
          <t>Vertical</t>
        </is>
      </c>
      <c r="U552" t="n">
        <v>57</v>
      </c>
      <c r="V552" t="b">
        <v>1</v>
      </c>
      <c r="W552" t="inlineStr">
        <is>
          <t>Loan analysis!B10:B66</t>
        </is>
      </c>
      <c r="X552">
        <f>IFERROR(MAX((ROW()-ROW(Data[[#Headers],[RATE]]))*0.0025+0.0175,0.0025), "")</f>
        <v/>
      </c>
    </row>
    <row r="553">
      <c r="A553" t="inlineStr">
        <is>
          <t>Loan analysis</t>
        </is>
      </c>
      <c r="B553" t="inlineStr">
        <is>
          <t>C51</t>
        </is>
      </c>
      <c r="C553" t="n">
        <v>51</v>
      </c>
      <c r="D553" t="n">
        <v>3</v>
      </c>
      <c r="E553" t="inlineStr">
        <is>
          <t>Output</t>
        </is>
      </c>
      <c r="F553" t="inlineStr">
        <is>
          <t>'=IFERROR(PMT(INDEX(Data[],ROW()-ROW(Data[[#Headers],[3]]),1)/12,Data[[#Headers],[3]]*12,-LoanAmount,0,IF(PaymentsDue="End of Period",0,1)), "")</t>
        </is>
      </c>
      <c r="G553" t="n">
        <v>329.9699690996667</v>
      </c>
      <c r="H553" t="inlineStr"/>
      <c r="I553" t="inlineStr">
        <is>
          <t>"$"#,##0.00_);[Red]\("$"#,##0.00\)</t>
        </is>
      </c>
      <c r="J553" t="b">
        <v>0</v>
      </c>
      <c r="K553" t="b">
        <v>0</v>
      </c>
      <c r="L553" t="n">
        <v>11</v>
      </c>
      <c r="M553" t="inlineStr">
        <is>
          <t>Values must be of type &lt;class 'str'&gt;</t>
        </is>
      </c>
      <c r="N553" t="inlineStr">
        <is>
          <t>00000000</t>
        </is>
      </c>
      <c r="O553" t="inlineStr">
        <is>
          <t>center</t>
        </is>
      </c>
      <c r="P553" t="inlineStr">
        <is>
          <t>center</t>
        </is>
      </c>
      <c r="R553" t="b">
        <v>1</v>
      </c>
      <c r="S553" t="inlineStr">
        <is>
          <t>G000002</t>
        </is>
      </c>
      <c r="T553" t="inlineStr">
        <is>
          <t>Vertical</t>
        </is>
      </c>
      <c r="U553" t="n">
        <v>57</v>
      </c>
      <c r="V553" t="b">
        <v>1</v>
      </c>
      <c r="W553" t="inlineStr">
        <is>
          <t>Loan analysis!C10:C66</t>
        </is>
      </c>
      <c r="X553">
        <f>IFERROR(PMT(INDEX(Data[],ROW()-ROW(Data[[#Headers],[3]]),1)/12,Data[[#Headers],[3]]*12,-LoanAmount,0,IF(PaymentsDue="End of Period",0,1)), "")</f>
        <v/>
      </c>
    </row>
    <row r="554">
      <c r="A554" t="inlineStr">
        <is>
          <t>Loan analysis</t>
        </is>
      </c>
      <c r="B554" t="inlineStr">
        <is>
          <t>D51</t>
        </is>
      </c>
      <c r="C554" t="n">
        <v>51</v>
      </c>
      <c r="D554" t="n">
        <v>4</v>
      </c>
      <c r="E554" t="inlineStr">
        <is>
          <t>Output</t>
        </is>
      </c>
      <c r="F554" t="inlineStr">
        <is>
          <t>'=IFERROR(PMT(INDEX(Data[],ROW()-ROW(Data[[#Headers],[5]]),1)/12,Data[[#Headers],[5]]*12,-LoanAmount,0,IF(PaymentsDue="End of Period",0,1)), "")</t>
        </is>
      </c>
      <c r="G554" t="n">
        <v>221.4492427564498</v>
      </c>
      <c r="H554" t="inlineStr"/>
      <c r="I554" t="inlineStr">
        <is>
          <t>"$"#,##0.00_);[Red]\("$"#,##0.00\)</t>
        </is>
      </c>
      <c r="J554" t="b">
        <v>0</v>
      </c>
      <c r="K554" t="b">
        <v>0</v>
      </c>
      <c r="L554" t="n">
        <v>11</v>
      </c>
      <c r="M554" t="inlineStr">
        <is>
          <t>Values must be of type &lt;class 'str'&gt;</t>
        </is>
      </c>
      <c r="N554" t="inlineStr">
        <is>
          <t>00000000</t>
        </is>
      </c>
      <c r="O554" t="inlineStr">
        <is>
          <t>center</t>
        </is>
      </c>
      <c r="P554" t="inlineStr">
        <is>
          <t>center</t>
        </is>
      </c>
      <c r="R554" t="b">
        <v>1</v>
      </c>
      <c r="S554" t="inlineStr">
        <is>
          <t>G000003</t>
        </is>
      </c>
      <c r="T554" t="inlineStr">
        <is>
          <t>Vertical</t>
        </is>
      </c>
      <c r="U554" t="n">
        <v>57</v>
      </c>
      <c r="V554" t="b">
        <v>1</v>
      </c>
      <c r="W554" t="inlineStr">
        <is>
          <t>Loan analysis!D10:D66</t>
        </is>
      </c>
      <c r="X554">
        <f>IFERROR(PMT(INDEX(Data[],ROW()-ROW(Data[[#Headers],[5]]),1)/12,Data[[#Headers],[5]]*12,-LoanAmount,0,IF(PaymentsDue="End of Period",0,1)), "")</f>
        <v/>
      </c>
    </row>
    <row r="555">
      <c r="A555" t="inlineStr">
        <is>
          <t>Loan analysis</t>
        </is>
      </c>
      <c r="B555" t="inlineStr">
        <is>
          <t>E51</t>
        </is>
      </c>
      <c r="C555" t="n">
        <v>51</v>
      </c>
      <c r="D555" t="n">
        <v>5</v>
      </c>
      <c r="E555" t="inlineStr">
        <is>
          <t>Output</t>
        </is>
      </c>
      <c r="F555" t="inlineStr">
        <is>
          <t>'=IFERROR(PMT(INDEX(Data[],ROW()-ROW(Data[[#Headers],[10]]),1)/12,Data[[#Headers],[10]]*12,-LoanAmount,0,IF(PaymentsDue="End of Period",0,1)), "")</t>
        </is>
      </c>
      <c r="G555" t="n">
        <v>143.4554258493456</v>
      </c>
      <c r="H555" t="inlineStr"/>
      <c r="I555" t="inlineStr">
        <is>
          <t>"$"#,##0.00_);[Red]\("$"#,##0.00\)</t>
        </is>
      </c>
      <c r="J555" t="b">
        <v>0</v>
      </c>
      <c r="K555" t="b">
        <v>0</v>
      </c>
      <c r="L555" t="n">
        <v>11</v>
      </c>
      <c r="M555" t="inlineStr">
        <is>
          <t>Values must be of type &lt;class 'str'&gt;</t>
        </is>
      </c>
      <c r="N555" t="inlineStr">
        <is>
          <t>00000000</t>
        </is>
      </c>
      <c r="O555" t="inlineStr">
        <is>
          <t>center</t>
        </is>
      </c>
      <c r="P555" t="inlineStr">
        <is>
          <t>center</t>
        </is>
      </c>
      <c r="R555" t="b">
        <v>1</v>
      </c>
      <c r="S555" t="inlineStr">
        <is>
          <t>G000004</t>
        </is>
      </c>
      <c r="T555" t="inlineStr">
        <is>
          <t>Vertical</t>
        </is>
      </c>
      <c r="U555" t="n">
        <v>57</v>
      </c>
      <c r="V555" t="b">
        <v>1</v>
      </c>
      <c r="W555" t="inlineStr">
        <is>
          <t>Loan analysis!E10:E66</t>
        </is>
      </c>
      <c r="X555">
        <f>IFERROR(PMT(INDEX(Data[],ROW()-ROW(Data[[#Headers],[10]]),1)/12,Data[[#Headers],[10]]*12,-LoanAmount,0,IF(PaymentsDue="End of Period",0,1)), "")</f>
        <v/>
      </c>
    </row>
    <row r="556">
      <c r="A556" t="inlineStr">
        <is>
          <t>Loan analysis</t>
        </is>
      </c>
      <c r="B556" t="inlineStr">
        <is>
          <t>F51</t>
        </is>
      </c>
      <c r="C556" t="n">
        <v>51</v>
      </c>
      <c r="D556" t="n">
        <v>6</v>
      </c>
      <c r="E556" t="inlineStr">
        <is>
          <t>Output</t>
        </is>
      </c>
      <c r="F556" t="inlineStr">
        <is>
          <t>'=IFERROR(PMT(INDEX(Data[],ROW()-ROW(Data[[#Headers],[12]]),1)/12,Data[[#Headers],[12]]*12,-LoanAmount,0,IF(PaymentsDue="End of Period",0,1)), "")</t>
        </is>
      </c>
      <c r="G556" t="n">
        <v>131.5170918215616</v>
      </c>
      <c r="H556" t="inlineStr"/>
      <c r="I556" t="inlineStr">
        <is>
          <t>"$"#,##0.00_);[Red]\("$"#,##0.00\)</t>
        </is>
      </c>
      <c r="J556" t="b">
        <v>0</v>
      </c>
      <c r="K556" t="b">
        <v>0</v>
      </c>
      <c r="L556" t="n">
        <v>11</v>
      </c>
      <c r="M556" t="inlineStr">
        <is>
          <t>Values must be of type &lt;class 'str'&gt;</t>
        </is>
      </c>
      <c r="N556" t="inlineStr">
        <is>
          <t>00000000</t>
        </is>
      </c>
      <c r="O556" t="inlineStr">
        <is>
          <t>center</t>
        </is>
      </c>
      <c r="P556" t="inlineStr">
        <is>
          <t>center</t>
        </is>
      </c>
      <c r="R556" t="b">
        <v>1</v>
      </c>
      <c r="S556" t="inlineStr">
        <is>
          <t>G000005</t>
        </is>
      </c>
      <c r="T556" t="inlineStr">
        <is>
          <t>Vertical</t>
        </is>
      </c>
      <c r="U556" t="n">
        <v>57</v>
      </c>
      <c r="V556" t="b">
        <v>1</v>
      </c>
      <c r="W556" t="inlineStr">
        <is>
          <t>Loan analysis!F10:F66</t>
        </is>
      </c>
      <c r="X556">
        <f>IFERROR(PMT(INDEX(Data[],ROW()-ROW(Data[[#Headers],[12]]),1)/12,Data[[#Headers],[12]]*12,-LoanAmount,0,IF(PaymentsDue="End of Period",0,1)), "")</f>
        <v/>
      </c>
    </row>
    <row r="557">
      <c r="A557" t="inlineStr">
        <is>
          <t>Loan analysis</t>
        </is>
      </c>
      <c r="B557" t="inlineStr">
        <is>
          <t>G51</t>
        </is>
      </c>
      <c r="C557" t="n">
        <v>51</v>
      </c>
      <c r="D557" t="n">
        <v>7</v>
      </c>
      <c r="E557" t="inlineStr">
        <is>
          <t>Output</t>
        </is>
      </c>
      <c r="F557" t="inlineStr">
        <is>
          <t>'=IFERROR(PMT(INDEX(Data[],ROW()-ROW(Data[[#Headers],[15]]),1)/12,Data[[#Headers],[15]]*12,-LoanAmount,0,IF(PaymentsDue="End of Period",0,1)), "")</t>
        </is>
      </c>
      <c r="G557" t="n">
        <v>120.4007792933802</v>
      </c>
      <c r="H557" t="inlineStr"/>
      <c r="I557" t="inlineStr">
        <is>
          <t>"$"#,##0.00_);[Red]\("$"#,##0.00\)</t>
        </is>
      </c>
      <c r="J557" t="b">
        <v>0</v>
      </c>
      <c r="K557" t="b">
        <v>0</v>
      </c>
      <c r="L557" t="n">
        <v>11</v>
      </c>
      <c r="M557" t="inlineStr">
        <is>
          <t>Values must be of type &lt;class 'str'&gt;</t>
        </is>
      </c>
      <c r="N557" t="inlineStr">
        <is>
          <t>00000000</t>
        </is>
      </c>
      <c r="O557" t="inlineStr">
        <is>
          <t>center</t>
        </is>
      </c>
      <c r="P557" t="inlineStr">
        <is>
          <t>center</t>
        </is>
      </c>
      <c r="R557" t="b">
        <v>1</v>
      </c>
      <c r="S557" t="inlineStr">
        <is>
          <t>G000006</t>
        </is>
      </c>
      <c r="T557" t="inlineStr">
        <is>
          <t>Vertical</t>
        </is>
      </c>
      <c r="U557" t="n">
        <v>57</v>
      </c>
      <c r="V557" t="b">
        <v>1</v>
      </c>
      <c r="W557" t="inlineStr">
        <is>
          <t>Loan analysis!G10:G66</t>
        </is>
      </c>
      <c r="X557">
        <f>IFERROR(PMT(INDEX(Data[],ROW()-ROW(Data[[#Headers],[15]]),1)/12,Data[[#Headers],[15]]*12,-LoanAmount,0,IF(PaymentsDue="End of Period",0,1)), "")</f>
        <v/>
      </c>
    </row>
    <row r="558">
      <c r="A558" t="inlineStr">
        <is>
          <t>Loan analysis</t>
        </is>
      </c>
      <c r="B558" t="inlineStr">
        <is>
          <t>H51</t>
        </is>
      </c>
      <c r="C558" t="n">
        <v>51</v>
      </c>
      <c r="D558" t="n">
        <v>8</v>
      </c>
      <c r="E558" t="inlineStr">
        <is>
          <t>Output</t>
        </is>
      </c>
      <c r="F558" t="inlineStr">
        <is>
          <t>'=IFERROR(PMT(INDEX(Data[],ROW()-ROW(Data[[#Headers],[20]]),1)/12,Data[[#Headers],[20]]*12,-LoanAmount,0,IF(PaymentsDue="End of Period",0,1)), "")</t>
        </is>
      </c>
      <c r="G558" t="n">
        <v>110.7261386968195</v>
      </c>
      <c r="H558" t="inlineStr"/>
      <c r="I558" t="inlineStr">
        <is>
          <t>"$"#,##0.00_);[Red]\("$"#,##0.00\)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00000000</t>
        </is>
      </c>
      <c r="O558" t="inlineStr">
        <is>
          <t>center</t>
        </is>
      </c>
      <c r="P558" t="inlineStr">
        <is>
          <t>center</t>
        </is>
      </c>
      <c r="R558" t="b">
        <v>1</v>
      </c>
      <c r="S558" t="inlineStr">
        <is>
          <t>G000007</t>
        </is>
      </c>
      <c r="T558" t="inlineStr">
        <is>
          <t>Vertical</t>
        </is>
      </c>
      <c r="U558" t="n">
        <v>57</v>
      </c>
      <c r="V558" t="b">
        <v>1</v>
      </c>
      <c r="W558" t="inlineStr">
        <is>
          <t>Loan analysis!H10:H66</t>
        </is>
      </c>
      <c r="X558">
        <f>IFERROR(PMT(INDEX(Data[],ROW()-ROW(Data[[#Headers],[20]]),1)/12,Data[[#Headers],[20]]*12,-LoanAmount,0,IF(PaymentsDue="End of Period",0,1)), "")</f>
        <v/>
      </c>
    </row>
    <row r="559">
      <c r="A559" t="inlineStr">
        <is>
          <t>Loan analysis</t>
        </is>
      </c>
      <c r="B559" t="inlineStr">
        <is>
          <t>I51</t>
        </is>
      </c>
      <c r="C559" t="n">
        <v>51</v>
      </c>
      <c r="D559" t="n">
        <v>9</v>
      </c>
      <c r="E559" t="inlineStr">
        <is>
          <t>Output</t>
        </is>
      </c>
      <c r="F559" t="inlineStr">
        <is>
          <t>'=IFERROR(PMT(INDEX(Data[],ROW()-ROW(Data[[#Headers],[25]]),1)/12,Data[[#Headers],[25]]*12,-LoanAmount,0,IF(PaymentsDue="End of Period",0,1)), "")</t>
        </is>
      </c>
      <c r="G559" t="n">
        <v>106.0913625288074</v>
      </c>
      <c r="H559" t="inlineStr"/>
      <c r="I559" t="inlineStr">
        <is>
          <t>"$"#,##0.00_);[Red]\("$"#,##0.00\)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00000000</t>
        </is>
      </c>
      <c r="O559" t="inlineStr">
        <is>
          <t>center</t>
        </is>
      </c>
      <c r="P559" t="inlineStr">
        <is>
          <t>center</t>
        </is>
      </c>
      <c r="R559" t="b">
        <v>1</v>
      </c>
      <c r="S559" t="inlineStr">
        <is>
          <t>G000008</t>
        </is>
      </c>
      <c r="T559" t="inlineStr">
        <is>
          <t>Vertical</t>
        </is>
      </c>
      <c r="U559" t="n">
        <v>57</v>
      </c>
      <c r="V559" t="b">
        <v>1</v>
      </c>
      <c r="W559" t="inlineStr">
        <is>
          <t>Loan analysis!I10:I66</t>
        </is>
      </c>
      <c r="X559">
        <f>IFERROR(PMT(INDEX(Data[],ROW()-ROW(Data[[#Headers],[25]]),1)/12,Data[[#Headers],[25]]*12,-LoanAmount,0,IF(PaymentsDue="End of Period",0,1)), "")</f>
        <v/>
      </c>
    </row>
    <row r="560">
      <c r="A560" t="inlineStr">
        <is>
          <t>Loan analysis</t>
        </is>
      </c>
      <c r="B560" t="inlineStr">
        <is>
          <t>J51</t>
        </is>
      </c>
      <c r="C560" t="n">
        <v>51</v>
      </c>
      <c r="D560" t="n">
        <v>10</v>
      </c>
      <c r="E560" t="inlineStr">
        <is>
          <t>Output</t>
        </is>
      </c>
      <c r="F560" t="inlineStr">
        <is>
          <t>'=IFERROR(PMT(INDEX(Data[],ROW()-ROW(Data[[#Headers],[30]]),1)/12,Data[[#Headers],[30]]*12,-LoanAmount,0,IF(PaymentsDue="End of Period",0,1)), "")</t>
        </is>
      </c>
      <c r="G560" t="n">
        <v>103.7307254693067</v>
      </c>
      <c r="H560" t="inlineStr"/>
      <c r="I560" t="inlineStr">
        <is>
          <t>"$"#,##0.00_);[Red]\("$"#,##0.00\)</t>
        </is>
      </c>
      <c r="J560" t="b">
        <v>0</v>
      </c>
      <c r="K560" t="b">
        <v>0</v>
      </c>
      <c r="L560" t="n">
        <v>11</v>
      </c>
      <c r="M560" t="inlineStr">
        <is>
          <t>Values must be of type &lt;class 'str'&gt;</t>
        </is>
      </c>
      <c r="N560" t="inlineStr">
        <is>
          <t>00000000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inlineStr">
        <is>
          <t>G000009</t>
        </is>
      </c>
      <c r="T560" t="inlineStr">
        <is>
          <t>Vertical</t>
        </is>
      </c>
      <c r="U560" t="n">
        <v>57</v>
      </c>
      <c r="V560" t="b">
        <v>1</v>
      </c>
      <c r="W560" t="inlineStr">
        <is>
          <t>Loan analysis!J10:J66</t>
        </is>
      </c>
      <c r="X560">
        <f>IFERROR(PMT(INDEX(Data[],ROW()-ROW(Data[[#Headers],[30]]),1)/12,Data[[#Headers],[30]]*12,-LoanAmount,0,IF(PaymentsDue="End of Period",0,1)), "")</f>
        <v/>
      </c>
    </row>
    <row r="561">
      <c r="A561" t="inlineStr">
        <is>
          <t>Loan analysis</t>
        </is>
      </c>
      <c r="B561" t="inlineStr">
        <is>
          <t>K51</t>
        </is>
      </c>
      <c r="C561" t="n">
        <v>51</v>
      </c>
      <c r="D561" t="n">
        <v>11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n">
        <v/>
      </c>
      <c r="P561" t="n">
        <v/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Loan analysis</t>
        </is>
      </c>
      <c r="B562" t="inlineStr">
        <is>
          <t>A52</t>
        </is>
      </c>
      <c r="C562" t="n">
        <v>52</v>
      </c>
      <c r="D562" t="n">
        <v>1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n">
        <v/>
      </c>
      <c r="P562" t="n">
        <v/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Loan analysis</t>
        </is>
      </c>
      <c r="B563" t="inlineStr">
        <is>
          <t>B52</t>
        </is>
      </c>
      <c r="C563" t="n">
        <v>52</v>
      </c>
      <c r="D563" t="n">
        <v>2</v>
      </c>
      <c r="E563" t="inlineStr">
        <is>
          <t>Output</t>
        </is>
      </c>
      <c r="F563" t="inlineStr">
        <is>
          <t>'=IFERROR(MAX((ROW()-ROW(Data[[#Headers],[RATE]]))*0.0025+0.0175,0.0025), "")</t>
        </is>
      </c>
      <c r="G563" t="n">
        <v>0.125</v>
      </c>
      <c r="H563" t="inlineStr"/>
      <c r="I563" t="inlineStr">
        <is>
          <t>0.00%</t>
        </is>
      </c>
      <c r="J563" t="b">
        <v>0</v>
      </c>
      <c r="K563" t="b">
        <v>0</v>
      </c>
      <c r="L563" t="n">
        <v>11</v>
      </c>
      <c r="M563" t="inlineStr">
        <is>
          <t>Values must be of type &lt;class 'str'&gt;</t>
        </is>
      </c>
      <c r="N563" t="inlineStr">
        <is>
          <t>00000000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inlineStr">
        <is>
          <t>G000001</t>
        </is>
      </c>
      <c r="T563" t="inlineStr">
        <is>
          <t>Vertical</t>
        </is>
      </c>
      <c r="U563" t="n">
        <v>57</v>
      </c>
      <c r="V563" t="b">
        <v>1</v>
      </c>
      <c r="W563" t="inlineStr">
        <is>
          <t>Loan analysis!B10:B66</t>
        </is>
      </c>
      <c r="X563">
        <f>IFERROR(MAX((ROW()-ROW(Data[[#Headers],[RATE]]))*0.0025+0.0175,0.0025), "")</f>
        <v/>
      </c>
    </row>
    <row r="564">
      <c r="A564" t="inlineStr">
        <is>
          <t>Loan analysis</t>
        </is>
      </c>
      <c r="B564" t="inlineStr">
        <is>
          <t>C52</t>
        </is>
      </c>
      <c r="C564" t="n">
        <v>52</v>
      </c>
      <c r="D564" t="n">
        <v>3</v>
      </c>
      <c r="E564" t="inlineStr">
        <is>
          <t>Output</t>
        </is>
      </c>
      <c r="F564" t="inlineStr">
        <is>
          <t>'=IFERROR(PMT(INDEX(Data[],ROW()-ROW(Data[[#Headers],[3]]),1)/12,Data[[#Headers],[3]]*12,-LoanAmount,0,IF(PaymentsDue="End of Period",0,1)), "")</t>
        </is>
      </c>
      <c r="G564" t="n">
        <v>331.0874283881223</v>
      </c>
      <c r="H564" t="inlineStr"/>
      <c r="I564" t="inlineStr">
        <is>
          <t>"$"#,##0.00_);[Red]\("$"#,##0.00\)</t>
        </is>
      </c>
      <c r="J564" t="b">
        <v>0</v>
      </c>
      <c r="K564" t="b">
        <v>0</v>
      </c>
      <c r="L564" t="n">
        <v>11</v>
      </c>
      <c r="M564" t="inlineStr">
        <is>
          <t>Values must be of type &lt;class 'str'&gt;</t>
        </is>
      </c>
      <c r="N564" t="inlineStr">
        <is>
          <t>00000000</t>
        </is>
      </c>
      <c r="O564" t="inlineStr">
        <is>
          <t>center</t>
        </is>
      </c>
      <c r="P564" t="inlineStr">
        <is>
          <t>center</t>
        </is>
      </c>
      <c r="R564" t="b">
        <v>1</v>
      </c>
      <c r="S564" t="inlineStr">
        <is>
          <t>G000002</t>
        </is>
      </c>
      <c r="T564" t="inlineStr">
        <is>
          <t>Vertical</t>
        </is>
      </c>
      <c r="U564" t="n">
        <v>57</v>
      </c>
      <c r="V564" t="b">
        <v>1</v>
      </c>
      <c r="W564" t="inlineStr">
        <is>
          <t>Loan analysis!C10:C66</t>
        </is>
      </c>
      <c r="X564">
        <f>IFERROR(PMT(INDEX(Data[],ROW()-ROW(Data[[#Headers],[3]]),1)/12,Data[[#Headers],[3]]*12,-LoanAmount,0,IF(PaymentsDue="End of Period",0,1)), "")</f>
        <v/>
      </c>
    </row>
    <row r="565">
      <c r="A565" t="inlineStr">
        <is>
          <t>Loan analysis</t>
        </is>
      </c>
      <c r="B565" t="inlineStr">
        <is>
          <t>D52</t>
        </is>
      </c>
      <c r="C565" t="n">
        <v>52</v>
      </c>
      <c r="D565" t="n">
        <v>4</v>
      </c>
      <c r="E565" t="inlineStr">
        <is>
          <t>Output</t>
        </is>
      </c>
      <c r="F565" t="inlineStr">
        <is>
          <t>'=IFERROR(PMT(INDEX(Data[],ROW()-ROW(Data[[#Headers],[5]]),1)/12,Data[[#Headers],[5]]*12,-LoanAmount,0,IF(PaymentsDue="End of Period",0,1)), "")</t>
        </is>
      </c>
      <c r="G565" t="n">
        <v>222.6600071793733</v>
      </c>
      <c r="H565" t="inlineStr"/>
      <c r="I565" t="inlineStr">
        <is>
          <t>"$"#,##0.00_);[Red]\("$"#,##0.00\)</t>
        </is>
      </c>
      <c r="J565" t="b">
        <v>0</v>
      </c>
      <c r="K565" t="b">
        <v>0</v>
      </c>
      <c r="L565" t="n">
        <v>11</v>
      </c>
      <c r="M565" t="inlineStr">
        <is>
          <t>Values must be of type &lt;class 'str'&gt;</t>
        </is>
      </c>
      <c r="N565" t="inlineStr">
        <is>
          <t>00000000</t>
        </is>
      </c>
      <c r="O565" t="inlineStr">
        <is>
          <t>center</t>
        </is>
      </c>
      <c r="P565" t="inlineStr">
        <is>
          <t>center</t>
        </is>
      </c>
      <c r="R565" t="b">
        <v>1</v>
      </c>
      <c r="S565" t="inlineStr">
        <is>
          <t>G000003</t>
        </is>
      </c>
      <c r="T565" t="inlineStr">
        <is>
          <t>Vertical</t>
        </is>
      </c>
      <c r="U565" t="n">
        <v>57</v>
      </c>
      <c r="V565" t="b">
        <v>1</v>
      </c>
      <c r="W565" t="inlineStr">
        <is>
          <t>Loan analysis!D10:D66</t>
        </is>
      </c>
      <c r="X565">
        <f>IFERROR(PMT(INDEX(Data[],ROW()-ROW(Data[[#Headers],[5]]),1)/12,Data[[#Headers],[5]]*12,-LoanAmount,0,IF(PaymentsDue="End of Period",0,1)), "")</f>
        <v/>
      </c>
    </row>
    <row r="566">
      <c r="A566" t="inlineStr">
        <is>
          <t>Loan analysis</t>
        </is>
      </c>
      <c r="B566" t="inlineStr">
        <is>
          <t>E52</t>
        </is>
      </c>
      <c r="C566" t="n">
        <v>52</v>
      </c>
      <c r="D566" t="n">
        <v>5</v>
      </c>
      <c r="E566" t="inlineStr">
        <is>
          <t>Output</t>
        </is>
      </c>
      <c r="F566" t="inlineStr">
        <is>
          <t>'=IFERROR(PMT(INDEX(Data[],ROW()-ROW(Data[[#Headers],[10]]),1)/12,Data[[#Headers],[10]]*12,-LoanAmount,0,IF(PaymentsDue="End of Period",0,1)), "")</t>
        </is>
      </c>
      <c r="G566" t="n">
        <v>144.8671360062761</v>
      </c>
      <c r="H566" t="inlineStr"/>
      <c r="I566" t="inlineStr">
        <is>
          <t>"$"#,##0.00_);[Red]\("$"#,##0.00\)</t>
        </is>
      </c>
      <c r="J566" t="b">
        <v>0</v>
      </c>
      <c r="K566" t="b">
        <v>0</v>
      </c>
      <c r="L566" t="n">
        <v>11</v>
      </c>
      <c r="M566" t="inlineStr">
        <is>
          <t>Values must be of type &lt;class 'str'&gt;</t>
        </is>
      </c>
      <c r="N566" t="inlineStr">
        <is>
          <t>00000000</t>
        </is>
      </c>
      <c r="O566" t="inlineStr">
        <is>
          <t>center</t>
        </is>
      </c>
      <c r="P566" t="inlineStr">
        <is>
          <t>center</t>
        </is>
      </c>
      <c r="R566" t="b">
        <v>1</v>
      </c>
      <c r="S566" t="inlineStr">
        <is>
          <t>G000004</t>
        </is>
      </c>
      <c r="T566" t="inlineStr">
        <is>
          <t>Vertical</t>
        </is>
      </c>
      <c r="U566" t="n">
        <v>57</v>
      </c>
      <c r="V566" t="b">
        <v>1</v>
      </c>
      <c r="W566" t="inlineStr">
        <is>
          <t>Loan analysis!E10:E66</t>
        </is>
      </c>
      <c r="X566">
        <f>IFERROR(PMT(INDEX(Data[],ROW()-ROW(Data[[#Headers],[10]]),1)/12,Data[[#Headers],[10]]*12,-LoanAmount,0,IF(PaymentsDue="End of Period",0,1)), "")</f>
        <v/>
      </c>
    </row>
    <row r="567">
      <c r="A567" t="inlineStr">
        <is>
          <t>Loan analysis</t>
        </is>
      </c>
      <c r="B567" t="inlineStr">
        <is>
          <t>F52</t>
        </is>
      </c>
      <c r="C567" t="n">
        <v>52</v>
      </c>
      <c r="D567" t="n">
        <v>6</v>
      </c>
      <c r="E567" t="inlineStr">
        <is>
          <t>Output</t>
        </is>
      </c>
      <c r="F567" t="inlineStr">
        <is>
          <t>'=IFERROR(PMT(INDEX(Data[],ROW()-ROW(Data[[#Headers],[12]]),1)/12,Data[[#Headers],[12]]*12,-LoanAmount,0,IF(PaymentsDue="End of Period",0,1)), "")</t>
        </is>
      </c>
      <c r="G567" t="n">
        <v>133.0003082626434</v>
      </c>
      <c r="H567" t="inlineStr"/>
      <c r="I567" t="inlineStr">
        <is>
          <t>"$"#,##0.00_);[Red]\("$"#,##0.00\)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00000000</t>
        </is>
      </c>
      <c r="O567" t="inlineStr">
        <is>
          <t>center</t>
        </is>
      </c>
      <c r="P567" t="inlineStr">
        <is>
          <t>center</t>
        </is>
      </c>
      <c r="R567" t="b">
        <v>1</v>
      </c>
      <c r="S567" t="inlineStr">
        <is>
          <t>G000005</t>
        </is>
      </c>
      <c r="T567" t="inlineStr">
        <is>
          <t>Vertical</t>
        </is>
      </c>
      <c r="U567" t="n">
        <v>57</v>
      </c>
      <c r="V567" t="b">
        <v>1</v>
      </c>
      <c r="W567" t="inlineStr">
        <is>
          <t>Loan analysis!F10:F66</t>
        </is>
      </c>
      <c r="X567">
        <f>IFERROR(PMT(INDEX(Data[],ROW()-ROW(Data[[#Headers],[12]]),1)/12,Data[[#Headers],[12]]*12,-LoanAmount,0,IF(PaymentsDue="End of Period",0,1)), "")</f>
        <v/>
      </c>
    </row>
    <row r="568">
      <c r="A568" t="inlineStr">
        <is>
          <t>Loan analysis</t>
        </is>
      </c>
      <c r="B568" t="inlineStr">
        <is>
          <t>G52</t>
        </is>
      </c>
      <c r="C568" t="n">
        <v>52</v>
      </c>
      <c r="D568" t="n">
        <v>7</v>
      </c>
      <c r="E568" t="inlineStr">
        <is>
          <t>Output</t>
        </is>
      </c>
      <c r="F568" t="inlineStr">
        <is>
          <t>'=IFERROR(PMT(INDEX(Data[],ROW()-ROW(Data[[#Headers],[15]]),1)/12,Data[[#Headers],[15]]*12,-LoanAmount,0,IF(PaymentsDue="End of Period",0,1)), "")</t>
        </is>
      </c>
      <c r="G568" t="n">
        <v>121.9815669271816</v>
      </c>
      <c r="H568" t="inlineStr"/>
      <c r="I568" t="inlineStr">
        <is>
          <t>"$"#,##0.00_);[Red]\("$"#,##0.00\)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00000000</t>
        </is>
      </c>
      <c r="O568" t="inlineStr">
        <is>
          <t>center</t>
        </is>
      </c>
      <c r="P568" t="inlineStr">
        <is>
          <t>center</t>
        </is>
      </c>
      <c r="R568" t="b">
        <v>1</v>
      </c>
      <c r="S568" t="inlineStr">
        <is>
          <t>G000006</t>
        </is>
      </c>
      <c r="T568" t="inlineStr">
        <is>
          <t>Vertical</t>
        </is>
      </c>
      <c r="U568" t="n">
        <v>57</v>
      </c>
      <c r="V568" t="b">
        <v>1</v>
      </c>
      <c r="W568" t="inlineStr">
        <is>
          <t>Loan analysis!G10:G66</t>
        </is>
      </c>
      <c r="X568">
        <f>IFERROR(PMT(INDEX(Data[],ROW()-ROW(Data[[#Headers],[15]]),1)/12,Data[[#Headers],[15]]*12,-LoanAmount,0,IF(PaymentsDue="End of Period",0,1)), "")</f>
        <v/>
      </c>
    </row>
    <row r="569">
      <c r="A569" t="inlineStr">
        <is>
          <t>Loan analysis</t>
        </is>
      </c>
      <c r="B569" t="inlineStr">
        <is>
          <t>H52</t>
        </is>
      </c>
      <c r="C569" t="n">
        <v>52</v>
      </c>
      <c r="D569" t="n">
        <v>8</v>
      </c>
      <c r="E569" t="inlineStr">
        <is>
          <t>Output</t>
        </is>
      </c>
      <c r="F569" t="inlineStr">
        <is>
          <t>'=IFERROR(PMT(INDEX(Data[],ROW()-ROW(Data[[#Headers],[20]]),1)/12,Data[[#Headers],[20]]*12,-LoanAmount,0,IF(PaymentsDue="End of Period",0,1)), "")</t>
        </is>
      </c>
      <c r="G569" t="n">
        <v>112.4427760542056</v>
      </c>
      <c r="H569" t="inlineStr"/>
      <c r="I569" t="inlineStr">
        <is>
          <t>"$"#,##0.00_);[Red]\("$"#,##0.00\)</t>
        </is>
      </c>
      <c r="J569" t="b">
        <v>0</v>
      </c>
      <c r="K569" t="b">
        <v>0</v>
      </c>
      <c r="L569" t="n">
        <v>11</v>
      </c>
      <c r="M569" t="inlineStr">
        <is>
          <t>Values must be of type &lt;class 'str'&gt;</t>
        </is>
      </c>
      <c r="N569" t="inlineStr">
        <is>
          <t>00000000</t>
        </is>
      </c>
      <c r="O569" t="inlineStr">
        <is>
          <t>center</t>
        </is>
      </c>
      <c r="P569" t="inlineStr">
        <is>
          <t>center</t>
        </is>
      </c>
      <c r="R569" t="b">
        <v>1</v>
      </c>
      <c r="S569" t="inlineStr">
        <is>
          <t>G000007</t>
        </is>
      </c>
      <c r="T569" t="inlineStr">
        <is>
          <t>Vertical</t>
        </is>
      </c>
      <c r="U569" t="n">
        <v>57</v>
      </c>
      <c r="V569" t="b">
        <v>1</v>
      </c>
      <c r="W569" t="inlineStr">
        <is>
          <t>Loan analysis!H10:H66</t>
        </is>
      </c>
      <c r="X569">
        <f>IFERROR(PMT(INDEX(Data[],ROW()-ROW(Data[[#Headers],[20]]),1)/12,Data[[#Headers],[20]]*12,-LoanAmount,0,IF(PaymentsDue="End of Period",0,1)), "")</f>
        <v/>
      </c>
    </row>
    <row r="570">
      <c r="A570" t="inlineStr">
        <is>
          <t>Loan analysis</t>
        </is>
      </c>
      <c r="B570" t="inlineStr">
        <is>
          <t>I52</t>
        </is>
      </c>
      <c r="C570" t="n">
        <v>52</v>
      </c>
      <c r="D570" t="n">
        <v>9</v>
      </c>
      <c r="E570" t="inlineStr">
        <is>
          <t>Output</t>
        </is>
      </c>
      <c r="F570" t="inlineStr">
        <is>
          <t>'=IFERROR(PMT(INDEX(Data[],ROW()-ROW(Data[[#Headers],[25]]),1)/12,Data[[#Headers],[25]]*12,-LoanAmount,0,IF(PaymentsDue="End of Period",0,1)), "")</t>
        </is>
      </c>
      <c r="G570" t="n">
        <v>107.9113372389302</v>
      </c>
      <c r="H570" t="inlineStr"/>
      <c r="I570" t="inlineStr">
        <is>
          <t>"$"#,##0.00_);[Red]\("$"#,##0.00\)</t>
        </is>
      </c>
      <c r="J570" t="b">
        <v>0</v>
      </c>
      <c r="K570" t="b">
        <v>0</v>
      </c>
      <c r="L570" t="n">
        <v>11</v>
      </c>
      <c r="M570" t="inlineStr">
        <is>
          <t>Values must be of type &lt;class 'str'&gt;</t>
        </is>
      </c>
      <c r="N570" t="inlineStr">
        <is>
          <t>00000000</t>
        </is>
      </c>
      <c r="O570" t="inlineStr">
        <is>
          <t>center</t>
        </is>
      </c>
      <c r="P570" t="inlineStr">
        <is>
          <t>center</t>
        </is>
      </c>
      <c r="R570" t="b">
        <v>1</v>
      </c>
      <c r="S570" t="inlineStr">
        <is>
          <t>G000008</t>
        </is>
      </c>
      <c r="T570" t="inlineStr">
        <is>
          <t>Vertical</t>
        </is>
      </c>
      <c r="U570" t="n">
        <v>57</v>
      </c>
      <c r="V570" t="b">
        <v>1</v>
      </c>
      <c r="W570" t="inlineStr">
        <is>
          <t>Loan analysis!I10:I66</t>
        </is>
      </c>
      <c r="X570">
        <f>IFERROR(PMT(INDEX(Data[],ROW()-ROW(Data[[#Headers],[25]]),1)/12,Data[[#Headers],[25]]*12,-LoanAmount,0,IF(PaymentsDue="End of Period",0,1)), "")</f>
        <v/>
      </c>
    </row>
    <row r="571">
      <c r="A571" t="inlineStr">
        <is>
          <t>Loan analysis</t>
        </is>
      </c>
      <c r="B571" t="inlineStr">
        <is>
          <t>J52</t>
        </is>
      </c>
      <c r="C571" t="n">
        <v>52</v>
      </c>
      <c r="D571" t="n">
        <v>10</v>
      </c>
      <c r="E571" t="inlineStr">
        <is>
          <t>Output</t>
        </is>
      </c>
      <c r="F571" t="inlineStr">
        <is>
          <t>'=IFERROR(PMT(INDEX(Data[],ROW()-ROW(Data[[#Headers],[30]]),1)/12,Data[[#Headers],[30]]*12,-LoanAmount,0,IF(PaymentsDue="End of Period",0,1)), "")</t>
        </is>
      </c>
      <c r="G571" t="n">
        <v>105.6255105004364</v>
      </c>
      <c r="H571" t="inlineStr"/>
      <c r="I571" t="inlineStr">
        <is>
          <t>"$"#,##0.00_);[Red]\("$"#,##0.00\)</t>
        </is>
      </c>
      <c r="J571" t="b">
        <v>0</v>
      </c>
      <c r="K571" t="b">
        <v>0</v>
      </c>
      <c r="L571" t="n">
        <v>11</v>
      </c>
      <c r="M571" t="inlineStr">
        <is>
          <t>Values must be of type &lt;class 'str'&gt;</t>
        </is>
      </c>
      <c r="N571" t="inlineStr">
        <is>
          <t>00000000</t>
        </is>
      </c>
      <c r="O571" t="inlineStr">
        <is>
          <t>center</t>
        </is>
      </c>
      <c r="P571" t="inlineStr">
        <is>
          <t>center</t>
        </is>
      </c>
      <c r="R571" t="b">
        <v>1</v>
      </c>
      <c r="S571" t="inlineStr">
        <is>
          <t>G000009</t>
        </is>
      </c>
      <c r="T571" t="inlineStr">
        <is>
          <t>Vertical</t>
        </is>
      </c>
      <c r="U571" t="n">
        <v>57</v>
      </c>
      <c r="V571" t="b">
        <v>1</v>
      </c>
      <c r="W571" t="inlineStr">
        <is>
          <t>Loan analysis!J10:J66</t>
        </is>
      </c>
      <c r="X571">
        <f>IFERROR(PMT(INDEX(Data[],ROW()-ROW(Data[[#Headers],[30]]),1)/12,Data[[#Headers],[30]]*12,-LoanAmount,0,IF(PaymentsDue="End of Period",0,1)), "")</f>
        <v/>
      </c>
    </row>
    <row r="572">
      <c r="A572" t="inlineStr">
        <is>
          <t>Loan analysis</t>
        </is>
      </c>
      <c r="B572" t="inlineStr">
        <is>
          <t>K52</t>
        </is>
      </c>
      <c r="C572" t="n">
        <v>52</v>
      </c>
      <c r="D572" t="n">
        <v>11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11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n">
        <v/>
      </c>
      <c r="P572" t="n">
        <v/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Loan analysis</t>
        </is>
      </c>
      <c r="B573" t="inlineStr">
        <is>
          <t>A53</t>
        </is>
      </c>
      <c r="C573" t="n">
        <v>53</v>
      </c>
      <c r="D573" t="n">
        <v>1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n">
        <v/>
      </c>
      <c r="P573" t="n">
        <v/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</row>
    <row r="574">
      <c r="A574" t="inlineStr">
        <is>
          <t>Loan analysis</t>
        </is>
      </c>
      <c r="B574" t="inlineStr">
        <is>
          <t>B53</t>
        </is>
      </c>
      <c r="C574" t="n">
        <v>53</v>
      </c>
      <c r="D574" t="n">
        <v>2</v>
      </c>
      <c r="E574" t="inlineStr">
        <is>
          <t>Output</t>
        </is>
      </c>
      <c r="F574" t="inlineStr">
        <is>
          <t>'=IFERROR(MAX((ROW()-ROW(Data[[#Headers],[RATE]]))*0.0025+0.0175,0.0025), "")</t>
        </is>
      </c>
      <c r="G574" t="n">
        <v>0.1275</v>
      </c>
      <c r="H574" t="inlineStr"/>
      <c r="I574" t="inlineStr">
        <is>
          <t>0.00%</t>
        </is>
      </c>
      <c r="J574" t="b">
        <v>0</v>
      </c>
      <c r="K574" t="b">
        <v>0</v>
      </c>
      <c r="L574" t="n">
        <v>11</v>
      </c>
      <c r="M574" t="inlineStr">
        <is>
          <t>Values must be of type &lt;class 'str'&gt;</t>
        </is>
      </c>
      <c r="N574" t="inlineStr">
        <is>
          <t>00000000</t>
        </is>
      </c>
      <c r="O574" t="inlineStr">
        <is>
          <t>center</t>
        </is>
      </c>
      <c r="P574" t="inlineStr">
        <is>
          <t>center</t>
        </is>
      </c>
      <c r="R574" t="b">
        <v>1</v>
      </c>
      <c r="S574" t="inlineStr">
        <is>
          <t>G000001</t>
        </is>
      </c>
      <c r="T574" t="inlineStr">
        <is>
          <t>Vertical</t>
        </is>
      </c>
      <c r="U574" t="n">
        <v>57</v>
      </c>
      <c r="V574" t="b">
        <v>1</v>
      </c>
      <c r="W574" t="inlineStr">
        <is>
          <t>Loan analysis!B10:B66</t>
        </is>
      </c>
      <c r="X574">
        <f>IFERROR(MAX((ROW()-ROW(Data[[#Headers],[RATE]]))*0.0025+0.0175,0.0025), "")</f>
        <v/>
      </c>
    </row>
    <row r="575">
      <c r="A575" t="inlineStr">
        <is>
          <t>Loan analysis</t>
        </is>
      </c>
      <c r="B575" t="inlineStr">
        <is>
          <t>C53</t>
        </is>
      </c>
      <c r="C575" t="n">
        <v>53</v>
      </c>
      <c r="D575" t="n">
        <v>3</v>
      </c>
      <c r="E575" t="inlineStr">
        <is>
          <t>Output</t>
        </is>
      </c>
      <c r="F575" t="inlineStr">
        <is>
          <t>'=IFERROR(PMT(INDEX(Data[],ROW()-ROW(Data[[#Headers],[3]]),1)/12,Data[[#Headers],[3]]*12,-LoanAmount,0,IF(PaymentsDue="End of Period",0,1)), "")</t>
        </is>
      </c>
      <c r="G575" t="n">
        <v>332.2069270631566</v>
      </c>
      <c r="H575" t="inlineStr"/>
      <c r="I575" t="inlineStr">
        <is>
          <t>"$"#,##0.00_);[Red]\("$"#,##0.00\)</t>
        </is>
      </c>
      <c r="J575" t="b">
        <v>0</v>
      </c>
      <c r="K575" t="b">
        <v>0</v>
      </c>
      <c r="L575" t="n">
        <v>11</v>
      </c>
      <c r="M575" t="inlineStr">
        <is>
          <t>Values must be of type &lt;class 'str'&gt;</t>
        </is>
      </c>
      <c r="N575" t="inlineStr">
        <is>
          <t>00000000</t>
        </is>
      </c>
      <c r="O575" t="inlineStr">
        <is>
          <t>center</t>
        </is>
      </c>
      <c r="P575" t="inlineStr">
        <is>
          <t>center</t>
        </is>
      </c>
      <c r="R575" t="b">
        <v>1</v>
      </c>
      <c r="S575" t="inlineStr">
        <is>
          <t>G000002</t>
        </is>
      </c>
      <c r="T575" t="inlineStr">
        <is>
          <t>Vertical</t>
        </is>
      </c>
      <c r="U575" t="n">
        <v>57</v>
      </c>
      <c r="V575" t="b">
        <v>1</v>
      </c>
      <c r="W575" t="inlineStr">
        <is>
          <t>Loan analysis!C10:C66</t>
        </is>
      </c>
      <c r="X575">
        <f>IFERROR(PMT(INDEX(Data[],ROW()-ROW(Data[[#Headers],[3]]),1)/12,Data[[#Headers],[3]]*12,-LoanAmount,0,IF(PaymentsDue="End of Period",0,1)), "")</f>
        <v/>
      </c>
    </row>
    <row r="576">
      <c r="A576" t="inlineStr">
        <is>
          <t>Loan analysis</t>
        </is>
      </c>
      <c r="B576" t="inlineStr">
        <is>
          <t>D53</t>
        </is>
      </c>
      <c r="C576" t="n">
        <v>53</v>
      </c>
      <c r="D576" t="n">
        <v>4</v>
      </c>
      <c r="E576" t="inlineStr">
        <is>
          <t>Output</t>
        </is>
      </c>
      <c r="F576" t="inlineStr">
        <is>
          <t>'=IFERROR(PMT(INDEX(Data[],ROW()-ROW(Data[[#Headers],[5]]),1)/12,Data[[#Headers],[5]]*12,-LoanAmount,0,IF(PaymentsDue="End of Period",0,1)), "")</t>
        </is>
      </c>
      <c r="G576" t="n">
        <v>223.8743399263282</v>
      </c>
      <c r="H576" t="inlineStr"/>
      <c r="I576" t="inlineStr">
        <is>
          <t>"$"#,##0.00_);[Red]\("$"#,##0.00\)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00000000</t>
        </is>
      </c>
      <c r="O576" t="inlineStr">
        <is>
          <t>center</t>
        </is>
      </c>
      <c r="P576" t="inlineStr">
        <is>
          <t>center</t>
        </is>
      </c>
      <c r="R576" t="b">
        <v>1</v>
      </c>
      <c r="S576" t="inlineStr">
        <is>
          <t>G000003</t>
        </is>
      </c>
      <c r="T576" t="inlineStr">
        <is>
          <t>Vertical</t>
        </is>
      </c>
      <c r="U576" t="n">
        <v>57</v>
      </c>
      <c r="V576" t="b">
        <v>1</v>
      </c>
      <c r="W576" t="inlineStr">
        <is>
          <t>Loan analysis!D10:D66</t>
        </is>
      </c>
      <c r="X576">
        <f>IFERROR(PMT(INDEX(Data[],ROW()-ROW(Data[[#Headers],[5]]),1)/12,Data[[#Headers],[5]]*12,-LoanAmount,0,IF(PaymentsDue="End of Period",0,1)), "")</f>
        <v/>
      </c>
    </row>
    <row r="577">
      <c r="A577" t="inlineStr">
        <is>
          <t>Loan analysis</t>
        </is>
      </c>
      <c r="B577" t="inlineStr">
        <is>
          <t>E53</t>
        </is>
      </c>
      <c r="C577" t="n">
        <v>53</v>
      </c>
      <c r="D577" t="n">
        <v>5</v>
      </c>
      <c r="E577" t="inlineStr">
        <is>
          <t>Output</t>
        </is>
      </c>
      <c r="F577" t="inlineStr">
        <is>
          <t>'=IFERROR(PMT(INDEX(Data[],ROW()-ROW(Data[[#Headers],[10]]),1)/12,Data[[#Headers],[10]]*12,-LoanAmount,0,IF(PaymentsDue="End of Period",0,1)), "")</t>
        </is>
      </c>
      <c r="G577" t="n">
        <v>146.285524878785</v>
      </c>
      <c r="H577" t="inlineStr"/>
      <c r="I577" t="inlineStr">
        <is>
          <t>"$"#,##0.00_);[Red]\("$"#,##0.00\)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00000000</t>
        </is>
      </c>
      <c r="O577" t="inlineStr">
        <is>
          <t>center</t>
        </is>
      </c>
      <c r="P577" t="inlineStr">
        <is>
          <t>center</t>
        </is>
      </c>
      <c r="R577" t="b">
        <v>1</v>
      </c>
      <c r="S577" t="inlineStr">
        <is>
          <t>G000004</t>
        </is>
      </c>
      <c r="T577" t="inlineStr">
        <is>
          <t>Vertical</t>
        </is>
      </c>
      <c r="U577" t="n">
        <v>57</v>
      </c>
      <c r="V577" t="b">
        <v>1</v>
      </c>
      <c r="W577" t="inlineStr">
        <is>
          <t>Loan analysis!E10:E66</t>
        </is>
      </c>
      <c r="X577">
        <f>IFERROR(PMT(INDEX(Data[],ROW()-ROW(Data[[#Headers],[10]]),1)/12,Data[[#Headers],[10]]*12,-LoanAmount,0,IF(PaymentsDue="End of Period",0,1)), "")</f>
        <v/>
      </c>
    </row>
    <row r="578">
      <c r="A578" t="inlineStr">
        <is>
          <t>Loan analysis</t>
        </is>
      </c>
      <c r="B578" t="inlineStr">
        <is>
          <t>F53</t>
        </is>
      </c>
      <c r="C578" t="n">
        <v>53</v>
      </c>
      <c r="D578" t="n">
        <v>6</v>
      </c>
      <c r="E578" t="inlineStr">
        <is>
          <t>Output</t>
        </is>
      </c>
      <c r="F578" t="inlineStr">
        <is>
          <t>'=IFERROR(PMT(INDEX(Data[],ROW()-ROW(Data[[#Headers],[12]]),1)/12,Data[[#Headers],[12]]*12,-LoanAmount,0,IF(PaymentsDue="End of Period",0,1)), "")</t>
        </is>
      </c>
      <c r="G578" t="n">
        <v>134.4910721646673</v>
      </c>
      <c r="H578" t="inlineStr"/>
      <c r="I578" t="inlineStr">
        <is>
          <t>"$"#,##0.00_);[Red]\("$"#,##0.00\)</t>
        </is>
      </c>
      <c r="J578" t="b">
        <v>0</v>
      </c>
      <c r="K578" t="b">
        <v>0</v>
      </c>
      <c r="L578" t="n">
        <v>11</v>
      </c>
      <c r="M578" t="inlineStr">
        <is>
          <t>Values must be of type &lt;class 'str'&gt;</t>
        </is>
      </c>
      <c r="N578" t="inlineStr">
        <is>
          <t>00000000</t>
        </is>
      </c>
      <c r="O578" t="inlineStr">
        <is>
          <t>center</t>
        </is>
      </c>
      <c r="P578" t="inlineStr">
        <is>
          <t>center</t>
        </is>
      </c>
      <c r="R578" t="b">
        <v>1</v>
      </c>
      <c r="S578" t="inlineStr">
        <is>
          <t>G000005</t>
        </is>
      </c>
      <c r="T578" t="inlineStr">
        <is>
          <t>Vertical</t>
        </is>
      </c>
      <c r="U578" t="n">
        <v>57</v>
      </c>
      <c r="V578" t="b">
        <v>1</v>
      </c>
      <c r="W578" t="inlineStr">
        <is>
          <t>Loan analysis!F10:F66</t>
        </is>
      </c>
      <c r="X578">
        <f>IFERROR(PMT(INDEX(Data[],ROW()-ROW(Data[[#Headers],[12]]),1)/12,Data[[#Headers],[12]]*12,-LoanAmount,0,IF(PaymentsDue="End of Period",0,1)), "")</f>
        <v/>
      </c>
    </row>
    <row r="579">
      <c r="A579" t="inlineStr">
        <is>
          <t>Loan analysis</t>
        </is>
      </c>
      <c r="B579" t="inlineStr">
        <is>
          <t>G53</t>
        </is>
      </c>
      <c r="C579" t="n">
        <v>53</v>
      </c>
      <c r="D579" t="n">
        <v>7</v>
      </c>
      <c r="E579" t="inlineStr">
        <is>
          <t>Output</t>
        </is>
      </c>
      <c r="F579" t="inlineStr">
        <is>
          <t>'=IFERROR(PMT(INDEX(Data[],ROW()-ROW(Data[[#Headers],[15]]),1)/12,Data[[#Headers],[15]]*12,-LoanAmount,0,IF(PaymentsDue="End of Period",0,1)), "")</t>
        </is>
      </c>
      <c r="G579" t="n">
        <v>123.570758328561</v>
      </c>
      <c r="H579" t="inlineStr"/>
      <c r="I579" t="inlineStr">
        <is>
          <t>"$"#,##0.00_);[Red]\("$"#,##0.00\)</t>
        </is>
      </c>
      <c r="J579" t="b">
        <v>0</v>
      </c>
      <c r="K579" t="b">
        <v>0</v>
      </c>
      <c r="L579" t="n">
        <v>11</v>
      </c>
      <c r="M579" t="inlineStr">
        <is>
          <t>Values must be of type &lt;class 'str'&gt;</t>
        </is>
      </c>
      <c r="N579" t="inlineStr">
        <is>
          <t>00000000</t>
        </is>
      </c>
      <c r="O579" t="inlineStr">
        <is>
          <t>center</t>
        </is>
      </c>
      <c r="P579" t="inlineStr">
        <is>
          <t>center</t>
        </is>
      </c>
      <c r="R579" t="b">
        <v>1</v>
      </c>
      <c r="S579" t="inlineStr">
        <is>
          <t>G000006</t>
        </is>
      </c>
      <c r="T579" t="inlineStr">
        <is>
          <t>Vertical</t>
        </is>
      </c>
      <c r="U579" t="n">
        <v>57</v>
      </c>
      <c r="V579" t="b">
        <v>1</v>
      </c>
      <c r="W579" t="inlineStr">
        <is>
          <t>Loan analysis!G10:G66</t>
        </is>
      </c>
      <c r="X579">
        <f>IFERROR(PMT(INDEX(Data[],ROW()-ROW(Data[[#Headers],[15]]),1)/12,Data[[#Headers],[15]]*12,-LoanAmount,0,IF(PaymentsDue="End of Period",0,1)), "")</f>
        <v/>
      </c>
    </row>
    <row r="580">
      <c r="A580" t="inlineStr">
        <is>
          <t>Loan analysis</t>
        </is>
      </c>
      <c r="B580" t="inlineStr">
        <is>
          <t>H53</t>
        </is>
      </c>
      <c r="C580" t="n">
        <v>53</v>
      </c>
      <c r="D580" t="n">
        <v>8</v>
      </c>
      <c r="E580" t="inlineStr">
        <is>
          <t>Output</t>
        </is>
      </c>
      <c r="F580" t="inlineStr">
        <is>
          <t>'=IFERROR(PMT(INDEX(Data[],ROW()-ROW(Data[[#Headers],[20]]),1)/12,Data[[#Headers],[20]]*12,-LoanAmount,0,IF(PaymentsDue="End of Period",0,1)), "")</t>
        </is>
      </c>
      <c r="G580" t="n">
        <v>114.168123867275</v>
      </c>
      <c r="H580" t="inlineStr"/>
      <c r="I580" t="inlineStr">
        <is>
          <t>"$"#,##0.00_);[Red]\("$"#,##0.00\)</t>
        </is>
      </c>
      <c r="J580" t="b">
        <v>0</v>
      </c>
      <c r="K580" t="b">
        <v>0</v>
      </c>
      <c r="L580" t="n">
        <v>11</v>
      </c>
      <c r="M580" t="inlineStr">
        <is>
          <t>Values must be of type &lt;class 'str'&gt;</t>
        </is>
      </c>
      <c r="N580" t="inlineStr">
        <is>
          <t>00000000</t>
        </is>
      </c>
      <c r="O580" t="inlineStr">
        <is>
          <t>center</t>
        </is>
      </c>
      <c r="P580" t="inlineStr">
        <is>
          <t>center</t>
        </is>
      </c>
      <c r="R580" t="b">
        <v>1</v>
      </c>
      <c r="S580" t="inlineStr">
        <is>
          <t>G000007</t>
        </is>
      </c>
      <c r="T580" t="inlineStr">
        <is>
          <t>Vertical</t>
        </is>
      </c>
      <c r="U580" t="n">
        <v>57</v>
      </c>
      <c r="V580" t="b">
        <v>1</v>
      </c>
      <c r="W580" t="inlineStr">
        <is>
          <t>Loan analysis!H10:H66</t>
        </is>
      </c>
      <c r="X580">
        <f>IFERROR(PMT(INDEX(Data[],ROW()-ROW(Data[[#Headers],[20]]),1)/12,Data[[#Headers],[20]]*12,-LoanAmount,0,IF(PaymentsDue="End of Period",0,1)), "")</f>
        <v/>
      </c>
    </row>
    <row r="581">
      <c r="A581" t="inlineStr">
        <is>
          <t>Loan analysis</t>
        </is>
      </c>
      <c r="B581" t="inlineStr">
        <is>
          <t>I53</t>
        </is>
      </c>
      <c r="C581" t="n">
        <v>53</v>
      </c>
      <c r="D581" t="n">
        <v>9</v>
      </c>
      <c r="E581" t="inlineStr">
        <is>
          <t>Output</t>
        </is>
      </c>
      <c r="F581" t="inlineStr">
        <is>
          <t>'=IFERROR(PMT(INDEX(Data[],ROW()-ROW(Data[[#Headers],[25]]),1)/12,Data[[#Headers],[25]]*12,-LoanAmount,0,IF(PaymentsDue="End of Period",0,1)), "")</t>
        </is>
      </c>
      <c r="G581" t="n">
        <v>109.7392472391767</v>
      </c>
      <c r="H581" t="inlineStr"/>
      <c r="I581" t="inlineStr">
        <is>
          <t>"$"#,##0.00_);[Red]\("$"#,##0.00\)</t>
        </is>
      </c>
      <c r="J581" t="b">
        <v>0</v>
      </c>
      <c r="K581" t="b">
        <v>0</v>
      </c>
      <c r="L581" t="n">
        <v>11</v>
      </c>
      <c r="M581" t="inlineStr">
        <is>
          <t>Values must be of type &lt;class 'str'&gt;</t>
        </is>
      </c>
      <c r="N581" t="inlineStr">
        <is>
          <t>00000000</t>
        </is>
      </c>
      <c r="O581" t="inlineStr">
        <is>
          <t>center</t>
        </is>
      </c>
      <c r="P581" t="inlineStr">
        <is>
          <t>center</t>
        </is>
      </c>
      <c r="R581" t="b">
        <v>1</v>
      </c>
      <c r="S581" t="inlineStr">
        <is>
          <t>G000008</t>
        </is>
      </c>
      <c r="T581" t="inlineStr">
        <is>
          <t>Vertical</t>
        </is>
      </c>
      <c r="U581" t="n">
        <v>57</v>
      </c>
      <c r="V581" t="b">
        <v>1</v>
      </c>
      <c r="W581" t="inlineStr">
        <is>
          <t>Loan analysis!I10:I66</t>
        </is>
      </c>
      <c r="X581">
        <f>IFERROR(PMT(INDEX(Data[],ROW()-ROW(Data[[#Headers],[25]]),1)/12,Data[[#Headers],[25]]*12,-LoanAmount,0,IF(PaymentsDue="End of Period",0,1)), "")</f>
        <v/>
      </c>
    </row>
    <row r="582">
      <c r="A582" t="inlineStr">
        <is>
          <t>Loan analysis</t>
        </is>
      </c>
      <c r="B582" t="inlineStr">
        <is>
          <t>J53</t>
        </is>
      </c>
      <c r="C582" t="n">
        <v>53</v>
      </c>
      <c r="D582" t="n">
        <v>10</v>
      </c>
      <c r="E582" t="inlineStr">
        <is>
          <t>Output</t>
        </is>
      </c>
      <c r="F582" t="inlineStr">
        <is>
          <t>'=IFERROR(PMT(INDEX(Data[],ROW()-ROW(Data[[#Headers],[30]]),1)/12,Data[[#Headers],[30]]*12,-LoanAmount,0,IF(PaymentsDue="End of Period",0,1)), "")</t>
        </is>
      </c>
      <c r="G582" t="n">
        <v>107.5268485086847</v>
      </c>
      <c r="H582" t="inlineStr"/>
      <c r="I582" t="inlineStr">
        <is>
          <t>"$"#,##0.00_);[Red]\("$"#,##0.00\)</t>
        </is>
      </c>
      <c r="J582" t="b">
        <v>0</v>
      </c>
      <c r="K582" t="b">
        <v>0</v>
      </c>
      <c r="L582" t="n">
        <v>11</v>
      </c>
      <c r="M582" t="inlineStr">
        <is>
          <t>Values must be of type &lt;class 'str'&gt;</t>
        </is>
      </c>
      <c r="N582" t="inlineStr">
        <is>
          <t>00000000</t>
        </is>
      </c>
      <c r="O582" t="inlineStr">
        <is>
          <t>center</t>
        </is>
      </c>
      <c r="P582" t="inlineStr">
        <is>
          <t>center</t>
        </is>
      </c>
      <c r="R582" t="b">
        <v>1</v>
      </c>
      <c r="S582" t="inlineStr">
        <is>
          <t>G000009</t>
        </is>
      </c>
      <c r="T582" t="inlineStr">
        <is>
          <t>Vertical</t>
        </is>
      </c>
      <c r="U582" t="n">
        <v>57</v>
      </c>
      <c r="V582" t="b">
        <v>1</v>
      </c>
      <c r="W582" t="inlineStr">
        <is>
          <t>Loan analysis!J10:J66</t>
        </is>
      </c>
      <c r="X582">
        <f>IFERROR(PMT(INDEX(Data[],ROW()-ROW(Data[[#Headers],[30]]),1)/12,Data[[#Headers],[30]]*12,-LoanAmount,0,IF(PaymentsDue="End of Period",0,1)), "")</f>
        <v/>
      </c>
    </row>
    <row r="583">
      <c r="A583" t="inlineStr">
        <is>
          <t>Loan analysis</t>
        </is>
      </c>
      <c r="B583" t="inlineStr">
        <is>
          <t>K53</t>
        </is>
      </c>
      <c r="C583" t="n">
        <v>53</v>
      </c>
      <c r="D583" t="n">
        <v>11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n">
        <v/>
      </c>
      <c r="P583" t="n">
        <v/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</row>
    <row r="584">
      <c r="A584" t="inlineStr">
        <is>
          <t>Loan analysis</t>
        </is>
      </c>
      <c r="B584" t="inlineStr">
        <is>
          <t>A54</t>
        </is>
      </c>
      <c r="C584" t="n">
        <v>54</v>
      </c>
      <c r="D584" t="n">
        <v>1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n">
        <v/>
      </c>
      <c r="P584" t="n">
        <v/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Loan analysis</t>
        </is>
      </c>
      <c r="B585" t="inlineStr">
        <is>
          <t>B54</t>
        </is>
      </c>
      <c r="C585" t="n">
        <v>54</v>
      </c>
      <c r="D585" t="n">
        <v>2</v>
      </c>
      <c r="E585" t="inlineStr">
        <is>
          <t>Output</t>
        </is>
      </c>
      <c r="F585" t="inlineStr">
        <is>
          <t>'=IFERROR(MAX((ROW()-ROW(Data[[#Headers],[RATE]]))*0.0025+0.0175,0.0025), "")</t>
        </is>
      </c>
      <c r="G585" t="n">
        <v>0.13</v>
      </c>
      <c r="H585" t="inlineStr"/>
      <c r="I585" t="inlineStr">
        <is>
          <t>0.00%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00000000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inlineStr">
        <is>
          <t>G000001</t>
        </is>
      </c>
      <c r="T585" t="inlineStr">
        <is>
          <t>Vertical</t>
        </is>
      </c>
      <c r="U585" t="n">
        <v>57</v>
      </c>
      <c r="V585" t="b">
        <v>1</v>
      </c>
      <c r="W585" t="inlineStr">
        <is>
          <t>Loan analysis!B10:B66</t>
        </is>
      </c>
      <c r="X585">
        <f>IFERROR(MAX((ROW()-ROW(Data[[#Headers],[RATE]]))*0.0025+0.0175,0.0025), "")</f>
        <v/>
      </c>
    </row>
    <row r="586">
      <c r="A586" t="inlineStr">
        <is>
          <t>Loan analysis</t>
        </is>
      </c>
      <c r="B586" t="inlineStr">
        <is>
          <t>C54</t>
        </is>
      </c>
      <c r="C586" t="n">
        <v>54</v>
      </c>
      <c r="D586" t="n">
        <v>3</v>
      </c>
      <c r="E586" t="inlineStr">
        <is>
          <t>Output</t>
        </is>
      </c>
      <c r="F586" t="inlineStr">
        <is>
          <t>'=IFERROR(PMT(INDEX(Data[],ROW()-ROW(Data[[#Headers],[3]]),1)/12,Data[[#Headers],[3]]*12,-LoanAmount,0,IF(PaymentsDue="End of Period",0,1)), "")</t>
        </is>
      </c>
      <c r="G586" t="n">
        <v>333.3284616978576</v>
      </c>
      <c r="H586" t="inlineStr"/>
      <c r="I586" t="inlineStr">
        <is>
          <t>"$"#,##0.00_);[Red]\("$"#,##0.00\)</t>
        </is>
      </c>
      <c r="J586" t="b">
        <v>0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00000000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inlineStr">
        <is>
          <t>G000002</t>
        </is>
      </c>
      <c r="T586" t="inlineStr">
        <is>
          <t>Vertical</t>
        </is>
      </c>
      <c r="U586" t="n">
        <v>57</v>
      </c>
      <c r="V586" t="b">
        <v>1</v>
      </c>
      <c r="W586" t="inlineStr">
        <is>
          <t>Loan analysis!C10:C66</t>
        </is>
      </c>
      <c r="X586">
        <f>IFERROR(PMT(INDEX(Data[],ROW()-ROW(Data[[#Headers],[3]]),1)/12,Data[[#Headers],[3]]*12,-LoanAmount,0,IF(PaymentsDue="End of Period",0,1)), "")</f>
        <v/>
      </c>
    </row>
    <row r="587">
      <c r="A587" t="inlineStr">
        <is>
          <t>Loan analysis</t>
        </is>
      </c>
      <c r="B587" t="inlineStr">
        <is>
          <t>D54</t>
        </is>
      </c>
      <c r="C587" t="n">
        <v>54</v>
      </c>
      <c r="D587" t="n">
        <v>4</v>
      </c>
      <c r="E587" t="inlineStr">
        <is>
          <t>Output</t>
        </is>
      </c>
      <c r="F587" t="inlineStr">
        <is>
          <t>'=IFERROR(PMT(INDEX(Data[],ROW()-ROW(Data[[#Headers],[5]]),1)/12,Data[[#Headers],[5]]*12,-LoanAmount,0,IF(PaymentsDue="End of Period",0,1)), "")</t>
        </is>
      </c>
      <c r="G587" t="n">
        <v>225.092231270147</v>
      </c>
      <c r="H587" t="inlineStr"/>
      <c r="I587" t="inlineStr">
        <is>
          <t>"$"#,##0.00_);[Red]\("$"#,##0.00\)</t>
        </is>
      </c>
      <c r="J587" t="b">
        <v>0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00000000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inlineStr">
        <is>
          <t>G000003</t>
        </is>
      </c>
      <c r="T587" t="inlineStr">
        <is>
          <t>Vertical</t>
        </is>
      </c>
      <c r="U587" t="n">
        <v>57</v>
      </c>
      <c r="V587" t="b">
        <v>1</v>
      </c>
      <c r="W587" t="inlineStr">
        <is>
          <t>Loan analysis!D10:D66</t>
        </is>
      </c>
      <c r="X587">
        <f>IFERROR(PMT(INDEX(Data[],ROW()-ROW(Data[[#Headers],[5]]),1)/12,Data[[#Headers],[5]]*12,-LoanAmount,0,IF(PaymentsDue="End of Period",0,1)), "")</f>
        <v/>
      </c>
    </row>
    <row r="588">
      <c r="A588" t="inlineStr">
        <is>
          <t>Loan analysis</t>
        </is>
      </c>
      <c r="B588" t="inlineStr">
        <is>
          <t>E54</t>
        </is>
      </c>
      <c r="C588" t="n">
        <v>54</v>
      </c>
      <c r="D588" t="n">
        <v>5</v>
      </c>
      <c r="E588" t="inlineStr">
        <is>
          <t>Output</t>
        </is>
      </c>
      <c r="F588" t="inlineStr">
        <is>
          <t>'=IFERROR(PMT(INDEX(Data[],ROW()-ROW(Data[[#Headers],[10]]),1)/12,Data[[#Headers],[10]]*12,-LoanAmount,0,IF(PaymentsDue="End of Period",0,1)), "")</t>
        </is>
      </c>
      <c r="G588" t="n">
        <v>147.7105424341878</v>
      </c>
      <c r="H588" t="inlineStr"/>
      <c r="I588" t="inlineStr">
        <is>
          <t>"$"#,##0.00_);[Red]\("$"#,##0.00\)</t>
        </is>
      </c>
      <c r="J588" t="b">
        <v>0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00000000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inlineStr">
        <is>
          <t>G000004</t>
        </is>
      </c>
      <c r="T588" t="inlineStr">
        <is>
          <t>Vertical</t>
        </is>
      </c>
      <c r="U588" t="n">
        <v>57</v>
      </c>
      <c r="V588" t="b">
        <v>1</v>
      </c>
      <c r="W588" t="inlineStr">
        <is>
          <t>Loan analysis!E10:E66</t>
        </is>
      </c>
      <c r="X588">
        <f>IFERROR(PMT(INDEX(Data[],ROW()-ROW(Data[[#Headers],[10]]),1)/12,Data[[#Headers],[10]]*12,-LoanAmount,0,IF(PaymentsDue="End of Period",0,1)), "")</f>
        <v/>
      </c>
    </row>
    <row r="589">
      <c r="A589" t="inlineStr">
        <is>
          <t>Loan analysis</t>
        </is>
      </c>
      <c r="B589" t="inlineStr">
        <is>
          <t>F54</t>
        </is>
      </c>
      <c r="C589" t="n">
        <v>54</v>
      </c>
      <c r="D589" t="n">
        <v>6</v>
      </c>
      <c r="E589" t="inlineStr">
        <is>
          <t>Output</t>
        </is>
      </c>
      <c r="F589" t="inlineStr">
        <is>
          <t>'=IFERROR(PMT(INDEX(Data[],ROW()-ROW(Data[[#Headers],[12]]),1)/12,Data[[#Headers],[12]]*12,-LoanAmount,0,IF(PaymentsDue="End of Period",0,1)), "")</t>
        </is>
      </c>
      <c r="G589" t="n">
        <v>135.9893066575033</v>
      </c>
      <c r="H589" t="inlineStr"/>
      <c r="I589" t="inlineStr">
        <is>
          <t>"$"#,##0.00_);[Red]\("$"#,##0.00\)</t>
        </is>
      </c>
      <c r="J589" t="b">
        <v>0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00000000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inlineStr">
        <is>
          <t>G000005</t>
        </is>
      </c>
      <c r="T589" t="inlineStr">
        <is>
          <t>Vertical</t>
        </is>
      </c>
      <c r="U589" t="n">
        <v>57</v>
      </c>
      <c r="V589" t="b">
        <v>1</v>
      </c>
      <c r="W589" t="inlineStr">
        <is>
          <t>Loan analysis!F10:F66</t>
        </is>
      </c>
      <c r="X589">
        <f>IFERROR(PMT(INDEX(Data[],ROW()-ROW(Data[[#Headers],[12]]),1)/12,Data[[#Headers],[12]]*12,-LoanAmount,0,IF(PaymentsDue="End of Period",0,1)), "")</f>
        <v/>
      </c>
    </row>
    <row r="590">
      <c r="A590" t="inlineStr">
        <is>
          <t>Loan analysis</t>
        </is>
      </c>
      <c r="B590" t="inlineStr">
        <is>
          <t>G54</t>
        </is>
      </c>
      <c r="C590" t="n">
        <v>54</v>
      </c>
      <c r="D590" t="n">
        <v>7</v>
      </c>
      <c r="E590" t="inlineStr">
        <is>
          <t>Output</t>
        </is>
      </c>
      <c r="F590" t="inlineStr">
        <is>
          <t>'=IFERROR(PMT(INDEX(Data[],ROW()-ROW(Data[[#Headers],[15]]),1)/12,Data[[#Headers],[15]]*12,-LoanAmount,0,IF(PaymentsDue="End of Period",0,1)), "")</t>
        </is>
      </c>
      <c r="G590" t="n">
        <v>125.1682275956103</v>
      </c>
      <c r="H590" t="inlineStr"/>
      <c r="I590" t="inlineStr">
        <is>
          <t>"$"#,##0.00_);[Red]\("$"#,##0.00\)</t>
        </is>
      </c>
      <c r="J590" t="b">
        <v>0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00000000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inlineStr">
        <is>
          <t>G000006</t>
        </is>
      </c>
      <c r="T590" t="inlineStr">
        <is>
          <t>Vertical</t>
        </is>
      </c>
      <c r="U590" t="n">
        <v>57</v>
      </c>
      <c r="V590" t="b">
        <v>1</v>
      </c>
      <c r="W590" t="inlineStr">
        <is>
          <t>Loan analysis!G10:G66</t>
        </is>
      </c>
      <c r="X590">
        <f>IFERROR(PMT(INDEX(Data[],ROW()-ROW(Data[[#Headers],[15]]),1)/12,Data[[#Headers],[15]]*12,-LoanAmount,0,IF(PaymentsDue="End of Period",0,1)), "")</f>
        <v/>
      </c>
    </row>
    <row r="591">
      <c r="A591" t="inlineStr">
        <is>
          <t>Loan analysis</t>
        </is>
      </c>
      <c r="B591" t="inlineStr">
        <is>
          <t>H54</t>
        </is>
      </c>
      <c r="C591" t="n">
        <v>54</v>
      </c>
      <c r="D591" t="n">
        <v>8</v>
      </c>
      <c r="E591" t="inlineStr">
        <is>
          <t>Output</t>
        </is>
      </c>
      <c r="F591" t="inlineStr">
        <is>
          <t>'=IFERROR(PMT(INDEX(Data[],ROW()-ROW(Data[[#Headers],[20]]),1)/12,Data[[#Headers],[20]]*12,-LoanAmount,0,IF(PaymentsDue="End of Period",0,1)), "")</t>
        </is>
      </c>
      <c r="G591" t="n">
        <v>115.9019664908462</v>
      </c>
      <c r="H591" t="inlineStr"/>
      <c r="I591" t="inlineStr">
        <is>
          <t>"$"#,##0.00_);[Red]\("$"#,##0.00\)</t>
        </is>
      </c>
      <c r="J591" t="b">
        <v>0</v>
      </c>
      <c r="K591" t="b">
        <v>0</v>
      </c>
      <c r="L591" t="n">
        <v>11</v>
      </c>
      <c r="M591" t="inlineStr">
        <is>
          <t>Values must be of type &lt;class 'str'&gt;</t>
        </is>
      </c>
      <c r="N591" t="inlineStr">
        <is>
          <t>00000000</t>
        </is>
      </c>
      <c r="O591" t="inlineStr">
        <is>
          <t>center</t>
        </is>
      </c>
      <c r="P591" t="inlineStr">
        <is>
          <t>center</t>
        </is>
      </c>
      <c r="R591" t="b">
        <v>1</v>
      </c>
      <c r="S591" t="inlineStr">
        <is>
          <t>G000007</t>
        </is>
      </c>
      <c r="T591" t="inlineStr">
        <is>
          <t>Vertical</t>
        </is>
      </c>
      <c r="U591" t="n">
        <v>57</v>
      </c>
      <c r="V591" t="b">
        <v>1</v>
      </c>
      <c r="W591" t="inlineStr">
        <is>
          <t>Loan analysis!H10:H66</t>
        </is>
      </c>
      <c r="X591">
        <f>IFERROR(PMT(INDEX(Data[],ROW()-ROW(Data[[#Headers],[20]]),1)/12,Data[[#Headers],[20]]*12,-LoanAmount,0,IF(PaymentsDue="End of Period",0,1)), "")</f>
        <v/>
      </c>
    </row>
    <row r="592">
      <c r="A592" t="inlineStr">
        <is>
          <t>Loan analysis</t>
        </is>
      </c>
      <c r="B592" t="inlineStr">
        <is>
          <t>I54</t>
        </is>
      </c>
      <c r="C592" t="n">
        <v>54</v>
      </c>
      <c r="D592" t="n">
        <v>9</v>
      </c>
      <c r="E592" t="inlineStr">
        <is>
          <t>Output</t>
        </is>
      </c>
      <c r="F592" t="inlineStr">
        <is>
          <t>'=IFERROR(PMT(INDEX(Data[],ROW()-ROW(Data[[#Headers],[25]]),1)/12,Data[[#Headers],[25]]*12,-LoanAmount,0,IF(PaymentsDue="End of Period",0,1)), "")</t>
        </is>
      </c>
      <c r="G592" t="n">
        <v>111.5748033226887</v>
      </c>
      <c r="H592" t="inlineStr"/>
      <c r="I592" t="inlineStr">
        <is>
          <t>"$"#,##0.00_);[Red]\("$"#,##0.00\)</t>
        </is>
      </c>
      <c r="J592" t="b">
        <v>0</v>
      </c>
      <c r="K592" t="b">
        <v>0</v>
      </c>
      <c r="L592" t="n">
        <v>11</v>
      </c>
      <c r="M592" t="inlineStr">
        <is>
          <t>Values must be of type &lt;class 'str'&gt;</t>
        </is>
      </c>
      <c r="N592" t="inlineStr">
        <is>
          <t>00000000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inlineStr">
        <is>
          <t>G000008</t>
        </is>
      </c>
      <c r="T592" t="inlineStr">
        <is>
          <t>Vertical</t>
        </is>
      </c>
      <c r="U592" t="n">
        <v>57</v>
      </c>
      <c r="V592" t="b">
        <v>1</v>
      </c>
      <c r="W592" t="inlineStr">
        <is>
          <t>Loan analysis!I10:I66</t>
        </is>
      </c>
      <c r="X592">
        <f>IFERROR(PMT(INDEX(Data[],ROW()-ROW(Data[[#Headers],[25]]),1)/12,Data[[#Headers],[25]]*12,-LoanAmount,0,IF(PaymentsDue="End of Period",0,1)), "")</f>
        <v/>
      </c>
    </row>
    <row r="593">
      <c r="A593" t="inlineStr">
        <is>
          <t>Loan analysis</t>
        </is>
      </c>
      <c r="B593" t="inlineStr">
        <is>
          <t>J54</t>
        </is>
      </c>
      <c r="C593" t="n">
        <v>54</v>
      </c>
      <c r="D593" t="n">
        <v>10</v>
      </c>
      <c r="E593" t="inlineStr">
        <is>
          <t>Output</t>
        </is>
      </c>
      <c r="F593" t="inlineStr">
        <is>
          <t>'=IFERROR(PMT(INDEX(Data[],ROW()-ROW(Data[[#Headers],[30]]),1)/12,Data[[#Headers],[30]]*12,-LoanAmount,0,IF(PaymentsDue="End of Period",0,1)), "")</t>
        </is>
      </c>
      <c r="G593" t="n">
        <v>109.4344124583572</v>
      </c>
      <c r="H593" t="inlineStr"/>
      <c r="I593" t="inlineStr">
        <is>
          <t>"$"#,##0.00_);[Red]\("$"#,##0.00\)</t>
        </is>
      </c>
      <c r="J593" t="b">
        <v>0</v>
      </c>
      <c r="K593" t="b">
        <v>0</v>
      </c>
      <c r="L593" t="n">
        <v>11</v>
      </c>
      <c r="M593" t="inlineStr">
        <is>
          <t>Values must be of type &lt;class 'str'&gt;</t>
        </is>
      </c>
      <c r="N593" t="inlineStr">
        <is>
          <t>00000000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inlineStr">
        <is>
          <t>G000009</t>
        </is>
      </c>
      <c r="T593" t="inlineStr">
        <is>
          <t>Vertical</t>
        </is>
      </c>
      <c r="U593" t="n">
        <v>57</v>
      </c>
      <c r="V593" t="b">
        <v>1</v>
      </c>
      <c r="W593" t="inlineStr">
        <is>
          <t>Loan analysis!J10:J66</t>
        </is>
      </c>
      <c r="X593">
        <f>IFERROR(PMT(INDEX(Data[],ROW()-ROW(Data[[#Headers],[30]]),1)/12,Data[[#Headers],[30]]*12,-LoanAmount,0,IF(PaymentsDue="End of Period",0,1)), "")</f>
        <v/>
      </c>
    </row>
    <row r="594">
      <c r="A594" t="inlineStr">
        <is>
          <t>Loan analysis</t>
        </is>
      </c>
      <c r="B594" t="inlineStr">
        <is>
          <t>K54</t>
        </is>
      </c>
      <c r="C594" t="n">
        <v>54</v>
      </c>
      <c r="D594" t="n">
        <v>11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n">
        <v/>
      </c>
      <c r="P594" t="n">
        <v/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Loan analysis</t>
        </is>
      </c>
      <c r="B595" t="inlineStr">
        <is>
          <t>A55</t>
        </is>
      </c>
      <c r="C595" t="n">
        <v>55</v>
      </c>
      <c r="D595" t="n">
        <v>1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n">
        <v/>
      </c>
      <c r="P595" t="n">
        <v/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Loan analysis</t>
        </is>
      </c>
      <c r="B596" t="inlineStr">
        <is>
          <t>B55</t>
        </is>
      </c>
      <c r="C596" t="n">
        <v>55</v>
      </c>
      <c r="D596" t="n">
        <v>2</v>
      </c>
      <c r="E596" t="inlineStr">
        <is>
          <t>Output</t>
        </is>
      </c>
      <c r="F596" t="inlineStr">
        <is>
          <t>'=IFERROR(MAX((ROW()-ROW(Data[[#Headers],[RATE]]))*0.0025+0.0175,0.0025), "")</t>
        </is>
      </c>
      <c r="G596" t="n">
        <v>0.1325</v>
      </c>
      <c r="H596" t="inlineStr"/>
      <c r="I596" t="inlineStr">
        <is>
          <t>0.00%</t>
        </is>
      </c>
      <c r="J596" t="b">
        <v>0</v>
      </c>
      <c r="K596" t="b">
        <v>0</v>
      </c>
      <c r="L596" t="n">
        <v>11</v>
      </c>
      <c r="M596" t="inlineStr">
        <is>
          <t>Values must be of type &lt;class 'str'&gt;</t>
        </is>
      </c>
      <c r="N596" t="inlineStr">
        <is>
          <t>00000000</t>
        </is>
      </c>
      <c r="O596" t="inlineStr">
        <is>
          <t>center</t>
        </is>
      </c>
      <c r="P596" t="inlineStr">
        <is>
          <t>center</t>
        </is>
      </c>
      <c r="R596" t="b">
        <v>1</v>
      </c>
      <c r="S596" t="inlineStr">
        <is>
          <t>G000001</t>
        </is>
      </c>
      <c r="T596" t="inlineStr">
        <is>
          <t>Vertical</t>
        </is>
      </c>
      <c r="U596" t="n">
        <v>57</v>
      </c>
      <c r="V596" t="b">
        <v>1</v>
      </c>
      <c r="W596" t="inlineStr">
        <is>
          <t>Loan analysis!B10:B66</t>
        </is>
      </c>
      <c r="X596">
        <f>IFERROR(MAX((ROW()-ROW(Data[[#Headers],[RATE]]))*0.0025+0.0175,0.0025), "")</f>
        <v/>
      </c>
    </row>
    <row r="597">
      <c r="A597" t="inlineStr">
        <is>
          <t>Loan analysis</t>
        </is>
      </c>
      <c r="B597" t="inlineStr">
        <is>
          <t>C55</t>
        </is>
      </c>
      <c r="C597" t="n">
        <v>55</v>
      </c>
      <c r="D597" t="n">
        <v>3</v>
      </c>
      <c r="E597" t="inlineStr">
        <is>
          <t>Output</t>
        </is>
      </c>
      <c r="F597" t="inlineStr">
        <is>
          <t>'=IFERROR(PMT(INDEX(Data[],ROW()-ROW(Data[[#Headers],[3]]),1)/12,Data[[#Headers],[3]]*12,-LoanAmount,0,IF(PaymentsDue="End of Period",0,1)), "")</t>
        </is>
      </c>
      <c r="G597" t="n">
        <v>334.4520288432161</v>
      </c>
      <c r="H597" t="inlineStr"/>
      <c r="I597" t="inlineStr">
        <is>
          <t>"$"#,##0.00_);[Red]\("$"#,##0.00\)</t>
        </is>
      </c>
      <c r="J597" t="b">
        <v>0</v>
      </c>
      <c r="K597" t="b">
        <v>0</v>
      </c>
      <c r="L597" t="n">
        <v>11</v>
      </c>
      <c r="M597" t="inlineStr">
        <is>
          <t>Values must be of type &lt;class 'str'&gt;</t>
        </is>
      </c>
      <c r="N597" t="inlineStr">
        <is>
          <t>00000000</t>
        </is>
      </c>
      <c r="O597" t="inlineStr">
        <is>
          <t>center</t>
        </is>
      </c>
      <c r="P597" t="inlineStr">
        <is>
          <t>center</t>
        </is>
      </c>
      <c r="R597" t="b">
        <v>1</v>
      </c>
      <c r="S597" t="inlineStr">
        <is>
          <t>G000002</t>
        </is>
      </c>
      <c r="T597" t="inlineStr">
        <is>
          <t>Vertical</t>
        </is>
      </c>
      <c r="U597" t="n">
        <v>57</v>
      </c>
      <c r="V597" t="b">
        <v>1</v>
      </c>
      <c r="W597" t="inlineStr">
        <is>
          <t>Loan analysis!C10:C66</t>
        </is>
      </c>
      <c r="X597">
        <f>IFERROR(PMT(INDEX(Data[],ROW()-ROW(Data[[#Headers],[3]]),1)/12,Data[[#Headers],[3]]*12,-LoanAmount,0,IF(PaymentsDue="End of Period",0,1)), "")</f>
        <v/>
      </c>
    </row>
    <row r="598">
      <c r="A598" t="inlineStr">
        <is>
          <t>Loan analysis</t>
        </is>
      </c>
      <c r="B598" t="inlineStr">
        <is>
          <t>D55</t>
        </is>
      </c>
      <c r="C598" t="n">
        <v>55</v>
      </c>
      <c r="D598" t="n">
        <v>4</v>
      </c>
      <c r="E598" t="inlineStr">
        <is>
          <t>Output</t>
        </is>
      </c>
      <c r="F598" t="inlineStr">
        <is>
          <t>'=IFERROR(PMT(INDEX(Data[],ROW()-ROW(Data[[#Headers],[5]]),1)/12,Data[[#Headers],[5]]*12,-LoanAmount,0,IF(PaymentsDue="End of Period",0,1)), "")</t>
        </is>
      </c>
      <c r="G598" t="n">
        <v>226.3136713860157</v>
      </c>
      <c r="H598" t="inlineStr"/>
      <c r="I598" t="inlineStr">
        <is>
          <t>"$"#,##0.00_);[Red]\("$"#,##0.00\)</t>
        </is>
      </c>
      <c r="J598" t="b">
        <v>0</v>
      </c>
      <c r="K598" t="b">
        <v>0</v>
      </c>
      <c r="L598" t="n">
        <v>11</v>
      </c>
      <c r="M598" t="inlineStr">
        <is>
          <t>Values must be of type &lt;class 'str'&gt;</t>
        </is>
      </c>
      <c r="N598" t="inlineStr">
        <is>
          <t>00000000</t>
        </is>
      </c>
      <c r="O598" t="inlineStr">
        <is>
          <t>center</t>
        </is>
      </c>
      <c r="P598" t="inlineStr">
        <is>
          <t>center</t>
        </is>
      </c>
      <c r="R598" t="b">
        <v>1</v>
      </c>
      <c r="S598" t="inlineStr">
        <is>
          <t>G000003</t>
        </is>
      </c>
      <c r="T598" t="inlineStr">
        <is>
          <t>Vertical</t>
        </is>
      </c>
      <c r="U598" t="n">
        <v>57</v>
      </c>
      <c r="V598" t="b">
        <v>1</v>
      </c>
      <c r="W598" t="inlineStr">
        <is>
          <t>Loan analysis!D10:D66</t>
        </is>
      </c>
      <c r="X598">
        <f>IFERROR(PMT(INDEX(Data[],ROW()-ROW(Data[[#Headers],[5]]),1)/12,Data[[#Headers],[5]]*12,-LoanAmount,0,IF(PaymentsDue="End of Period",0,1)), "")</f>
        <v/>
      </c>
    </row>
    <row r="599">
      <c r="A599" t="inlineStr">
        <is>
          <t>Loan analysis</t>
        </is>
      </c>
      <c r="B599" t="inlineStr">
        <is>
          <t>E55</t>
        </is>
      </c>
      <c r="C599" t="n">
        <v>55</v>
      </c>
      <c r="D599" t="n">
        <v>5</v>
      </c>
      <c r="E599" t="inlineStr">
        <is>
          <t>Output</t>
        </is>
      </c>
      <c r="F599" t="inlineStr">
        <is>
          <t>'=IFERROR(PMT(INDEX(Data[],ROW()-ROW(Data[[#Headers],[10]]),1)/12,Data[[#Headers],[10]]*12,-LoanAmount,0,IF(PaymentsDue="End of Period",0,1)), "")</t>
        </is>
      </c>
      <c r="G599" t="n">
        <v>149.1421381792346</v>
      </c>
      <c r="H599" t="inlineStr"/>
      <c r="I599" t="inlineStr">
        <is>
          <t>"$"#,##0.00_);[Red]\("$"#,##0.00\)</t>
        </is>
      </c>
      <c r="J599" t="b">
        <v>0</v>
      </c>
      <c r="K599" t="b">
        <v>0</v>
      </c>
      <c r="L599" t="n">
        <v>11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center</t>
        </is>
      </c>
      <c r="P599" t="inlineStr">
        <is>
          <t>center</t>
        </is>
      </c>
      <c r="R599" t="b">
        <v>1</v>
      </c>
      <c r="S599" t="inlineStr">
        <is>
          <t>G000004</t>
        </is>
      </c>
      <c r="T599" t="inlineStr">
        <is>
          <t>Vertical</t>
        </is>
      </c>
      <c r="U599" t="n">
        <v>57</v>
      </c>
      <c r="V599" t="b">
        <v>1</v>
      </c>
      <c r="W599" t="inlineStr">
        <is>
          <t>Loan analysis!E10:E66</t>
        </is>
      </c>
      <c r="X599">
        <f>IFERROR(PMT(INDEX(Data[],ROW()-ROW(Data[[#Headers],[10]]),1)/12,Data[[#Headers],[10]]*12,-LoanAmount,0,IF(PaymentsDue="End of Period",0,1)), "")</f>
        <v/>
      </c>
    </row>
    <row r="600">
      <c r="A600" t="inlineStr">
        <is>
          <t>Loan analysis</t>
        </is>
      </c>
      <c r="B600" t="inlineStr">
        <is>
          <t>F55</t>
        </is>
      </c>
      <c r="C600" t="n">
        <v>55</v>
      </c>
      <c r="D600" t="n">
        <v>6</v>
      </c>
      <c r="E600" t="inlineStr">
        <is>
          <t>Output</t>
        </is>
      </c>
      <c r="F600" t="inlineStr">
        <is>
          <t>'=IFERROR(PMT(INDEX(Data[],ROW()-ROW(Data[[#Headers],[12]]),1)/12,Data[[#Headers],[12]]*12,-LoanAmount,0,IF(PaymentsDue="End of Period",0,1)), "")</t>
        </is>
      </c>
      <c r="G600" t="n">
        <v>137.494934346572</v>
      </c>
      <c r="H600" t="inlineStr"/>
      <c r="I600" t="inlineStr">
        <is>
          <t>"$"#,##0.00_);[Red]\("$"#,##0.00\)</t>
        </is>
      </c>
      <c r="J600" t="b">
        <v>0</v>
      </c>
      <c r="K600" t="b">
        <v>0</v>
      </c>
      <c r="L600" t="n">
        <v>11</v>
      </c>
      <c r="M600" t="inlineStr">
        <is>
          <t>Values must be of type &lt;class 'str'&gt;</t>
        </is>
      </c>
      <c r="N600" t="inlineStr">
        <is>
          <t>00000000</t>
        </is>
      </c>
      <c r="O600" t="inlineStr">
        <is>
          <t>center</t>
        </is>
      </c>
      <c r="P600" t="inlineStr">
        <is>
          <t>center</t>
        </is>
      </c>
      <c r="R600" t="b">
        <v>1</v>
      </c>
      <c r="S600" t="inlineStr">
        <is>
          <t>G000005</t>
        </is>
      </c>
      <c r="T600" t="inlineStr">
        <is>
          <t>Vertical</t>
        </is>
      </c>
      <c r="U600" t="n">
        <v>57</v>
      </c>
      <c r="V600" t="b">
        <v>1</v>
      </c>
      <c r="W600" t="inlineStr">
        <is>
          <t>Loan analysis!F10:F66</t>
        </is>
      </c>
      <c r="X600">
        <f>IFERROR(PMT(INDEX(Data[],ROW()-ROW(Data[[#Headers],[12]]),1)/12,Data[[#Headers],[12]]*12,-LoanAmount,0,IF(PaymentsDue="End of Period",0,1)), "")</f>
        <v/>
      </c>
    </row>
    <row r="601">
      <c r="A601" t="inlineStr">
        <is>
          <t>Loan analysis</t>
        </is>
      </c>
      <c r="B601" t="inlineStr">
        <is>
          <t>G55</t>
        </is>
      </c>
      <c r="C601" t="n">
        <v>55</v>
      </c>
      <c r="D601" t="n">
        <v>7</v>
      </c>
      <c r="E601" t="inlineStr">
        <is>
          <t>Output</t>
        </is>
      </c>
      <c r="F601" t="inlineStr">
        <is>
          <t>'=IFERROR(PMT(INDEX(Data[],ROW()-ROW(Data[[#Headers],[15]]),1)/12,Data[[#Headers],[15]]*12,-LoanAmount,0,IF(PaymentsDue="End of Period",0,1)), "")</t>
        </is>
      </c>
      <c r="G601" t="n">
        <v>126.7738485723938</v>
      </c>
      <c r="H601" t="inlineStr"/>
      <c r="I601" t="inlineStr">
        <is>
          <t>"$"#,##0.00_);[Red]\("$"#,##0.00\)</t>
        </is>
      </c>
      <c r="J601" t="b">
        <v>0</v>
      </c>
      <c r="K601" t="b">
        <v>0</v>
      </c>
      <c r="L601" t="n">
        <v>11</v>
      </c>
      <c r="M601" t="inlineStr">
        <is>
          <t>Values must be of type &lt;class 'str'&gt;</t>
        </is>
      </c>
      <c r="N601" t="inlineStr">
        <is>
          <t>00000000</t>
        </is>
      </c>
      <c r="O601" t="inlineStr">
        <is>
          <t>center</t>
        </is>
      </c>
      <c r="P601" t="inlineStr">
        <is>
          <t>center</t>
        </is>
      </c>
      <c r="R601" t="b">
        <v>1</v>
      </c>
      <c r="S601" t="inlineStr">
        <is>
          <t>G000006</t>
        </is>
      </c>
      <c r="T601" t="inlineStr">
        <is>
          <t>Vertical</t>
        </is>
      </c>
      <c r="U601" t="n">
        <v>57</v>
      </c>
      <c r="V601" t="b">
        <v>1</v>
      </c>
      <c r="W601" t="inlineStr">
        <is>
          <t>Loan analysis!G10:G66</t>
        </is>
      </c>
      <c r="X601">
        <f>IFERROR(PMT(INDEX(Data[],ROW()-ROW(Data[[#Headers],[15]]),1)/12,Data[[#Headers],[15]]*12,-LoanAmount,0,IF(PaymentsDue="End of Period",0,1)), "")</f>
        <v/>
      </c>
    </row>
    <row r="602">
      <c r="A602" t="inlineStr">
        <is>
          <t>Loan analysis</t>
        </is>
      </c>
      <c r="B602" t="inlineStr">
        <is>
          <t>H55</t>
        </is>
      </c>
      <c r="C602" t="n">
        <v>55</v>
      </c>
      <c r="D602" t="n">
        <v>8</v>
      </c>
      <c r="E602" t="inlineStr">
        <is>
          <t>Output</t>
        </is>
      </c>
      <c r="F602" t="inlineStr">
        <is>
          <t>'=IFERROR(PMT(INDEX(Data[],ROW()-ROW(Data[[#Headers],[20]]),1)/12,Data[[#Headers],[20]]*12,-LoanAmount,0,IF(PaymentsDue="End of Period",0,1)), "")</t>
        </is>
      </c>
      <c r="G602" t="n">
        <v>117.6440900568586</v>
      </c>
      <c r="H602" t="inlineStr"/>
      <c r="I602" t="inlineStr">
        <is>
          <t>"$"#,##0.00_);[Red]\("$"#,##0.00\)</t>
        </is>
      </c>
      <c r="J602" t="b">
        <v>0</v>
      </c>
      <c r="K602" t="b">
        <v>0</v>
      </c>
      <c r="L602" t="n">
        <v>11</v>
      </c>
      <c r="M602" t="inlineStr">
        <is>
          <t>Values must be of type &lt;class 'str'&gt;</t>
        </is>
      </c>
      <c r="N602" t="inlineStr">
        <is>
          <t>00000000</t>
        </is>
      </c>
      <c r="O602" t="inlineStr">
        <is>
          <t>center</t>
        </is>
      </c>
      <c r="P602" t="inlineStr">
        <is>
          <t>center</t>
        </is>
      </c>
      <c r="R602" t="b">
        <v>1</v>
      </c>
      <c r="S602" t="inlineStr">
        <is>
          <t>G000007</t>
        </is>
      </c>
      <c r="T602" t="inlineStr">
        <is>
          <t>Vertical</t>
        </is>
      </c>
      <c r="U602" t="n">
        <v>57</v>
      </c>
      <c r="V602" t="b">
        <v>1</v>
      </c>
      <c r="W602" t="inlineStr">
        <is>
          <t>Loan analysis!H10:H66</t>
        </is>
      </c>
      <c r="X602">
        <f>IFERROR(PMT(INDEX(Data[],ROW()-ROW(Data[[#Headers],[20]]),1)/12,Data[[#Headers],[20]]*12,-LoanAmount,0,IF(PaymentsDue="End of Period",0,1)), "")</f>
        <v/>
      </c>
    </row>
    <row r="603">
      <c r="A603" t="inlineStr">
        <is>
          <t>Loan analysis</t>
        </is>
      </c>
      <c r="B603" t="inlineStr">
        <is>
          <t>I55</t>
        </is>
      </c>
      <c r="C603" t="n">
        <v>55</v>
      </c>
      <c r="D603" t="n">
        <v>9</v>
      </c>
      <c r="E603" t="inlineStr">
        <is>
          <t>Output</t>
        </is>
      </c>
      <c r="F603" t="inlineStr">
        <is>
          <t>'=IFERROR(PMT(INDEX(Data[],ROW()-ROW(Data[[#Headers],[25]]),1)/12,Data[[#Headers],[25]]*12,-LoanAmount,0,IF(PaymentsDue="End of Period",0,1)), "")</t>
        </is>
      </c>
      <c r="G603" t="n">
        <v>113.4177221472485</v>
      </c>
      <c r="H603" t="inlineStr"/>
      <c r="I603" t="inlineStr">
        <is>
          <t>"$"#,##0.00_);[Red]\("$"#,##0.00\)</t>
        </is>
      </c>
      <c r="J603" t="b">
        <v>0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00000000</t>
        </is>
      </c>
      <c r="O603" t="inlineStr">
        <is>
          <t>center</t>
        </is>
      </c>
      <c r="P603" t="inlineStr">
        <is>
          <t>center</t>
        </is>
      </c>
      <c r="R603" t="b">
        <v>1</v>
      </c>
      <c r="S603" t="inlineStr">
        <is>
          <t>G000008</t>
        </is>
      </c>
      <c r="T603" t="inlineStr">
        <is>
          <t>Vertical</t>
        </is>
      </c>
      <c r="U603" t="n">
        <v>57</v>
      </c>
      <c r="V603" t="b">
        <v>1</v>
      </c>
      <c r="W603" t="inlineStr">
        <is>
          <t>Loan analysis!I10:I66</t>
        </is>
      </c>
      <c r="X603">
        <f>IFERROR(PMT(INDEX(Data[],ROW()-ROW(Data[[#Headers],[25]]),1)/12,Data[[#Headers],[25]]*12,-LoanAmount,0,IF(PaymentsDue="End of Period",0,1)), "")</f>
        <v/>
      </c>
    </row>
    <row r="604">
      <c r="A604" t="inlineStr">
        <is>
          <t>Loan analysis</t>
        </is>
      </c>
      <c r="B604" t="inlineStr">
        <is>
          <t>J55</t>
        </is>
      </c>
      <c r="C604" t="n">
        <v>55</v>
      </c>
      <c r="D604" t="n">
        <v>10</v>
      </c>
      <c r="E604" t="inlineStr">
        <is>
          <t>Output</t>
        </is>
      </c>
      <c r="F604" t="inlineStr">
        <is>
          <t>'=IFERROR(PMT(INDEX(Data[],ROW()-ROW(Data[[#Headers],[30]]),1)/12,Data[[#Headers],[30]]*12,-LoanAmount,0,IF(PaymentsDue="End of Period",0,1)), "")</t>
        </is>
      </c>
      <c r="G604" t="n">
        <v>111.3478861972983</v>
      </c>
      <c r="H604" t="inlineStr"/>
      <c r="I604" t="inlineStr">
        <is>
          <t>"$"#,##0.00_);[Red]\("$"#,##0.00\)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00000000</t>
        </is>
      </c>
      <c r="O604" t="inlineStr">
        <is>
          <t>center</t>
        </is>
      </c>
      <c r="P604" t="inlineStr">
        <is>
          <t>center</t>
        </is>
      </c>
      <c r="R604" t="b">
        <v>1</v>
      </c>
      <c r="S604" t="inlineStr">
        <is>
          <t>G000009</t>
        </is>
      </c>
      <c r="T604" t="inlineStr">
        <is>
          <t>Vertical</t>
        </is>
      </c>
      <c r="U604" t="n">
        <v>57</v>
      </c>
      <c r="V604" t="b">
        <v>1</v>
      </c>
      <c r="W604" t="inlineStr">
        <is>
          <t>Loan analysis!J10:J66</t>
        </is>
      </c>
      <c r="X604">
        <f>IFERROR(PMT(INDEX(Data[],ROW()-ROW(Data[[#Headers],[30]]),1)/12,Data[[#Headers],[30]]*12,-LoanAmount,0,IF(PaymentsDue="End of Period",0,1)), "")</f>
        <v/>
      </c>
    </row>
    <row r="605">
      <c r="A605" t="inlineStr">
        <is>
          <t>Loan analysis</t>
        </is>
      </c>
      <c r="B605" t="inlineStr">
        <is>
          <t>K55</t>
        </is>
      </c>
      <c r="C605" t="n">
        <v>55</v>
      </c>
      <c r="D605" t="n">
        <v>11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n">
        <v/>
      </c>
      <c r="P605" t="n">
        <v/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Loan analysis</t>
        </is>
      </c>
      <c r="B606" t="inlineStr">
        <is>
          <t>A56</t>
        </is>
      </c>
      <c r="C606" t="n">
        <v>56</v>
      </c>
      <c r="D606" t="n">
        <v>1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n">
        <v/>
      </c>
      <c r="P606" t="n">
        <v/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Loan analysis</t>
        </is>
      </c>
      <c r="B607" t="inlineStr">
        <is>
          <t>B56</t>
        </is>
      </c>
      <c r="C607" t="n">
        <v>56</v>
      </c>
      <c r="D607" t="n">
        <v>2</v>
      </c>
      <c r="E607" t="inlineStr">
        <is>
          <t>Output</t>
        </is>
      </c>
      <c r="F607" t="inlineStr">
        <is>
          <t>'=IFERROR(MAX((ROW()-ROW(Data[[#Headers],[RATE]]))*0.0025+0.0175,0.0025), "")</t>
        </is>
      </c>
      <c r="G607" t="n">
        <v>0.135</v>
      </c>
      <c r="H607" t="inlineStr"/>
      <c r="I607" t="inlineStr">
        <is>
          <t>0.00%</t>
        </is>
      </c>
      <c r="J607" t="b">
        <v>0</v>
      </c>
      <c r="K607" t="b">
        <v>0</v>
      </c>
      <c r="L607" t="n">
        <v>11</v>
      </c>
      <c r="M607" t="inlineStr">
        <is>
          <t>Values must be of type &lt;class 'str'&gt;</t>
        </is>
      </c>
      <c r="N607" t="inlineStr">
        <is>
          <t>00000000</t>
        </is>
      </c>
      <c r="O607" t="inlineStr">
        <is>
          <t>center</t>
        </is>
      </c>
      <c r="P607" t="inlineStr">
        <is>
          <t>center</t>
        </is>
      </c>
      <c r="R607" t="b">
        <v>1</v>
      </c>
      <c r="S607" t="inlineStr">
        <is>
          <t>G000001</t>
        </is>
      </c>
      <c r="T607" t="inlineStr">
        <is>
          <t>Vertical</t>
        </is>
      </c>
      <c r="U607" t="n">
        <v>57</v>
      </c>
      <c r="V607" t="b">
        <v>1</v>
      </c>
      <c r="W607" t="inlineStr">
        <is>
          <t>Loan analysis!B10:B66</t>
        </is>
      </c>
      <c r="X607">
        <f>IFERROR(MAX((ROW()-ROW(Data[[#Headers],[RATE]]))*0.0025+0.0175,0.0025), "")</f>
        <v/>
      </c>
    </row>
    <row r="608">
      <c r="A608" t="inlineStr">
        <is>
          <t>Loan analysis</t>
        </is>
      </c>
      <c r="B608" t="inlineStr">
        <is>
          <t>C56</t>
        </is>
      </c>
      <c r="C608" t="n">
        <v>56</v>
      </c>
      <c r="D608" t="n">
        <v>3</v>
      </c>
      <c r="E608" t="inlineStr">
        <is>
          <t>Output</t>
        </is>
      </c>
      <c r="F608" t="inlineStr">
        <is>
          <t>'=IFERROR(PMT(INDEX(Data[],ROW()-ROW(Data[[#Headers],[3]]),1)/12,Data[[#Headers],[3]]*12,-LoanAmount,0,IF(PaymentsDue="End of Period",0,1)), "")</t>
        </is>
      </c>
      <c r="G608" t="n">
        <v>335.5776250282421</v>
      </c>
      <c r="H608" t="inlineStr"/>
      <c r="I608" t="inlineStr">
        <is>
          <t>"$"#,##0.00_);[Red]\("$"#,##0.00\)</t>
        </is>
      </c>
      <c r="J608" t="b">
        <v>0</v>
      </c>
      <c r="K608" t="b">
        <v>0</v>
      </c>
      <c r="L608" t="n">
        <v>11</v>
      </c>
      <c r="M608" t="inlineStr">
        <is>
          <t>Values must be of type &lt;class 'str'&gt;</t>
        </is>
      </c>
      <c r="N608" t="inlineStr">
        <is>
          <t>00000000</t>
        </is>
      </c>
      <c r="O608" t="inlineStr">
        <is>
          <t>center</t>
        </is>
      </c>
      <c r="P608" t="inlineStr">
        <is>
          <t>center</t>
        </is>
      </c>
      <c r="R608" t="b">
        <v>1</v>
      </c>
      <c r="S608" t="inlineStr">
        <is>
          <t>G000002</t>
        </is>
      </c>
      <c r="T608" t="inlineStr">
        <is>
          <t>Vertical</t>
        </is>
      </c>
      <c r="U608" t="n">
        <v>57</v>
      </c>
      <c r="V608" t="b">
        <v>1</v>
      </c>
      <c r="W608" t="inlineStr">
        <is>
          <t>Loan analysis!C10:C66</t>
        </is>
      </c>
      <c r="X608">
        <f>IFERROR(PMT(INDEX(Data[],ROW()-ROW(Data[[#Headers],[3]]),1)/12,Data[[#Headers],[3]]*12,-LoanAmount,0,IF(PaymentsDue="End of Period",0,1)), "")</f>
        <v/>
      </c>
    </row>
    <row r="609">
      <c r="A609" t="inlineStr">
        <is>
          <t>Loan analysis</t>
        </is>
      </c>
      <c r="B609" t="inlineStr">
        <is>
          <t>D56</t>
        </is>
      </c>
      <c r="C609" t="n">
        <v>56</v>
      </c>
      <c r="D609" t="n">
        <v>4</v>
      </c>
      <c r="E609" t="inlineStr">
        <is>
          <t>Output</t>
        </is>
      </c>
      <c r="F609" t="inlineStr">
        <is>
          <t>'=IFERROR(PMT(INDEX(Data[],ROW()-ROW(Data[[#Headers],[5]]),1)/12,Data[[#Headers],[5]]*12,-LoanAmount,0,IF(PaymentsDue="End of Period",0,1)), "")</t>
        </is>
      </c>
      <c r="G609" t="n">
        <v>227.5386503524057</v>
      </c>
      <c r="H609" t="inlineStr"/>
      <c r="I609" t="inlineStr">
        <is>
          <t>"$"#,##0.00_);[Red]\("$"#,##0.00\)</t>
        </is>
      </c>
      <c r="J609" t="b">
        <v>0</v>
      </c>
      <c r="K609" t="b">
        <v>0</v>
      </c>
      <c r="L609" t="n">
        <v>11</v>
      </c>
      <c r="M609" t="inlineStr">
        <is>
          <t>Values must be of type &lt;class 'str'&gt;</t>
        </is>
      </c>
      <c r="N609" t="inlineStr">
        <is>
          <t>00000000</t>
        </is>
      </c>
      <c r="O609" t="inlineStr">
        <is>
          <t>center</t>
        </is>
      </c>
      <c r="P609" t="inlineStr">
        <is>
          <t>center</t>
        </is>
      </c>
      <c r="R609" t="b">
        <v>1</v>
      </c>
      <c r="S609" t="inlineStr">
        <is>
          <t>G000003</t>
        </is>
      </c>
      <c r="T609" t="inlineStr">
        <is>
          <t>Vertical</t>
        </is>
      </c>
      <c r="U609" t="n">
        <v>57</v>
      </c>
      <c r="V609" t="b">
        <v>1</v>
      </c>
      <c r="W609" t="inlineStr">
        <is>
          <t>Loan analysis!D10:D66</t>
        </is>
      </c>
      <c r="X609">
        <f>IFERROR(PMT(INDEX(Data[],ROW()-ROW(Data[[#Headers],[5]]),1)/12,Data[[#Headers],[5]]*12,-LoanAmount,0,IF(PaymentsDue="End of Period",0,1)), "")</f>
        <v/>
      </c>
    </row>
    <row r="610">
      <c r="A610" t="inlineStr">
        <is>
          <t>Loan analysis</t>
        </is>
      </c>
      <c r="B610" t="inlineStr">
        <is>
          <t>E56</t>
        </is>
      </c>
      <c r="C610" t="n">
        <v>56</v>
      </c>
      <c r="D610" t="n">
        <v>5</v>
      </c>
      <c r="E610" t="inlineStr">
        <is>
          <t>Output</t>
        </is>
      </c>
      <c r="F610" t="inlineStr">
        <is>
          <t>'=IFERROR(PMT(INDEX(Data[],ROW()-ROW(Data[[#Headers],[10]]),1)/12,Data[[#Headers],[10]]*12,-LoanAmount,0,IF(PaymentsDue="End of Period",0,1)), "")</t>
        </is>
      </c>
      <c r="G610" t="n">
        <v>150.5802611772761</v>
      </c>
      <c r="H610" t="inlineStr"/>
      <c r="I610" t="inlineStr">
        <is>
          <t>"$"#,##0.00_);[Red]\("$"#,##0.00\)</t>
        </is>
      </c>
      <c r="J610" t="b">
        <v>0</v>
      </c>
      <c r="K610" t="b">
        <v>0</v>
      </c>
      <c r="L610" t="n">
        <v>11</v>
      </c>
      <c r="M610" t="inlineStr">
        <is>
          <t>Values must be of type &lt;class 'str'&gt;</t>
        </is>
      </c>
      <c r="N610" t="inlineStr">
        <is>
          <t>00000000</t>
        </is>
      </c>
      <c r="O610" t="inlineStr">
        <is>
          <t>center</t>
        </is>
      </c>
      <c r="P610" t="inlineStr">
        <is>
          <t>center</t>
        </is>
      </c>
      <c r="R610" t="b">
        <v>1</v>
      </c>
      <c r="S610" t="inlineStr">
        <is>
          <t>G000004</t>
        </is>
      </c>
      <c r="T610" t="inlineStr">
        <is>
          <t>Vertical</t>
        </is>
      </c>
      <c r="U610" t="n">
        <v>57</v>
      </c>
      <c r="V610" t="b">
        <v>1</v>
      </c>
      <c r="W610" t="inlineStr">
        <is>
          <t>Loan analysis!E10:E66</t>
        </is>
      </c>
      <c r="X610">
        <f>IFERROR(PMT(INDEX(Data[],ROW()-ROW(Data[[#Headers],[10]]),1)/12,Data[[#Headers],[10]]*12,-LoanAmount,0,IF(PaymentsDue="End of Period",0,1)), "")</f>
        <v/>
      </c>
    </row>
    <row r="611">
      <c r="A611" t="inlineStr">
        <is>
          <t>Loan analysis</t>
        </is>
      </c>
      <c r="B611" t="inlineStr">
        <is>
          <t>F56</t>
        </is>
      </c>
      <c r="C611" t="n">
        <v>56</v>
      </c>
      <c r="D611" t="n">
        <v>6</v>
      </c>
      <c r="E611" t="inlineStr">
        <is>
          <t>Output</t>
        </is>
      </c>
      <c r="F611" t="inlineStr">
        <is>
          <t>'=IFERROR(PMT(INDEX(Data[],ROW()-ROW(Data[[#Headers],[12]]),1)/12,Data[[#Headers],[12]]*12,-LoanAmount,0,IF(PaymentsDue="End of Period",0,1)), "")</t>
        </is>
      </c>
      <c r="G611" t="n">
        <v>139.0078773476283</v>
      </c>
      <c r="H611" t="inlineStr"/>
      <c r="I611" t="inlineStr">
        <is>
          <t>"$"#,##0.00_);[Red]\("$"#,##0.00\)</t>
        </is>
      </c>
      <c r="J611" t="b">
        <v>0</v>
      </c>
      <c r="K611" t="b">
        <v>0</v>
      </c>
      <c r="L611" t="n">
        <v>11</v>
      </c>
      <c r="M611" t="inlineStr">
        <is>
          <t>Values must be of type &lt;class 'str'&gt;</t>
        </is>
      </c>
      <c r="N611" t="inlineStr">
        <is>
          <t>00000000</t>
        </is>
      </c>
      <c r="O611" t="inlineStr">
        <is>
          <t>center</t>
        </is>
      </c>
      <c r="P611" t="inlineStr">
        <is>
          <t>center</t>
        </is>
      </c>
      <c r="R611" t="b">
        <v>1</v>
      </c>
      <c r="S611" t="inlineStr">
        <is>
          <t>G000005</t>
        </is>
      </c>
      <c r="T611" t="inlineStr">
        <is>
          <t>Vertical</t>
        </is>
      </c>
      <c r="U611" t="n">
        <v>57</v>
      </c>
      <c r="V611" t="b">
        <v>1</v>
      </c>
      <c r="W611" t="inlineStr">
        <is>
          <t>Loan analysis!F10:F66</t>
        </is>
      </c>
      <c r="X611">
        <f>IFERROR(PMT(INDEX(Data[],ROW()-ROW(Data[[#Headers],[12]]),1)/12,Data[[#Headers],[12]]*12,-LoanAmount,0,IF(PaymentsDue="End of Period",0,1)), "")</f>
        <v/>
      </c>
    </row>
    <row r="612">
      <c r="A612" t="inlineStr">
        <is>
          <t>Loan analysis</t>
        </is>
      </c>
      <c r="B612" t="inlineStr">
        <is>
          <t>G56</t>
        </is>
      </c>
      <c r="C612" t="n">
        <v>56</v>
      </c>
      <c r="D612" t="n">
        <v>7</v>
      </c>
      <c r="E612" t="inlineStr">
        <is>
          <t>Output</t>
        </is>
      </c>
      <c r="F612" t="inlineStr">
        <is>
          <t>'=IFERROR(PMT(INDEX(Data[],ROW()-ROW(Data[[#Headers],[15]]),1)/12,Data[[#Headers],[15]]*12,-LoanAmount,0,IF(PaymentsDue="End of Period",0,1)), "")</t>
        </is>
      </c>
      <c r="G612" t="n">
        <v>128.3874949234142</v>
      </c>
      <c r="H612" t="inlineStr"/>
      <c r="I612" t="inlineStr">
        <is>
          <t>"$"#,##0.00_);[Red]\("$"#,##0.00\)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00000000</t>
        </is>
      </c>
      <c r="O612" t="inlineStr">
        <is>
          <t>center</t>
        </is>
      </c>
      <c r="P612" t="inlineStr">
        <is>
          <t>center</t>
        </is>
      </c>
      <c r="R612" t="b">
        <v>1</v>
      </c>
      <c r="S612" t="inlineStr">
        <is>
          <t>G000006</t>
        </is>
      </c>
      <c r="T612" t="inlineStr">
        <is>
          <t>Vertical</t>
        </is>
      </c>
      <c r="U612" t="n">
        <v>57</v>
      </c>
      <c r="V612" t="b">
        <v>1</v>
      </c>
      <c r="W612" t="inlineStr">
        <is>
          <t>Loan analysis!G10:G66</t>
        </is>
      </c>
      <c r="X612">
        <f>IFERROR(PMT(INDEX(Data[],ROW()-ROW(Data[[#Headers],[15]]),1)/12,Data[[#Headers],[15]]*12,-LoanAmount,0,IF(PaymentsDue="End of Period",0,1)), "")</f>
        <v/>
      </c>
    </row>
    <row r="613">
      <c r="A613" t="inlineStr">
        <is>
          <t>Loan analysis</t>
        </is>
      </c>
      <c r="B613" t="inlineStr">
        <is>
          <t>H56</t>
        </is>
      </c>
      <c r="C613" t="n">
        <v>56</v>
      </c>
      <c r="D613" t="n">
        <v>8</v>
      </c>
      <c r="E613" t="inlineStr">
        <is>
          <t>Output</t>
        </is>
      </c>
      <c r="F613" t="inlineStr">
        <is>
          <t>'=IFERROR(PMT(INDEX(Data[],ROW()-ROW(Data[[#Headers],[20]]),1)/12,Data[[#Headers],[20]]*12,-LoanAmount,0,IF(PaymentsDue="End of Period",0,1)), "")</t>
        </is>
      </c>
      <c r="G613" t="n">
        <v>119.3942826174644</v>
      </c>
      <c r="H613" t="inlineStr"/>
      <c r="I613" t="inlineStr">
        <is>
          <t>"$"#,##0.00_);[Red]\("$"#,##0.00\)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00000000</t>
        </is>
      </c>
      <c r="O613" t="inlineStr">
        <is>
          <t>center</t>
        </is>
      </c>
      <c r="P613" t="inlineStr">
        <is>
          <t>center</t>
        </is>
      </c>
      <c r="R613" t="b">
        <v>1</v>
      </c>
      <c r="S613" t="inlineStr">
        <is>
          <t>G000007</t>
        </is>
      </c>
      <c r="T613" t="inlineStr">
        <is>
          <t>Vertical</t>
        </is>
      </c>
      <c r="U613" t="n">
        <v>57</v>
      </c>
      <c r="V613" t="b">
        <v>1</v>
      </c>
      <c r="W613" t="inlineStr">
        <is>
          <t>Loan analysis!H10:H66</t>
        </is>
      </c>
      <c r="X613">
        <f>IFERROR(PMT(INDEX(Data[],ROW()-ROW(Data[[#Headers],[20]]),1)/12,Data[[#Headers],[20]]*12,-LoanAmount,0,IF(PaymentsDue="End of Period",0,1)), "")</f>
        <v/>
      </c>
    </row>
    <row r="614">
      <c r="A614" t="inlineStr">
        <is>
          <t>Loan analysis</t>
        </is>
      </c>
      <c r="B614" t="inlineStr">
        <is>
          <t>I56</t>
        </is>
      </c>
      <c r="C614" t="n">
        <v>56</v>
      </c>
      <c r="D614" t="n">
        <v>9</v>
      </c>
      <c r="E614" t="inlineStr">
        <is>
          <t>Output</t>
        </is>
      </c>
      <c r="F614" t="inlineStr">
        <is>
          <t>'=IFERROR(PMT(INDEX(Data[],ROW()-ROW(Data[[#Headers],[25]]),1)/12,Data[[#Headers],[25]]*12,-LoanAmount,0,IF(PaymentsDue="End of Period",0,1)), "")</t>
        </is>
      </c>
      <c r="G614" t="n">
        <v>115.267726356204</v>
      </c>
      <c r="H614" t="inlineStr"/>
      <c r="I614" t="inlineStr">
        <is>
          <t>"$"#,##0.00_);[Red]\("$"#,##0.00\)</t>
        </is>
      </c>
      <c r="J614" t="b">
        <v>0</v>
      </c>
      <c r="K614" t="b">
        <v>0</v>
      </c>
      <c r="L614" t="n">
        <v>11</v>
      </c>
      <c r="M614" t="inlineStr">
        <is>
          <t>Values must be of type &lt;class 'str'&gt;</t>
        </is>
      </c>
      <c r="N614" t="inlineStr">
        <is>
          <t>00000000</t>
        </is>
      </c>
      <c r="O614" t="inlineStr">
        <is>
          <t>center</t>
        </is>
      </c>
      <c r="P614" t="inlineStr">
        <is>
          <t>center</t>
        </is>
      </c>
      <c r="R614" t="b">
        <v>1</v>
      </c>
      <c r="S614" t="inlineStr">
        <is>
          <t>G000008</t>
        </is>
      </c>
      <c r="T614" t="inlineStr">
        <is>
          <t>Vertical</t>
        </is>
      </c>
      <c r="U614" t="n">
        <v>57</v>
      </c>
      <c r="V614" t="b">
        <v>1</v>
      </c>
      <c r="W614" t="inlineStr">
        <is>
          <t>Loan analysis!I10:I66</t>
        </is>
      </c>
      <c r="X614">
        <f>IFERROR(PMT(INDEX(Data[],ROW()-ROW(Data[[#Headers],[25]]),1)/12,Data[[#Headers],[25]]*12,-LoanAmount,0,IF(PaymentsDue="End of Period",0,1)), "")</f>
        <v/>
      </c>
    </row>
    <row r="615">
      <c r="A615" t="inlineStr">
        <is>
          <t>Loan analysis</t>
        </is>
      </c>
      <c r="B615" t="inlineStr">
        <is>
          <t>J56</t>
        </is>
      </c>
      <c r="C615" t="n">
        <v>56</v>
      </c>
      <c r="D615" t="n">
        <v>10</v>
      </c>
      <c r="E615" t="inlineStr">
        <is>
          <t>Output</t>
        </is>
      </c>
      <c r="F615" t="inlineStr">
        <is>
          <t>'=IFERROR(PMT(INDEX(Data[],ROW()-ROW(Data[[#Headers],[30]]),1)/12,Data[[#Headers],[30]]*12,-LoanAmount,0,IF(PaymentsDue="End of Period",0,1)), "")</t>
        </is>
      </c>
      <c r="G615" t="n">
        <v>113.2669643839055</v>
      </c>
      <c r="H615" t="inlineStr"/>
      <c r="I615" t="inlineStr">
        <is>
          <t>"$"#,##0.00_);[Red]\("$"#,##0.00\)</t>
        </is>
      </c>
      <c r="J615" t="b">
        <v>0</v>
      </c>
      <c r="K615" t="b">
        <v>0</v>
      </c>
      <c r="L615" t="n">
        <v>11</v>
      </c>
      <c r="M615" t="inlineStr">
        <is>
          <t>Values must be of type &lt;class 'str'&gt;</t>
        </is>
      </c>
      <c r="N615" t="inlineStr">
        <is>
          <t>00000000</t>
        </is>
      </c>
      <c r="O615" t="inlineStr">
        <is>
          <t>center</t>
        </is>
      </c>
      <c r="P615" t="inlineStr">
        <is>
          <t>center</t>
        </is>
      </c>
      <c r="R615" t="b">
        <v>1</v>
      </c>
      <c r="S615" t="inlineStr">
        <is>
          <t>G000009</t>
        </is>
      </c>
      <c r="T615" t="inlineStr">
        <is>
          <t>Vertical</t>
        </is>
      </c>
      <c r="U615" t="n">
        <v>57</v>
      </c>
      <c r="V615" t="b">
        <v>1</v>
      </c>
      <c r="W615" t="inlineStr">
        <is>
          <t>Loan analysis!J10:J66</t>
        </is>
      </c>
      <c r="X615">
        <f>IFERROR(PMT(INDEX(Data[],ROW()-ROW(Data[[#Headers],[30]]),1)/12,Data[[#Headers],[30]]*12,-LoanAmount,0,IF(PaymentsDue="End of Period",0,1)), "")</f>
        <v/>
      </c>
    </row>
    <row r="616">
      <c r="A616" t="inlineStr">
        <is>
          <t>Loan analysis</t>
        </is>
      </c>
      <c r="B616" t="inlineStr">
        <is>
          <t>K56</t>
        </is>
      </c>
      <c r="C616" t="n">
        <v>56</v>
      </c>
      <c r="D616" t="n">
        <v>11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11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n">
        <v/>
      </c>
      <c r="P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  <row r="617">
      <c r="A617" t="inlineStr">
        <is>
          <t>Loan analysis</t>
        </is>
      </c>
      <c r="B617" t="inlineStr">
        <is>
          <t>A57</t>
        </is>
      </c>
      <c r="C617" t="n">
        <v>57</v>
      </c>
      <c r="D617" t="n">
        <v>1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11</v>
      </c>
      <c r="M617" t="inlineStr">
        <is>
          <t>Values must be of type &lt;class 'str'&gt;</t>
        </is>
      </c>
      <c r="N617" t="inlineStr">
        <is>
          <t>Values must be of type &lt;class 'str'&gt;</t>
        </is>
      </c>
      <c r="O617" t="n">
        <v/>
      </c>
      <c r="P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Loan analysis</t>
        </is>
      </c>
      <c r="B618" t="inlineStr">
        <is>
          <t>B57</t>
        </is>
      </c>
      <c r="C618" t="n">
        <v>57</v>
      </c>
      <c r="D618" t="n">
        <v>2</v>
      </c>
      <c r="E618" t="inlineStr">
        <is>
          <t>Output</t>
        </is>
      </c>
      <c r="F618" t="inlineStr">
        <is>
          <t>'=IFERROR(MAX((ROW()-ROW(Data[[#Headers],[RATE]]))*0.0025+0.0175,0.0025), "")</t>
        </is>
      </c>
      <c r="G618" t="n">
        <v>0.1375</v>
      </c>
      <c r="H618" t="inlineStr"/>
      <c r="I618" t="inlineStr">
        <is>
          <t>0.00%</t>
        </is>
      </c>
      <c r="J618" t="b">
        <v>0</v>
      </c>
      <c r="K618" t="b">
        <v>0</v>
      </c>
      <c r="L618" t="n">
        <v>11</v>
      </c>
      <c r="M618" t="inlineStr">
        <is>
          <t>Values must be of type &lt;class 'str'&gt;</t>
        </is>
      </c>
      <c r="N618" t="inlineStr">
        <is>
          <t>00000000</t>
        </is>
      </c>
      <c r="O618" t="inlineStr">
        <is>
          <t>center</t>
        </is>
      </c>
      <c r="P618" t="inlineStr">
        <is>
          <t>center</t>
        </is>
      </c>
      <c r="R618" t="b">
        <v>1</v>
      </c>
      <c r="S618" t="inlineStr">
        <is>
          <t>G000001</t>
        </is>
      </c>
      <c r="T618" t="inlineStr">
        <is>
          <t>Vertical</t>
        </is>
      </c>
      <c r="U618" t="n">
        <v>57</v>
      </c>
      <c r="V618" t="b">
        <v>1</v>
      </c>
      <c r="W618" t="inlineStr">
        <is>
          <t>Loan analysis!B10:B66</t>
        </is>
      </c>
      <c r="X618">
        <f>IFERROR(MAX((ROW()-ROW(Data[[#Headers],[RATE]]))*0.0025+0.0175,0.0025), "")</f>
        <v/>
      </c>
    </row>
    <row r="619">
      <c r="A619" t="inlineStr">
        <is>
          <t>Loan analysis</t>
        </is>
      </c>
      <c r="B619" t="inlineStr">
        <is>
          <t>C57</t>
        </is>
      </c>
      <c r="C619" t="n">
        <v>57</v>
      </c>
      <c r="D619" t="n">
        <v>3</v>
      </c>
      <c r="E619" t="inlineStr">
        <is>
          <t>Output</t>
        </is>
      </c>
      <c r="F619" t="inlineStr">
        <is>
          <t>'=IFERROR(PMT(INDEX(Data[],ROW()-ROW(Data[[#Headers],[3]]),1)/12,Data[[#Headers],[3]]*12,-LoanAmount,0,IF(PaymentsDue="End of Period",0,1)), "")</t>
        </is>
      </c>
      <c r="G619" t="n">
        <v>336.7052467600828</v>
      </c>
      <c r="H619" t="inlineStr"/>
      <c r="I619" t="inlineStr">
        <is>
          <t>"$"#,##0.00_);[Red]\("$"#,##0.00\)</t>
        </is>
      </c>
      <c r="J619" t="b">
        <v>0</v>
      </c>
      <c r="K619" t="b">
        <v>0</v>
      </c>
      <c r="L619" t="n">
        <v>11</v>
      </c>
      <c r="M619" t="inlineStr">
        <is>
          <t>Values must be of type &lt;class 'str'&gt;</t>
        </is>
      </c>
      <c r="N619" t="inlineStr">
        <is>
          <t>00000000</t>
        </is>
      </c>
      <c r="O619" t="inlineStr">
        <is>
          <t>center</t>
        </is>
      </c>
      <c r="P619" t="inlineStr">
        <is>
          <t>center</t>
        </is>
      </c>
      <c r="R619" t="b">
        <v>1</v>
      </c>
      <c r="S619" t="inlineStr">
        <is>
          <t>G000002</t>
        </is>
      </c>
      <c r="T619" t="inlineStr">
        <is>
          <t>Vertical</t>
        </is>
      </c>
      <c r="U619" t="n">
        <v>57</v>
      </c>
      <c r="V619" t="b">
        <v>1</v>
      </c>
      <c r="W619" t="inlineStr">
        <is>
          <t>Loan analysis!C10:C66</t>
        </is>
      </c>
      <c r="X619">
        <f>IFERROR(PMT(INDEX(Data[],ROW()-ROW(Data[[#Headers],[3]]),1)/12,Data[[#Headers],[3]]*12,-LoanAmount,0,IF(PaymentsDue="End of Period",0,1)), "")</f>
        <v/>
      </c>
    </row>
    <row r="620">
      <c r="A620" t="inlineStr">
        <is>
          <t>Loan analysis</t>
        </is>
      </c>
      <c r="B620" t="inlineStr">
        <is>
          <t>D57</t>
        </is>
      </c>
      <c r="C620" t="n">
        <v>57</v>
      </c>
      <c r="D620" t="n">
        <v>4</v>
      </c>
      <c r="E620" t="inlineStr">
        <is>
          <t>Output</t>
        </is>
      </c>
      <c r="F620" t="inlineStr">
        <is>
          <t>'=IFERROR(PMT(INDEX(Data[],ROW()-ROW(Data[[#Headers],[5]]),1)/12,Data[[#Headers],[5]]*12,-LoanAmount,0,IF(PaymentsDue="End of Period",0,1)), "")</t>
        </is>
      </c>
      <c r="G620" t="n">
        <v>228.7671581520114</v>
      </c>
      <c r="H620" t="inlineStr"/>
      <c r="I620" t="inlineStr">
        <is>
          <t>"$"#,##0.00_);[Red]\("$"#,##0.00\)</t>
        </is>
      </c>
      <c r="J620" t="b">
        <v>0</v>
      </c>
      <c r="K620" t="b">
        <v>0</v>
      </c>
      <c r="L620" t="n">
        <v>11</v>
      </c>
      <c r="M620" t="inlineStr">
        <is>
          <t>Values must be of type &lt;class 'str'&gt;</t>
        </is>
      </c>
      <c r="N620" t="inlineStr">
        <is>
          <t>00000000</t>
        </is>
      </c>
      <c r="O620" t="inlineStr">
        <is>
          <t>center</t>
        </is>
      </c>
      <c r="P620" t="inlineStr">
        <is>
          <t>center</t>
        </is>
      </c>
      <c r="R620" t="b">
        <v>1</v>
      </c>
      <c r="S620" t="inlineStr">
        <is>
          <t>G000003</t>
        </is>
      </c>
      <c r="T620" t="inlineStr">
        <is>
          <t>Vertical</t>
        </is>
      </c>
      <c r="U620" t="n">
        <v>57</v>
      </c>
      <c r="V620" t="b">
        <v>1</v>
      </c>
      <c r="W620" t="inlineStr">
        <is>
          <t>Loan analysis!D10:D66</t>
        </is>
      </c>
      <c r="X620">
        <f>IFERROR(PMT(INDEX(Data[],ROW()-ROW(Data[[#Headers],[5]]),1)/12,Data[[#Headers],[5]]*12,-LoanAmount,0,IF(PaymentsDue="End of Period",0,1)), "")</f>
        <v/>
      </c>
    </row>
    <row r="621">
      <c r="A621" t="inlineStr">
        <is>
          <t>Loan analysis</t>
        </is>
      </c>
      <c r="B621" t="inlineStr">
        <is>
          <t>E57</t>
        </is>
      </c>
      <c r="C621" t="n">
        <v>57</v>
      </c>
      <c r="D621" t="n">
        <v>5</v>
      </c>
      <c r="E621" t="inlineStr">
        <is>
          <t>Output</t>
        </is>
      </c>
      <c r="F621" t="inlineStr">
        <is>
          <t>'=IFERROR(PMT(INDEX(Data[],ROW()-ROW(Data[[#Headers],[10]]),1)/12,Data[[#Headers],[10]]*12,-LoanAmount,0,IF(PaymentsDue="End of Period",0,1)), "")</t>
        </is>
      </c>
      <c r="G621" t="n">
        <v>152.0248600654308</v>
      </c>
      <c r="H621" t="inlineStr"/>
      <c r="I621" t="inlineStr">
        <is>
          <t>"$"#,##0.00_);[Red]\("$"#,##0.00\)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00000000</t>
        </is>
      </c>
      <c r="O621" t="inlineStr">
        <is>
          <t>center</t>
        </is>
      </c>
      <c r="P621" t="inlineStr">
        <is>
          <t>center</t>
        </is>
      </c>
      <c r="R621" t="b">
        <v>1</v>
      </c>
      <c r="S621" t="inlineStr">
        <is>
          <t>G000004</t>
        </is>
      </c>
      <c r="T621" t="inlineStr">
        <is>
          <t>Vertical</t>
        </is>
      </c>
      <c r="U621" t="n">
        <v>57</v>
      </c>
      <c r="V621" t="b">
        <v>1</v>
      </c>
      <c r="W621" t="inlineStr">
        <is>
          <t>Loan analysis!E10:E66</t>
        </is>
      </c>
      <c r="X621">
        <f>IFERROR(PMT(INDEX(Data[],ROW()-ROW(Data[[#Headers],[10]]),1)/12,Data[[#Headers],[10]]*12,-LoanAmount,0,IF(PaymentsDue="End of Period",0,1)), "")</f>
        <v/>
      </c>
    </row>
    <row r="622">
      <c r="A622" t="inlineStr">
        <is>
          <t>Loan analysis</t>
        </is>
      </c>
      <c r="B622" t="inlineStr">
        <is>
          <t>F57</t>
        </is>
      </c>
      <c r="C622" t="n">
        <v>57</v>
      </c>
      <c r="D622" t="n">
        <v>6</v>
      </c>
      <c r="E622" t="inlineStr">
        <is>
          <t>Output</t>
        </is>
      </c>
      <c r="F622" t="inlineStr">
        <is>
          <t>'=IFERROR(PMT(INDEX(Data[],ROW()-ROW(Data[[#Headers],[12]]),1)/12,Data[[#Headers],[12]]*12,-LoanAmount,0,IF(PaymentsDue="End of Period",0,1)), "")</t>
        </is>
      </c>
      <c r="G622" t="n">
        <v>140.5280573213207</v>
      </c>
      <c r="H622" t="inlineStr"/>
      <c r="I622" t="inlineStr">
        <is>
          <t>"$"#,##0.00_);[Red]\("$"#,##0.00\)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00000000</t>
        </is>
      </c>
      <c r="O622" t="inlineStr">
        <is>
          <t>center</t>
        </is>
      </c>
      <c r="P622" t="inlineStr">
        <is>
          <t>center</t>
        </is>
      </c>
      <c r="R622" t="b">
        <v>1</v>
      </c>
      <c r="S622" t="inlineStr">
        <is>
          <t>G000005</t>
        </is>
      </c>
      <c r="T622" t="inlineStr">
        <is>
          <t>Vertical</t>
        </is>
      </c>
      <c r="U622" t="n">
        <v>57</v>
      </c>
      <c r="V622" t="b">
        <v>1</v>
      </c>
      <c r="W622" t="inlineStr">
        <is>
          <t>Loan analysis!F10:F66</t>
        </is>
      </c>
      <c r="X622">
        <f>IFERROR(PMT(INDEX(Data[],ROW()-ROW(Data[[#Headers],[12]]),1)/12,Data[[#Headers],[12]]*12,-LoanAmount,0,IF(PaymentsDue="End of Period",0,1)), "")</f>
        <v/>
      </c>
    </row>
    <row r="623">
      <c r="A623" t="inlineStr">
        <is>
          <t>Loan analysis</t>
        </is>
      </c>
      <c r="B623" t="inlineStr">
        <is>
          <t>G57</t>
        </is>
      </c>
      <c r="C623" t="n">
        <v>57</v>
      </c>
      <c r="D623" t="n">
        <v>7</v>
      </c>
      <c r="E623" t="inlineStr">
        <is>
          <t>Output</t>
        </is>
      </c>
      <c r="F623" t="inlineStr">
        <is>
          <t>'=IFERROR(PMT(INDEX(Data[],ROW()-ROW(Data[[#Headers],[15]]),1)/12,Data[[#Headers],[15]]*12,-LoanAmount,0,IF(PaymentsDue="End of Period",0,1)), "")</t>
        </is>
      </c>
      <c r="G623" t="n">
        <v>130.0090402066061</v>
      </c>
      <c r="H623" t="inlineStr"/>
      <c r="I623" t="inlineStr">
        <is>
          <t>"$"#,##0.00_);[Red]\("$"#,##0.00\)</t>
        </is>
      </c>
      <c r="J623" t="b">
        <v>0</v>
      </c>
      <c r="K623" t="b">
        <v>0</v>
      </c>
      <c r="L623" t="n">
        <v>11</v>
      </c>
      <c r="M623" t="inlineStr">
        <is>
          <t>Values must be of type &lt;class 'str'&gt;</t>
        </is>
      </c>
      <c r="N623" t="inlineStr">
        <is>
          <t>00000000</t>
        </is>
      </c>
      <c r="O623" t="inlineStr">
        <is>
          <t>center</t>
        </is>
      </c>
      <c r="P623" t="inlineStr">
        <is>
          <t>center</t>
        </is>
      </c>
      <c r="R623" t="b">
        <v>1</v>
      </c>
      <c r="S623" t="inlineStr">
        <is>
          <t>G000006</t>
        </is>
      </c>
      <c r="T623" t="inlineStr">
        <is>
          <t>Vertical</t>
        </is>
      </c>
      <c r="U623" t="n">
        <v>57</v>
      </c>
      <c r="V623" t="b">
        <v>1</v>
      </c>
      <c r="W623" t="inlineStr">
        <is>
          <t>Loan analysis!G10:G66</t>
        </is>
      </c>
      <c r="X623">
        <f>IFERROR(PMT(INDEX(Data[],ROW()-ROW(Data[[#Headers],[15]]),1)/12,Data[[#Headers],[15]]*12,-LoanAmount,0,IF(PaymentsDue="End of Period",0,1)), "")</f>
        <v/>
      </c>
    </row>
    <row r="624">
      <c r="A624" t="inlineStr">
        <is>
          <t>Loan analysis</t>
        </is>
      </c>
      <c r="B624" t="inlineStr">
        <is>
          <t>H57</t>
        </is>
      </c>
      <c r="C624" t="n">
        <v>57</v>
      </c>
      <c r="D624" t="n">
        <v>8</v>
      </c>
      <c r="E624" t="inlineStr">
        <is>
          <t>Output</t>
        </is>
      </c>
      <c r="F624" t="inlineStr">
        <is>
          <t>'=IFERROR(PMT(INDEX(Data[],ROW()-ROW(Data[[#Headers],[20]]),1)/12,Data[[#Headers],[20]]*12,-LoanAmount,0,IF(PaymentsDue="End of Period",0,1)), "")</t>
        </is>
      </c>
      <c r="G624" t="n">
        <v>121.1523342801065</v>
      </c>
      <c r="H624" t="inlineStr"/>
      <c r="I624" t="inlineStr">
        <is>
          <t>"$"#,##0.00_);[Red]\("$"#,##0.00\)</t>
        </is>
      </c>
      <c r="J624" t="b">
        <v>0</v>
      </c>
      <c r="K624" t="b">
        <v>0</v>
      </c>
      <c r="L624" t="n">
        <v>11</v>
      </c>
      <c r="M624" t="inlineStr">
        <is>
          <t>Values must be of type &lt;class 'str'&gt;</t>
        </is>
      </c>
      <c r="N624" t="inlineStr">
        <is>
          <t>00000000</t>
        </is>
      </c>
      <c r="O624" t="inlineStr">
        <is>
          <t>center</t>
        </is>
      </c>
      <c r="P624" t="inlineStr">
        <is>
          <t>center</t>
        </is>
      </c>
      <c r="R624" t="b">
        <v>1</v>
      </c>
      <c r="S624" t="inlineStr">
        <is>
          <t>G000007</t>
        </is>
      </c>
      <c r="T624" t="inlineStr">
        <is>
          <t>Vertical</t>
        </is>
      </c>
      <c r="U624" t="n">
        <v>57</v>
      </c>
      <c r="V624" t="b">
        <v>1</v>
      </c>
      <c r="W624" t="inlineStr">
        <is>
          <t>Loan analysis!H10:H66</t>
        </is>
      </c>
      <c r="X624">
        <f>IFERROR(PMT(INDEX(Data[],ROW()-ROW(Data[[#Headers],[20]]),1)/12,Data[[#Headers],[20]]*12,-LoanAmount,0,IF(PaymentsDue="End of Period",0,1)), "")</f>
        <v/>
      </c>
    </row>
    <row r="625">
      <c r="A625" t="inlineStr">
        <is>
          <t>Loan analysis</t>
        </is>
      </c>
      <c r="B625" t="inlineStr">
        <is>
          <t>I57</t>
        </is>
      </c>
      <c r="C625" t="n">
        <v>57</v>
      </c>
      <c r="D625" t="n">
        <v>9</v>
      </c>
      <c r="E625" t="inlineStr">
        <is>
          <t>Output</t>
        </is>
      </c>
      <c r="F625" t="inlineStr">
        <is>
          <t>'=IFERROR(PMT(INDEX(Data[],ROW()-ROW(Data[[#Headers],[25]]),1)/12,Data[[#Headers],[25]]*12,-LoanAmount,0,IF(PaymentsDue="End of Period",0,1)), "")</t>
        </is>
      </c>
      <c r="G625" t="n">
        <v>117.1245446801555</v>
      </c>
      <c r="H625" t="inlineStr"/>
      <c r="I625" t="inlineStr">
        <is>
          <t>"$"#,##0.00_);[Red]\("$"#,##0.00\)</t>
        </is>
      </c>
      <c r="J625" t="b">
        <v>0</v>
      </c>
      <c r="K625" t="b">
        <v>0</v>
      </c>
      <c r="L625" t="n">
        <v>11</v>
      </c>
      <c r="M625" t="inlineStr">
        <is>
          <t>Values must be of type &lt;class 'str'&gt;</t>
        </is>
      </c>
      <c r="N625" t="inlineStr">
        <is>
          <t>00000000</t>
        </is>
      </c>
      <c r="O625" t="inlineStr">
        <is>
          <t>center</t>
        </is>
      </c>
      <c r="P625" t="inlineStr">
        <is>
          <t>center</t>
        </is>
      </c>
      <c r="R625" t="b">
        <v>1</v>
      </c>
      <c r="S625" t="inlineStr">
        <is>
          <t>G000008</t>
        </is>
      </c>
      <c r="T625" t="inlineStr">
        <is>
          <t>Vertical</t>
        </is>
      </c>
      <c r="U625" t="n">
        <v>57</v>
      </c>
      <c r="V625" t="b">
        <v>1</v>
      </c>
      <c r="W625" t="inlineStr">
        <is>
          <t>Loan analysis!I10:I66</t>
        </is>
      </c>
      <c r="X625">
        <f>IFERROR(PMT(INDEX(Data[],ROW()-ROW(Data[[#Headers],[25]]),1)/12,Data[[#Headers],[25]]*12,-LoanAmount,0,IF(PaymentsDue="End of Period",0,1)), "")</f>
        <v/>
      </c>
    </row>
    <row r="626">
      <c r="A626" t="inlineStr">
        <is>
          <t>Loan analysis</t>
        </is>
      </c>
      <c r="B626" t="inlineStr">
        <is>
          <t>J57</t>
        </is>
      </c>
      <c r="C626" t="n">
        <v>57</v>
      </c>
      <c r="D626" t="n">
        <v>10</v>
      </c>
      <c r="E626" t="inlineStr">
        <is>
          <t>Output</t>
        </is>
      </c>
      <c r="F626" t="inlineStr">
        <is>
          <t>'=IFERROR(PMT(INDEX(Data[],ROW()-ROW(Data[[#Headers],[30]]),1)/12,Data[[#Headers],[30]]*12,-LoanAmount,0,IF(PaymentsDue="End of Period",0,1)), "")</t>
        </is>
      </c>
      <c r="G626" t="n">
        <v>115.191352387868</v>
      </c>
      <c r="H626" t="inlineStr"/>
      <c r="I626" t="inlineStr">
        <is>
          <t>"$"#,##0.00_);[Red]\("$"#,##0.00\)</t>
        </is>
      </c>
      <c r="J626" t="b">
        <v>0</v>
      </c>
      <c r="K626" t="b">
        <v>0</v>
      </c>
      <c r="L626" t="n">
        <v>11</v>
      </c>
      <c r="M626" t="inlineStr">
        <is>
          <t>Values must be of type &lt;class 'str'&gt;</t>
        </is>
      </c>
      <c r="N626" t="inlineStr">
        <is>
          <t>00000000</t>
        </is>
      </c>
      <c r="O626" t="inlineStr">
        <is>
          <t>center</t>
        </is>
      </c>
      <c r="P626" t="inlineStr">
        <is>
          <t>center</t>
        </is>
      </c>
      <c r="R626" t="b">
        <v>1</v>
      </c>
      <c r="S626" t="inlineStr">
        <is>
          <t>G000009</t>
        </is>
      </c>
      <c r="T626" t="inlineStr">
        <is>
          <t>Vertical</t>
        </is>
      </c>
      <c r="U626" t="n">
        <v>57</v>
      </c>
      <c r="V626" t="b">
        <v>1</v>
      </c>
      <c r="W626" t="inlineStr">
        <is>
          <t>Loan analysis!J10:J66</t>
        </is>
      </c>
      <c r="X626">
        <f>IFERROR(PMT(INDEX(Data[],ROW()-ROW(Data[[#Headers],[30]]),1)/12,Data[[#Headers],[30]]*12,-LoanAmount,0,IF(PaymentsDue="End of Period",0,1)), "")</f>
        <v/>
      </c>
    </row>
    <row r="627">
      <c r="A627" t="inlineStr">
        <is>
          <t>Loan analysis</t>
        </is>
      </c>
      <c r="B627" t="inlineStr">
        <is>
          <t>K57</t>
        </is>
      </c>
      <c r="C627" t="n">
        <v>57</v>
      </c>
      <c r="D627" t="n">
        <v>11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11</v>
      </c>
      <c r="M627" t="inlineStr">
        <is>
          <t>Values must be of type &lt;class 'str'&gt;</t>
        </is>
      </c>
      <c r="N627" t="inlineStr">
        <is>
          <t>Values must be of type &lt;class 'str'&gt;</t>
        </is>
      </c>
      <c r="O627" t="n">
        <v/>
      </c>
      <c r="P627" t="n">
        <v/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Loan analysis</t>
        </is>
      </c>
      <c r="B628" t="inlineStr">
        <is>
          <t>A58</t>
        </is>
      </c>
      <c r="C628" t="n">
        <v>58</v>
      </c>
      <c r="D628" t="n">
        <v>1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11</v>
      </c>
      <c r="M628" t="inlineStr">
        <is>
          <t>Values must be of type &lt;class 'str'&gt;</t>
        </is>
      </c>
      <c r="N628" t="inlineStr">
        <is>
          <t>Values must be of type &lt;class 'str'&gt;</t>
        </is>
      </c>
      <c r="O628" t="n">
        <v/>
      </c>
      <c r="P628" t="n">
        <v/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</row>
    <row r="629">
      <c r="A629" t="inlineStr">
        <is>
          <t>Loan analysis</t>
        </is>
      </c>
      <c r="B629" t="inlineStr">
        <is>
          <t>B58</t>
        </is>
      </c>
      <c r="C629" t="n">
        <v>58</v>
      </c>
      <c r="D629" t="n">
        <v>2</v>
      </c>
      <c r="E629" t="inlineStr">
        <is>
          <t>Output</t>
        </is>
      </c>
      <c r="F629" t="inlineStr">
        <is>
          <t>'=IFERROR(MAX((ROW()-ROW(Data[[#Headers],[RATE]]))*0.0025+0.0175,0.0025), "")</t>
        </is>
      </c>
      <c r="G629" t="n">
        <v>0.14</v>
      </c>
      <c r="H629" t="inlineStr"/>
      <c r="I629" t="inlineStr">
        <is>
          <t>0.00%</t>
        </is>
      </c>
      <c r="J629" t="b">
        <v>0</v>
      </c>
      <c r="K629" t="b">
        <v>0</v>
      </c>
      <c r="L629" t="n">
        <v>11</v>
      </c>
      <c r="M629" t="inlineStr">
        <is>
          <t>Values must be of type &lt;class 'str'&gt;</t>
        </is>
      </c>
      <c r="N629" t="inlineStr">
        <is>
          <t>00000000</t>
        </is>
      </c>
      <c r="O629" t="inlineStr">
        <is>
          <t>center</t>
        </is>
      </c>
      <c r="P629" t="inlineStr">
        <is>
          <t>center</t>
        </is>
      </c>
      <c r="R629" t="b">
        <v>1</v>
      </c>
      <c r="S629" t="inlineStr">
        <is>
          <t>G000001</t>
        </is>
      </c>
      <c r="T629" t="inlineStr">
        <is>
          <t>Vertical</t>
        </is>
      </c>
      <c r="U629" t="n">
        <v>57</v>
      </c>
      <c r="V629" t="b">
        <v>1</v>
      </c>
      <c r="W629" t="inlineStr">
        <is>
          <t>Loan analysis!B10:B66</t>
        </is>
      </c>
      <c r="X629">
        <f>IFERROR(MAX((ROW()-ROW(Data[[#Headers],[RATE]]))*0.0025+0.0175,0.0025), "")</f>
        <v/>
      </c>
    </row>
    <row r="630">
      <c r="A630" t="inlineStr">
        <is>
          <t>Loan analysis</t>
        </is>
      </c>
      <c r="B630" t="inlineStr">
        <is>
          <t>C58</t>
        </is>
      </c>
      <c r="C630" t="n">
        <v>58</v>
      </c>
      <c r="D630" t="n">
        <v>3</v>
      </c>
      <c r="E630" t="inlineStr">
        <is>
          <t>Output</t>
        </is>
      </c>
      <c r="F630" t="inlineStr">
        <is>
          <t>'=IFERROR(PMT(INDEX(Data[],ROW()-ROW(Data[[#Headers],[3]]),1)/12,Data[[#Headers],[3]]*12,-LoanAmount,0,IF(PaymentsDue="End of Period",0,1)), "")</t>
        </is>
      </c>
      <c r="G630" t="n">
        <v>337.8348905241412</v>
      </c>
      <c r="H630" t="inlineStr"/>
      <c r="I630" t="inlineStr">
        <is>
          <t>"$"#,##0.00_);[Red]\("$"#,##0.00\)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00000000</t>
        </is>
      </c>
      <c r="O630" t="inlineStr">
        <is>
          <t>center</t>
        </is>
      </c>
      <c r="P630" t="inlineStr">
        <is>
          <t>center</t>
        </is>
      </c>
      <c r="R630" t="b">
        <v>1</v>
      </c>
      <c r="S630" t="inlineStr">
        <is>
          <t>G000002</t>
        </is>
      </c>
      <c r="T630" t="inlineStr">
        <is>
          <t>Vertical</t>
        </is>
      </c>
      <c r="U630" t="n">
        <v>57</v>
      </c>
      <c r="V630" t="b">
        <v>1</v>
      </c>
      <c r="W630" t="inlineStr">
        <is>
          <t>Loan analysis!C10:C66</t>
        </is>
      </c>
      <c r="X630">
        <f>IFERROR(PMT(INDEX(Data[],ROW()-ROW(Data[[#Headers],[3]]),1)/12,Data[[#Headers],[3]]*12,-LoanAmount,0,IF(PaymentsDue="End of Period",0,1)), "")</f>
        <v/>
      </c>
    </row>
    <row r="631">
      <c r="A631" t="inlineStr">
        <is>
          <t>Loan analysis</t>
        </is>
      </c>
      <c r="B631" t="inlineStr">
        <is>
          <t>D58</t>
        </is>
      </c>
      <c r="C631" t="n">
        <v>58</v>
      </c>
      <c r="D631" t="n">
        <v>4</v>
      </c>
      <c r="E631" t="inlineStr">
        <is>
          <t>Output</t>
        </is>
      </c>
      <c r="F631" t="inlineStr">
        <is>
          <t>'=IFERROR(PMT(INDEX(Data[],ROW()-ROW(Data[[#Headers],[5]]),1)/12,Data[[#Headers],[5]]*12,-LoanAmount,0,IF(PaymentsDue="End of Period",0,1)), "")</t>
        </is>
      </c>
      <c r="G631" t="n">
        <v>229.9991846726955</v>
      </c>
      <c r="H631" t="inlineStr"/>
      <c r="I631" t="inlineStr">
        <is>
          <t>"$"#,##0.00_);[Red]\("$"#,##0.00\)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00000000</t>
        </is>
      </c>
      <c r="O631" t="inlineStr">
        <is>
          <t>center</t>
        </is>
      </c>
      <c r="P631" t="inlineStr">
        <is>
          <t>center</t>
        </is>
      </c>
      <c r="R631" t="b">
        <v>1</v>
      </c>
      <c r="S631" t="inlineStr">
        <is>
          <t>G000003</t>
        </is>
      </c>
      <c r="T631" t="inlineStr">
        <is>
          <t>Vertical</t>
        </is>
      </c>
      <c r="U631" t="n">
        <v>57</v>
      </c>
      <c r="V631" t="b">
        <v>1</v>
      </c>
      <c r="W631" t="inlineStr">
        <is>
          <t>Loan analysis!D10:D66</t>
        </is>
      </c>
      <c r="X631">
        <f>IFERROR(PMT(INDEX(Data[],ROW()-ROW(Data[[#Headers],[5]]),1)/12,Data[[#Headers],[5]]*12,-LoanAmount,0,IF(PaymentsDue="End of Period",0,1)), "")</f>
        <v/>
      </c>
    </row>
    <row r="632">
      <c r="A632" t="inlineStr">
        <is>
          <t>Loan analysis</t>
        </is>
      </c>
      <c r="B632" t="inlineStr">
        <is>
          <t>E58</t>
        </is>
      </c>
      <c r="C632" t="n">
        <v>58</v>
      </c>
      <c r="D632" t="n">
        <v>5</v>
      </c>
      <c r="E632" t="inlineStr">
        <is>
          <t>Output</t>
        </is>
      </c>
      <c r="F632" t="inlineStr">
        <is>
          <t>'=IFERROR(PMT(INDEX(Data[],ROW()-ROW(Data[[#Headers],[10]]),1)/12,Data[[#Headers],[10]]*12,-LoanAmount,0,IF(PaymentsDue="End of Period",0,1)), "")</t>
        </is>
      </c>
      <c r="G632" t="n">
        <v>153.4758830717441</v>
      </c>
      <c r="H632" t="inlineStr"/>
      <c r="I632" t="inlineStr">
        <is>
          <t>"$"#,##0.00_);[Red]\("$"#,##0.00\)</t>
        </is>
      </c>
      <c r="J632" t="b">
        <v>0</v>
      </c>
      <c r="K632" t="b">
        <v>0</v>
      </c>
      <c r="L632" t="n">
        <v>11</v>
      </c>
      <c r="M632" t="inlineStr">
        <is>
          <t>Values must be of type &lt;class 'str'&gt;</t>
        </is>
      </c>
      <c r="N632" t="inlineStr">
        <is>
          <t>00000000</t>
        </is>
      </c>
      <c r="O632" t="inlineStr">
        <is>
          <t>center</t>
        </is>
      </c>
      <c r="P632" t="inlineStr">
        <is>
          <t>center</t>
        </is>
      </c>
      <c r="R632" t="b">
        <v>1</v>
      </c>
      <c r="S632" t="inlineStr">
        <is>
          <t>G000004</t>
        </is>
      </c>
      <c r="T632" t="inlineStr">
        <is>
          <t>Vertical</t>
        </is>
      </c>
      <c r="U632" t="n">
        <v>57</v>
      </c>
      <c r="V632" t="b">
        <v>1</v>
      </c>
      <c r="W632" t="inlineStr">
        <is>
          <t>Loan analysis!E10:E66</t>
        </is>
      </c>
      <c r="X632">
        <f>IFERROR(PMT(INDEX(Data[],ROW()-ROW(Data[[#Headers],[10]]),1)/12,Data[[#Headers],[10]]*12,-LoanAmount,0,IF(PaymentsDue="End of Period",0,1)), "")</f>
        <v/>
      </c>
    </row>
    <row r="633">
      <c r="A633" t="inlineStr">
        <is>
          <t>Loan analysis</t>
        </is>
      </c>
      <c r="B633" t="inlineStr">
        <is>
          <t>F58</t>
        </is>
      </c>
      <c r="C633" t="n">
        <v>58</v>
      </c>
      <c r="D633" t="n">
        <v>6</v>
      </c>
      <c r="E633" t="inlineStr">
        <is>
          <t>Output</t>
        </is>
      </c>
      <c r="F633" t="inlineStr">
        <is>
          <t>'=IFERROR(PMT(INDEX(Data[],ROW()-ROW(Data[[#Headers],[12]]),1)/12,Data[[#Headers],[12]]*12,-LoanAmount,0,IF(PaymentsDue="End of Period",0,1)), "")</t>
        </is>
      </c>
      <c r="G633" t="n">
        <v>142.0553955074993</v>
      </c>
      <c r="H633" t="inlineStr"/>
      <c r="I633" t="inlineStr">
        <is>
          <t>"$"#,##0.00_);[Red]\("$"#,##0.00\)</t>
        </is>
      </c>
      <c r="J633" t="b">
        <v>0</v>
      </c>
      <c r="K633" t="b">
        <v>0</v>
      </c>
      <c r="L633" t="n">
        <v>11</v>
      </c>
      <c r="M633" t="inlineStr">
        <is>
          <t>Values must be of type &lt;class 'str'&gt;</t>
        </is>
      </c>
      <c r="N633" t="inlineStr">
        <is>
          <t>00000000</t>
        </is>
      </c>
      <c r="O633" t="inlineStr">
        <is>
          <t>center</t>
        </is>
      </c>
      <c r="P633" t="inlineStr">
        <is>
          <t>center</t>
        </is>
      </c>
      <c r="R633" t="b">
        <v>1</v>
      </c>
      <c r="S633" t="inlineStr">
        <is>
          <t>G000005</t>
        </is>
      </c>
      <c r="T633" t="inlineStr">
        <is>
          <t>Vertical</t>
        </is>
      </c>
      <c r="U633" t="n">
        <v>57</v>
      </c>
      <c r="V633" t="b">
        <v>1</v>
      </c>
      <c r="W633" t="inlineStr">
        <is>
          <t>Loan analysis!F10:F66</t>
        </is>
      </c>
      <c r="X633">
        <f>IFERROR(PMT(INDEX(Data[],ROW()-ROW(Data[[#Headers],[12]]),1)/12,Data[[#Headers],[12]]*12,-LoanAmount,0,IF(PaymentsDue="End of Period",0,1)), "")</f>
        <v/>
      </c>
    </row>
    <row r="634">
      <c r="A634" t="inlineStr">
        <is>
          <t>Loan analysis</t>
        </is>
      </c>
      <c r="B634" t="inlineStr">
        <is>
          <t>G58</t>
        </is>
      </c>
      <c r="C634" t="n">
        <v>58</v>
      </c>
      <c r="D634" t="n">
        <v>7</v>
      </c>
      <c r="E634" t="inlineStr">
        <is>
          <t>Output</t>
        </is>
      </c>
      <c r="F634" t="inlineStr">
        <is>
          <t>'=IFERROR(PMT(INDEX(Data[],ROW()-ROW(Data[[#Headers],[15]]),1)/12,Data[[#Headers],[15]]*12,-LoanAmount,0,IF(PaymentsDue="End of Period",0,1)), "")</t>
        </is>
      </c>
      <c r="G634" t="n">
        <v>131.6383579447994</v>
      </c>
      <c r="H634" t="inlineStr"/>
      <c r="I634" t="inlineStr">
        <is>
          <t>"$"#,##0.00_);[Red]\("$"#,##0.00\)</t>
        </is>
      </c>
      <c r="J634" t="b">
        <v>0</v>
      </c>
      <c r="K634" t="b">
        <v>0</v>
      </c>
      <c r="L634" t="n">
        <v>11</v>
      </c>
      <c r="M634" t="inlineStr">
        <is>
          <t>Values must be of type &lt;class 'str'&gt;</t>
        </is>
      </c>
      <c r="N634" t="inlineStr">
        <is>
          <t>00000000</t>
        </is>
      </c>
      <c r="O634" t="inlineStr">
        <is>
          <t>center</t>
        </is>
      </c>
      <c r="P634" t="inlineStr">
        <is>
          <t>center</t>
        </is>
      </c>
      <c r="R634" t="b">
        <v>1</v>
      </c>
      <c r="S634" t="inlineStr">
        <is>
          <t>G000006</t>
        </is>
      </c>
      <c r="T634" t="inlineStr">
        <is>
          <t>Vertical</t>
        </is>
      </c>
      <c r="U634" t="n">
        <v>57</v>
      </c>
      <c r="V634" t="b">
        <v>1</v>
      </c>
      <c r="W634" t="inlineStr">
        <is>
          <t>Loan analysis!G10:G66</t>
        </is>
      </c>
      <c r="X634">
        <f>IFERROR(PMT(INDEX(Data[],ROW()-ROW(Data[[#Headers],[15]]),1)/12,Data[[#Headers],[15]]*12,-LoanAmount,0,IF(PaymentsDue="End of Period",0,1)), "")</f>
        <v/>
      </c>
    </row>
    <row r="635">
      <c r="A635" t="inlineStr">
        <is>
          <t>Loan analysis</t>
        </is>
      </c>
      <c r="B635" t="inlineStr">
        <is>
          <t>H58</t>
        </is>
      </c>
      <c r="C635" t="n">
        <v>58</v>
      </c>
      <c r="D635" t="n">
        <v>8</v>
      </c>
      <c r="E635" t="inlineStr">
        <is>
          <t>Output</t>
        </is>
      </c>
      <c r="F635" t="inlineStr">
        <is>
          <t>'=IFERROR(PMT(INDEX(Data[],ROW()-ROW(Data[[#Headers],[20]]),1)/12,Data[[#Headers],[20]]*12,-LoanAmount,0,IF(PaymentsDue="End of Period",0,1)), "")</t>
        </is>
      </c>
      <c r="G635" t="n">
        <v>122.91803733462</v>
      </c>
      <c r="H635" t="inlineStr"/>
      <c r="I635" t="inlineStr">
        <is>
          <t>"$"#,##0.00_);[Red]\("$"#,##0.00\)</t>
        </is>
      </c>
      <c r="J635" t="b">
        <v>0</v>
      </c>
      <c r="K635" t="b">
        <v>0</v>
      </c>
      <c r="L635" t="n">
        <v>11</v>
      </c>
      <c r="M635" t="inlineStr">
        <is>
          <t>Values must be of type &lt;class 'str'&gt;</t>
        </is>
      </c>
      <c r="N635" t="inlineStr">
        <is>
          <t>00000000</t>
        </is>
      </c>
      <c r="O635" t="inlineStr">
        <is>
          <t>center</t>
        </is>
      </c>
      <c r="P635" t="inlineStr">
        <is>
          <t>center</t>
        </is>
      </c>
      <c r="R635" t="b">
        <v>1</v>
      </c>
      <c r="S635" t="inlineStr">
        <is>
          <t>G000007</t>
        </is>
      </c>
      <c r="T635" t="inlineStr">
        <is>
          <t>Vertical</t>
        </is>
      </c>
      <c r="U635" t="n">
        <v>57</v>
      </c>
      <c r="V635" t="b">
        <v>1</v>
      </c>
      <c r="W635" t="inlineStr">
        <is>
          <t>Loan analysis!H10:H66</t>
        </is>
      </c>
      <c r="X635">
        <f>IFERROR(PMT(INDEX(Data[],ROW()-ROW(Data[[#Headers],[20]]),1)/12,Data[[#Headers],[20]]*12,-LoanAmount,0,IF(PaymentsDue="End of Period",0,1)), "")</f>
        <v/>
      </c>
    </row>
    <row r="636">
      <c r="A636" t="inlineStr">
        <is>
          <t>Loan analysis</t>
        </is>
      </c>
      <c r="B636" t="inlineStr">
        <is>
          <t>I58</t>
        </is>
      </c>
      <c r="C636" t="n">
        <v>58</v>
      </c>
      <c r="D636" t="n">
        <v>9</v>
      </c>
      <c r="E636" t="inlineStr">
        <is>
          <t>Output</t>
        </is>
      </c>
      <c r="F636" t="inlineStr">
        <is>
          <t>'=IFERROR(PMT(INDEX(Data[],ROW()-ROW(Data[[#Headers],[25]]),1)/12,Data[[#Headers],[25]]*12,-LoanAmount,0,IF(PaymentsDue="End of Period",0,1)), "")</t>
        </is>
      </c>
      <c r="G636" t="n">
        <v>118.9879120202124</v>
      </c>
      <c r="H636" t="inlineStr"/>
      <c r="I636" t="inlineStr">
        <is>
          <t>"$"#,##0.00_);[Red]\("$"#,##0.00\)</t>
        </is>
      </c>
      <c r="J636" t="b">
        <v>0</v>
      </c>
      <c r="K636" t="b">
        <v>0</v>
      </c>
      <c r="L636" t="n">
        <v>11</v>
      </c>
      <c r="M636" t="inlineStr">
        <is>
          <t>Values must be of type &lt;class 'str'&gt;</t>
        </is>
      </c>
      <c r="N636" t="inlineStr">
        <is>
          <t>00000000</t>
        </is>
      </c>
      <c r="O636" t="inlineStr">
        <is>
          <t>center</t>
        </is>
      </c>
      <c r="P636" t="inlineStr">
        <is>
          <t>center</t>
        </is>
      </c>
      <c r="R636" t="b">
        <v>1</v>
      </c>
      <c r="S636" t="inlineStr">
        <is>
          <t>G000008</t>
        </is>
      </c>
      <c r="T636" t="inlineStr">
        <is>
          <t>Vertical</t>
        </is>
      </c>
      <c r="U636" t="n">
        <v>57</v>
      </c>
      <c r="V636" t="b">
        <v>1</v>
      </c>
      <c r="W636" t="inlineStr">
        <is>
          <t>Loan analysis!I10:I66</t>
        </is>
      </c>
      <c r="X636">
        <f>IFERROR(PMT(INDEX(Data[],ROW()-ROW(Data[[#Headers],[25]]),1)/12,Data[[#Headers],[25]]*12,-LoanAmount,0,IF(PaymentsDue="End of Period",0,1)), "")</f>
        <v/>
      </c>
    </row>
    <row r="637">
      <c r="A637" t="inlineStr">
        <is>
          <t>Loan analysis</t>
        </is>
      </c>
      <c r="B637" t="inlineStr">
        <is>
          <t>J58</t>
        </is>
      </c>
      <c r="C637" t="n">
        <v>58</v>
      </c>
      <c r="D637" t="n">
        <v>10</v>
      </c>
      <c r="E637" t="inlineStr">
        <is>
          <t>Output</t>
        </is>
      </c>
      <c r="F637" t="inlineStr">
        <is>
          <t>'=IFERROR(PMT(INDEX(Data[],ROW()-ROW(Data[[#Headers],[30]]),1)/12,Data[[#Headers],[30]]*12,-LoanAmount,0,IF(PaymentsDue="End of Period",0,1)), "")</t>
        </is>
      </c>
      <c r="G637" t="n">
        <v>117.120766167038</v>
      </c>
      <c r="H637" t="inlineStr"/>
      <c r="I637" t="inlineStr">
        <is>
          <t>"$"#,##0.00_);[Red]\("$"#,##0.00\)</t>
        </is>
      </c>
      <c r="J637" t="b">
        <v>0</v>
      </c>
      <c r="K637" t="b">
        <v>0</v>
      </c>
      <c r="L637" t="n">
        <v>11</v>
      </c>
      <c r="M637" t="inlineStr">
        <is>
          <t>Values must be of type &lt;class 'str'&gt;</t>
        </is>
      </c>
      <c r="N637" t="inlineStr">
        <is>
          <t>00000000</t>
        </is>
      </c>
      <c r="O637" t="inlineStr">
        <is>
          <t>center</t>
        </is>
      </c>
      <c r="P637" t="inlineStr">
        <is>
          <t>center</t>
        </is>
      </c>
      <c r="R637" t="b">
        <v>1</v>
      </c>
      <c r="S637" t="inlineStr">
        <is>
          <t>G000009</t>
        </is>
      </c>
      <c r="T637" t="inlineStr">
        <is>
          <t>Vertical</t>
        </is>
      </c>
      <c r="U637" t="n">
        <v>57</v>
      </c>
      <c r="V637" t="b">
        <v>1</v>
      </c>
      <c r="W637" t="inlineStr">
        <is>
          <t>Loan analysis!J10:J66</t>
        </is>
      </c>
      <c r="X637">
        <f>IFERROR(PMT(INDEX(Data[],ROW()-ROW(Data[[#Headers],[30]]),1)/12,Data[[#Headers],[30]]*12,-LoanAmount,0,IF(PaymentsDue="End of Period",0,1)), "")</f>
        <v/>
      </c>
    </row>
    <row r="638">
      <c r="A638" t="inlineStr">
        <is>
          <t>Loan analysis</t>
        </is>
      </c>
      <c r="B638" t="inlineStr">
        <is>
          <t>K58</t>
        </is>
      </c>
      <c r="C638" t="n">
        <v>58</v>
      </c>
      <c r="D638" t="n">
        <v>11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11</v>
      </c>
      <c r="M638" t="inlineStr">
        <is>
          <t>Values must be of type &lt;class 'str'&gt;</t>
        </is>
      </c>
      <c r="N638" t="inlineStr">
        <is>
          <t>Values must be of type &lt;class 'str'&gt;</t>
        </is>
      </c>
      <c r="O638" t="n">
        <v/>
      </c>
      <c r="P638" t="n">
        <v/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Loan analysis</t>
        </is>
      </c>
      <c r="B639" t="inlineStr">
        <is>
          <t>A59</t>
        </is>
      </c>
      <c r="C639" t="n">
        <v>59</v>
      </c>
      <c r="D639" t="n">
        <v>1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Values must be of type &lt;class 'str'&gt;</t>
        </is>
      </c>
      <c r="O639" t="n">
        <v/>
      </c>
      <c r="P639" t="n">
        <v/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Loan analysis</t>
        </is>
      </c>
      <c r="B640" t="inlineStr">
        <is>
          <t>B59</t>
        </is>
      </c>
      <c r="C640" t="n">
        <v>59</v>
      </c>
      <c r="D640" t="n">
        <v>2</v>
      </c>
      <c r="E640" t="inlineStr">
        <is>
          <t>Output</t>
        </is>
      </c>
      <c r="F640" t="inlineStr">
        <is>
          <t>'=IFERROR(MAX((ROW()-ROW(Data[[#Headers],[RATE]]))*0.0025+0.0175,0.0025), "")</t>
        </is>
      </c>
      <c r="G640" t="n">
        <v>0.1425</v>
      </c>
      <c r="H640" t="inlineStr"/>
      <c r="I640" t="inlineStr">
        <is>
          <t>0.00%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00000000</t>
        </is>
      </c>
      <c r="O640" t="inlineStr">
        <is>
          <t>center</t>
        </is>
      </c>
      <c r="P640" t="inlineStr">
        <is>
          <t>center</t>
        </is>
      </c>
      <c r="R640" t="b">
        <v>1</v>
      </c>
      <c r="S640" t="inlineStr">
        <is>
          <t>G000001</t>
        </is>
      </c>
      <c r="T640" t="inlineStr">
        <is>
          <t>Vertical</t>
        </is>
      </c>
      <c r="U640" t="n">
        <v>57</v>
      </c>
      <c r="V640" t="b">
        <v>1</v>
      </c>
      <c r="W640" t="inlineStr">
        <is>
          <t>Loan analysis!B10:B66</t>
        </is>
      </c>
      <c r="X640">
        <f>IFERROR(MAX((ROW()-ROW(Data[[#Headers],[RATE]]))*0.0025+0.0175,0.0025), "")</f>
        <v/>
      </c>
    </row>
    <row r="641">
      <c r="A641" t="inlineStr">
        <is>
          <t>Loan analysis</t>
        </is>
      </c>
      <c r="B641" t="inlineStr">
        <is>
          <t>C59</t>
        </is>
      </c>
      <c r="C641" t="n">
        <v>59</v>
      </c>
      <c r="D641" t="n">
        <v>3</v>
      </c>
      <c r="E641" t="inlineStr">
        <is>
          <t>Output</t>
        </is>
      </c>
      <c r="F641" t="inlineStr">
        <is>
          <t>'=IFERROR(PMT(INDEX(Data[],ROW()-ROW(Data[[#Headers],[3]]),1)/12,Data[[#Headers],[3]]*12,-LoanAmount,0,IF(PaymentsDue="End of Period",0,1)), "")</t>
        </is>
      </c>
      <c r="G641" t="n">
        <v>338.9665527841947</v>
      </c>
      <c r="H641" t="inlineStr"/>
      <c r="I641" t="inlineStr">
        <is>
          <t>"$"#,##0.00_);[Red]\("$"#,##0.00\)</t>
        </is>
      </c>
      <c r="J641" t="b">
        <v>0</v>
      </c>
      <c r="K641" t="b">
        <v>0</v>
      </c>
      <c r="L641" t="n">
        <v>11</v>
      </c>
      <c r="M641" t="inlineStr">
        <is>
          <t>Values must be of type &lt;class 'str'&gt;</t>
        </is>
      </c>
      <c r="N641" t="inlineStr">
        <is>
          <t>00000000</t>
        </is>
      </c>
      <c r="O641" t="inlineStr">
        <is>
          <t>center</t>
        </is>
      </c>
      <c r="P641" t="inlineStr">
        <is>
          <t>center</t>
        </is>
      </c>
      <c r="R641" t="b">
        <v>1</v>
      </c>
      <c r="S641" t="inlineStr">
        <is>
          <t>G000002</t>
        </is>
      </c>
      <c r="T641" t="inlineStr">
        <is>
          <t>Vertical</t>
        </is>
      </c>
      <c r="U641" t="n">
        <v>57</v>
      </c>
      <c r="V641" t="b">
        <v>1</v>
      </c>
      <c r="W641" t="inlineStr">
        <is>
          <t>Loan analysis!C10:C66</t>
        </is>
      </c>
      <c r="X641">
        <f>IFERROR(PMT(INDEX(Data[],ROW()-ROW(Data[[#Headers],[3]]),1)/12,Data[[#Headers],[3]]*12,-LoanAmount,0,IF(PaymentsDue="End of Period",0,1)), "")</f>
        <v/>
      </c>
    </row>
    <row r="642">
      <c r="A642" t="inlineStr">
        <is>
          <t>Loan analysis</t>
        </is>
      </c>
      <c r="B642" t="inlineStr">
        <is>
          <t>D59</t>
        </is>
      </c>
      <c r="C642" t="n">
        <v>59</v>
      </c>
      <c r="D642" t="n">
        <v>4</v>
      </c>
      <c r="E642" t="inlineStr">
        <is>
          <t>Output</t>
        </is>
      </c>
      <c r="F642" t="inlineStr">
        <is>
          <t>'=IFERROR(PMT(INDEX(Data[],ROW()-ROW(Data[[#Headers],[5]]),1)/12,Data[[#Headers],[5]]*12,-LoanAmount,0,IF(PaymentsDue="End of Period",0,1)), "")</t>
        </is>
      </c>
      <c r="G642" t="n">
        <v>231.234719708441</v>
      </c>
      <c r="H642" t="inlineStr"/>
      <c r="I642" t="inlineStr">
        <is>
          <t>"$"#,##0.00_);[Red]\("$"#,##0.00\)</t>
        </is>
      </c>
      <c r="J642" t="b">
        <v>0</v>
      </c>
      <c r="K642" t="b">
        <v>0</v>
      </c>
      <c r="L642" t="n">
        <v>11</v>
      </c>
      <c r="M642" t="inlineStr">
        <is>
          <t>Values must be of type &lt;class 'str'&gt;</t>
        </is>
      </c>
      <c r="N642" t="inlineStr">
        <is>
          <t>00000000</t>
        </is>
      </c>
      <c r="O642" t="inlineStr">
        <is>
          <t>center</t>
        </is>
      </c>
      <c r="P642" t="inlineStr">
        <is>
          <t>center</t>
        </is>
      </c>
      <c r="R642" t="b">
        <v>1</v>
      </c>
      <c r="S642" t="inlineStr">
        <is>
          <t>G000003</t>
        </is>
      </c>
      <c r="T642" t="inlineStr">
        <is>
          <t>Vertical</t>
        </is>
      </c>
      <c r="U642" t="n">
        <v>57</v>
      </c>
      <c r="V642" t="b">
        <v>1</v>
      </c>
      <c r="W642" t="inlineStr">
        <is>
          <t>Loan analysis!D10:D66</t>
        </is>
      </c>
      <c r="X642">
        <f>IFERROR(PMT(INDEX(Data[],ROW()-ROW(Data[[#Headers],[5]]),1)/12,Data[[#Headers],[5]]*12,-LoanAmount,0,IF(PaymentsDue="End of Period",0,1)), "")</f>
        <v/>
      </c>
    </row>
    <row r="643">
      <c r="A643" t="inlineStr">
        <is>
          <t>Loan analysis</t>
        </is>
      </c>
      <c r="B643" t="inlineStr">
        <is>
          <t>E59</t>
        </is>
      </c>
      <c r="C643" t="n">
        <v>59</v>
      </c>
      <c r="D643" t="n">
        <v>5</v>
      </c>
      <c r="E643" t="inlineStr">
        <is>
          <t>Output</t>
        </is>
      </c>
      <c r="F643" t="inlineStr">
        <is>
          <t>'=IFERROR(PMT(INDEX(Data[],ROW()-ROW(Data[[#Headers],[10]]),1)/12,Data[[#Headers],[10]]*12,-LoanAmount,0,IF(PaymentsDue="End of Period",0,1)), "")</t>
        </is>
      </c>
      <c r="G643" t="n">
        <v>154.9332780323271</v>
      </c>
      <c r="H643" t="inlineStr"/>
      <c r="I643" t="inlineStr">
        <is>
          <t>"$"#,##0.00_);[Red]\("$"#,##0.00\)</t>
        </is>
      </c>
      <c r="J643" t="b">
        <v>0</v>
      </c>
      <c r="K643" t="b">
        <v>0</v>
      </c>
      <c r="L643" t="n">
        <v>11</v>
      </c>
      <c r="M643" t="inlineStr">
        <is>
          <t>Values must be of type &lt;class 'str'&gt;</t>
        </is>
      </c>
      <c r="N643" t="inlineStr">
        <is>
          <t>00000000</t>
        </is>
      </c>
      <c r="O643" t="inlineStr">
        <is>
          <t>center</t>
        </is>
      </c>
      <c r="P643" t="inlineStr">
        <is>
          <t>center</t>
        </is>
      </c>
      <c r="R643" t="b">
        <v>1</v>
      </c>
      <c r="S643" t="inlineStr">
        <is>
          <t>G000004</t>
        </is>
      </c>
      <c r="T643" t="inlineStr">
        <is>
          <t>Vertical</t>
        </is>
      </c>
      <c r="U643" t="n">
        <v>57</v>
      </c>
      <c r="V643" t="b">
        <v>1</v>
      </c>
      <c r="W643" t="inlineStr">
        <is>
          <t>Loan analysis!E10:E66</t>
        </is>
      </c>
      <c r="X643">
        <f>IFERROR(PMT(INDEX(Data[],ROW()-ROW(Data[[#Headers],[10]]),1)/12,Data[[#Headers],[10]]*12,-LoanAmount,0,IF(PaymentsDue="End of Period",0,1)), "")</f>
        <v/>
      </c>
    </row>
    <row r="644">
      <c r="A644" t="inlineStr">
        <is>
          <t>Loan analysis</t>
        </is>
      </c>
      <c r="B644" t="inlineStr">
        <is>
          <t>F59</t>
        </is>
      </c>
      <c r="C644" t="n">
        <v>59</v>
      </c>
      <c r="D644" t="n">
        <v>6</v>
      </c>
      <c r="E644" t="inlineStr">
        <is>
          <t>Output</t>
        </is>
      </c>
      <c r="F644" t="inlineStr">
        <is>
          <t>'=IFERROR(PMT(INDEX(Data[],ROW()-ROW(Data[[#Headers],[12]]),1)/12,Data[[#Headers],[12]]*12,-LoanAmount,0,IF(PaymentsDue="End of Period",0,1)), "")</t>
        </is>
      </c>
      <c r="G644" t="n">
        <v>143.5898127592476</v>
      </c>
      <c r="H644" t="inlineStr"/>
      <c r="I644" t="inlineStr">
        <is>
          <t>"$"#,##0.00_);[Red]\("$"#,##0.00\)</t>
        </is>
      </c>
      <c r="J644" t="b">
        <v>0</v>
      </c>
      <c r="K644" t="b">
        <v>0</v>
      </c>
      <c r="L644" t="n">
        <v>11</v>
      </c>
      <c r="M644" t="inlineStr">
        <is>
          <t>Values must be of type &lt;class 'str'&gt;</t>
        </is>
      </c>
      <c r="N644" t="inlineStr">
        <is>
          <t>00000000</t>
        </is>
      </c>
      <c r="O644" t="inlineStr">
        <is>
          <t>center</t>
        </is>
      </c>
      <c r="P644" t="inlineStr">
        <is>
          <t>center</t>
        </is>
      </c>
      <c r="R644" t="b">
        <v>1</v>
      </c>
      <c r="S644" t="inlineStr">
        <is>
          <t>G000005</t>
        </is>
      </c>
      <c r="T644" t="inlineStr">
        <is>
          <t>Vertical</t>
        </is>
      </c>
      <c r="U644" t="n">
        <v>57</v>
      </c>
      <c r="V644" t="b">
        <v>1</v>
      </c>
      <c r="W644" t="inlineStr">
        <is>
          <t>Loan analysis!F10:F66</t>
        </is>
      </c>
      <c r="X644">
        <f>IFERROR(PMT(INDEX(Data[],ROW()-ROW(Data[[#Headers],[12]]),1)/12,Data[[#Headers],[12]]*12,-LoanAmount,0,IF(PaymentsDue="End of Period",0,1)), "")</f>
        <v/>
      </c>
    </row>
    <row r="645">
      <c r="A645" t="inlineStr">
        <is>
          <t>Loan analysis</t>
        </is>
      </c>
      <c r="B645" t="inlineStr">
        <is>
          <t>G59</t>
        </is>
      </c>
      <c r="C645" t="n">
        <v>59</v>
      </c>
      <c r="D645" t="n">
        <v>7</v>
      </c>
      <c r="E645" t="inlineStr">
        <is>
          <t>Output</t>
        </is>
      </c>
      <c r="F645" t="inlineStr">
        <is>
          <t>'=IFERROR(PMT(INDEX(Data[],ROW()-ROW(Data[[#Headers],[15]]),1)/12,Data[[#Headers],[15]]*12,-LoanAmount,0,IF(PaymentsDue="End of Period",0,1)), "")</t>
        </is>
      </c>
      <c r="G645" t="n">
        <v>133.275321695598</v>
      </c>
      <c r="H645" t="inlineStr"/>
      <c r="I645" t="inlineStr">
        <is>
          <t>"$"#,##0.00_);[Red]\("$"#,##0.00\)</t>
        </is>
      </c>
      <c r="J645" t="b">
        <v>0</v>
      </c>
      <c r="K645" t="b">
        <v>0</v>
      </c>
      <c r="L645" t="n">
        <v>11</v>
      </c>
      <c r="M645" t="inlineStr">
        <is>
          <t>Values must be of type &lt;class 'str'&gt;</t>
        </is>
      </c>
      <c r="N645" t="inlineStr">
        <is>
          <t>00000000</t>
        </is>
      </c>
      <c r="O645" t="inlineStr">
        <is>
          <t>center</t>
        </is>
      </c>
      <c r="P645" t="inlineStr">
        <is>
          <t>center</t>
        </is>
      </c>
      <c r="R645" t="b">
        <v>1</v>
      </c>
      <c r="S645" t="inlineStr">
        <is>
          <t>G000006</t>
        </is>
      </c>
      <c r="T645" t="inlineStr">
        <is>
          <t>Vertical</t>
        </is>
      </c>
      <c r="U645" t="n">
        <v>57</v>
      </c>
      <c r="V645" t="b">
        <v>1</v>
      </c>
      <c r="W645" t="inlineStr">
        <is>
          <t>Loan analysis!G10:G66</t>
        </is>
      </c>
      <c r="X645">
        <f>IFERROR(PMT(INDEX(Data[],ROW()-ROW(Data[[#Headers],[15]]),1)/12,Data[[#Headers],[15]]*12,-LoanAmount,0,IF(PaymentsDue="End of Period",0,1)), "")</f>
        <v/>
      </c>
    </row>
    <row r="646">
      <c r="A646" t="inlineStr">
        <is>
          <t>Loan analysis</t>
        </is>
      </c>
      <c r="B646" t="inlineStr">
        <is>
          <t>H59</t>
        </is>
      </c>
      <c r="C646" t="n">
        <v>59</v>
      </c>
      <c r="D646" t="n">
        <v>8</v>
      </c>
      <c r="E646" t="inlineStr">
        <is>
          <t>Output</t>
        </is>
      </c>
      <c r="F646" t="inlineStr">
        <is>
          <t>'=IFERROR(PMT(INDEX(Data[],ROW()-ROW(Data[[#Headers],[20]]),1)/12,Data[[#Headers],[20]]*12,-LoanAmount,0,IF(PaymentsDue="End of Period",0,1)), "")</t>
        </is>
      </c>
      <c r="G646" t="n">
        <v>124.6911863724146</v>
      </c>
      <c r="H646" t="inlineStr"/>
      <c r="I646" t="inlineStr">
        <is>
          <t>"$"#,##0.00_);[Red]\("$"#,##0.00\)</t>
        </is>
      </c>
      <c r="J646" t="b">
        <v>0</v>
      </c>
      <c r="K646" t="b">
        <v>0</v>
      </c>
      <c r="L646" t="n">
        <v>11</v>
      </c>
      <c r="M646" t="inlineStr">
        <is>
          <t>Values must be of type &lt;class 'str'&gt;</t>
        </is>
      </c>
      <c r="N646" t="inlineStr">
        <is>
          <t>00000000</t>
        </is>
      </c>
      <c r="O646" t="inlineStr">
        <is>
          <t>center</t>
        </is>
      </c>
      <c r="P646" t="inlineStr">
        <is>
          <t>center</t>
        </is>
      </c>
      <c r="R646" t="b">
        <v>1</v>
      </c>
      <c r="S646" t="inlineStr">
        <is>
          <t>G000007</t>
        </is>
      </c>
      <c r="T646" t="inlineStr">
        <is>
          <t>Vertical</t>
        </is>
      </c>
      <c r="U646" t="n">
        <v>57</v>
      </c>
      <c r="V646" t="b">
        <v>1</v>
      </c>
      <c r="W646" t="inlineStr">
        <is>
          <t>Loan analysis!H10:H66</t>
        </is>
      </c>
      <c r="X646">
        <f>IFERROR(PMT(INDEX(Data[],ROW()-ROW(Data[[#Headers],[20]]),1)/12,Data[[#Headers],[20]]*12,-LoanAmount,0,IF(PaymentsDue="End of Period",0,1)), "")</f>
        <v/>
      </c>
    </row>
    <row r="647">
      <c r="A647" t="inlineStr">
        <is>
          <t>Loan analysis</t>
        </is>
      </c>
      <c r="B647" t="inlineStr">
        <is>
          <t>I59</t>
        </is>
      </c>
      <c r="C647" t="n">
        <v>59</v>
      </c>
      <c r="D647" t="n">
        <v>9</v>
      </c>
      <c r="E647" t="inlineStr">
        <is>
          <t>Output</t>
        </is>
      </c>
      <c r="F647" t="inlineStr">
        <is>
          <t>'=IFERROR(PMT(INDEX(Data[],ROW()-ROW(Data[[#Headers],[25]]),1)/12,Data[[#Headers],[25]]*12,-LoanAmount,0,IF(PaymentsDue="End of Period",0,1)), "")</t>
        </is>
      </c>
      <c r="G647" t="n">
        <v>120.8575695136488</v>
      </c>
      <c r="H647" t="inlineStr"/>
      <c r="I647" t="inlineStr">
        <is>
          <t>"$"#,##0.00_);[Red]\("$"#,##0.00\)</t>
        </is>
      </c>
      <c r="J647" t="b">
        <v>0</v>
      </c>
      <c r="K647" t="b">
        <v>0</v>
      </c>
      <c r="L647" t="n">
        <v>11</v>
      </c>
      <c r="M647" t="inlineStr">
        <is>
          <t>Values must be of type &lt;class 'str'&gt;</t>
        </is>
      </c>
      <c r="N647" t="inlineStr">
        <is>
          <t>00000000</t>
        </is>
      </c>
      <c r="O647" t="inlineStr">
        <is>
          <t>center</t>
        </is>
      </c>
      <c r="P647" t="inlineStr">
        <is>
          <t>center</t>
        </is>
      </c>
      <c r="R647" t="b">
        <v>1</v>
      </c>
      <c r="S647" t="inlineStr">
        <is>
          <t>G000008</t>
        </is>
      </c>
      <c r="T647" t="inlineStr">
        <is>
          <t>Vertical</t>
        </is>
      </c>
      <c r="U647" t="n">
        <v>57</v>
      </c>
      <c r="V647" t="b">
        <v>1</v>
      </c>
      <c r="W647" t="inlineStr">
        <is>
          <t>Loan analysis!I10:I66</t>
        </is>
      </c>
      <c r="X647">
        <f>IFERROR(PMT(INDEX(Data[],ROW()-ROW(Data[[#Headers],[25]]),1)/12,Data[[#Headers],[25]]*12,-LoanAmount,0,IF(PaymentsDue="End of Period",0,1)), "")</f>
        <v/>
      </c>
    </row>
    <row r="648">
      <c r="A648" t="inlineStr">
        <is>
          <t>Loan analysis</t>
        </is>
      </c>
      <c r="B648" t="inlineStr">
        <is>
          <t>J59</t>
        </is>
      </c>
      <c r="C648" t="n">
        <v>59</v>
      </c>
      <c r="D648" t="n">
        <v>10</v>
      </c>
      <c r="E648" t="inlineStr">
        <is>
          <t>Output</t>
        </is>
      </c>
      <c r="F648" t="inlineStr">
        <is>
          <t>'=IFERROR(PMT(INDEX(Data[],ROW()-ROW(Data[[#Headers],[30]]),1)/12,Data[[#Headers],[30]]*12,-LoanAmount,0,IF(PaymentsDue="End of Period",0,1)), "")</t>
        </is>
      </c>
      <c r="G648" t="n">
        <v>119.0549321227674</v>
      </c>
      <c r="H648" t="inlineStr"/>
      <c r="I648" t="inlineStr">
        <is>
          <t>"$"#,##0.00_);[Red]\("$"#,##0.00\)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00000000</t>
        </is>
      </c>
      <c r="O648" t="inlineStr">
        <is>
          <t>center</t>
        </is>
      </c>
      <c r="P648" t="inlineStr">
        <is>
          <t>center</t>
        </is>
      </c>
      <c r="R648" t="b">
        <v>1</v>
      </c>
      <c r="S648" t="inlineStr">
        <is>
          <t>G000009</t>
        </is>
      </c>
      <c r="T648" t="inlineStr">
        <is>
          <t>Vertical</t>
        </is>
      </c>
      <c r="U648" t="n">
        <v>57</v>
      </c>
      <c r="V648" t="b">
        <v>1</v>
      </c>
      <c r="W648" t="inlineStr">
        <is>
          <t>Loan analysis!J10:J66</t>
        </is>
      </c>
      <c r="X648">
        <f>IFERROR(PMT(INDEX(Data[],ROW()-ROW(Data[[#Headers],[30]]),1)/12,Data[[#Headers],[30]]*12,-LoanAmount,0,IF(PaymentsDue="End of Period",0,1)), "")</f>
        <v/>
      </c>
    </row>
    <row r="649">
      <c r="A649" t="inlineStr">
        <is>
          <t>Loan analysis</t>
        </is>
      </c>
      <c r="B649" t="inlineStr">
        <is>
          <t>K59</t>
        </is>
      </c>
      <c r="C649" t="n">
        <v>59</v>
      </c>
      <c r="D649" t="n">
        <v>11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Values must be of type &lt;class 'str'&gt;</t>
        </is>
      </c>
      <c r="O649" t="n">
        <v/>
      </c>
      <c r="P649" t="n">
        <v/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Loan analysis</t>
        </is>
      </c>
      <c r="B650" t="inlineStr">
        <is>
          <t>A60</t>
        </is>
      </c>
      <c r="C650" t="n">
        <v>60</v>
      </c>
      <c r="D650" t="n">
        <v>1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11</v>
      </c>
      <c r="M650" t="inlineStr">
        <is>
          <t>Values must be of type &lt;class 'str'&gt;</t>
        </is>
      </c>
      <c r="N650" t="inlineStr">
        <is>
          <t>Values must be of type &lt;class 'str'&gt;</t>
        </is>
      </c>
      <c r="O650" t="n">
        <v/>
      </c>
      <c r="P650" t="n">
        <v/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</row>
    <row r="651">
      <c r="A651" t="inlineStr">
        <is>
          <t>Loan analysis</t>
        </is>
      </c>
      <c r="B651" t="inlineStr">
        <is>
          <t>B60</t>
        </is>
      </c>
      <c r="C651" t="n">
        <v>60</v>
      </c>
      <c r="D651" t="n">
        <v>2</v>
      </c>
      <c r="E651" t="inlineStr">
        <is>
          <t>Output</t>
        </is>
      </c>
      <c r="F651" t="inlineStr">
        <is>
          <t>'=IFERROR(MAX((ROW()-ROW(Data[[#Headers],[RATE]]))*0.0025+0.0175,0.0025), "")</t>
        </is>
      </c>
      <c r="G651" t="n">
        <v>0.145</v>
      </c>
      <c r="H651" t="inlineStr"/>
      <c r="I651" t="inlineStr">
        <is>
          <t>0.00%</t>
        </is>
      </c>
      <c r="J651" t="b">
        <v>0</v>
      </c>
      <c r="K651" t="b">
        <v>0</v>
      </c>
      <c r="L651" t="n">
        <v>11</v>
      </c>
      <c r="M651" t="inlineStr">
        <is>
          <t>Values must be of type &lt;class 'str'&gt;</t>
        </is>
      </c>
      <c r="N651" t="inlineStr">
        <is>
          <t>00000000</t>
        </is>
      </c>
      <c r="O651" t="inlineStr">
        <is>
          <t>center</t>
        </is>
      </c>
      <c r="P651" t="inlineStr">
        <is>
          <t>center</t>
        </is>
      </c>
      <c r="R651" t="b">
        <v>1</v>
      </c>
      <c r="S651" t="inlineStr">
        <is>
          <t>G000001</t>
        </is>
      </c>
      <c r="T651" t="inlineStr">
        <is>
          <t>Vertical</t>
        </is>
      </c>
      <c r="U651" t="n">
        <v>57</v>
      </c>
      <c r="V651" t="b">
        <v>1</v>
      </c>
      <c r="W651" t="inlineStr">
        <is>
          <t>Loan analysis!B10:B66</t>
        </is>
      </c>
      <c r="X651">
        <f>IFERROR(MAX((ROW()-ROW(Data[[#Headers],[RATE]]))*0.0025+0.0175,0.0025), "")</f>
        <v/>
      </c>
    </row>
    <row r="652">
      <c r="A652" t="inlineStr">
        <is>
          <t>Loan analysis</t>
        </is>
      </c>
      <c r="B652" t="inlineStr">
        <is>
          <t>C60</t>
        </is>
      </c>
      <c r="C652" t="n">
        <v>60</v>
      </c>
      <c r="D652" t="n">
        <v>3</v>
      </c>
      <c r="E652" t="inlineStr">
        <is>
          <t>Output</t>
        </is>
      </c>
      <c r="F652" t="inlineStr">
        <is>
          <t>'=IFERROR(PMT(INDEX(Data[],ROW()-ROW(Data[[#Headers],[3]]),1)/12,Data[[#Headers],[3]]*12,-LoanAmount,0,IF(PaymentsDue="End of Period",0,1)), "")</t>
        </is>
      </c>
      <c r="G652" t="n">
        <v>340.1002299825154</v>
      </c>
      <c r="H652" t="inlineStr"/>
      <c r="I652" t="inlineStr">
        <is>
          <t>"$"#,##0.00_);[Red]\("$"#,##0.00\)</t>
        </is>
      </c>
      <c r="J652" t="b">
        <v>0</v>
      </c>
      <c r="K652" t="b">
        <v>0</v>
      </c>
      <c r="L652" t="n">
        <v>11</v>
      </c>
      <c r="M652" t="inlineStr">
        <is>
          <t>Values must be of type &lt;class 'str'&gt;</t>
        </is>
      </c>
      <c r="N652" t="inlineStr">
        <is>
          <t>00000000</t>
        </is>
      </c>
      <c r="O652" t="inlineStr">
        <is>
          <t>center</t>
        </is>
      </c>
      <c r="P652" t="inlineStr">
        <is>
          <t>center</t>
        </is>
      </c>
      <c r="R652" t="b">
        <v>1</v>
      </c>
      <c r="S652" t="inlineStr">
        <is>
          <t>G000002</t>
        </is>
      </c>
      <c r="T652" t="inlineStr">
        <is>
          <t>Vertical</t>
        </is>
      </c>
      <c r="U652" t="n">
        <v>57</v>
      </c>
      <c r="V652" t="b">
        <v>1</v>
      </c>
      <c r="W652" t="inlineStr">
        <is>
          <t>Loan analysis!C10:C66</t>
        </is>
      </c>
      <c r="X652">
        <f>IFERROR(PMT(INDEX(Data[],ROW()-ROW(Data[[#Headers],[3]]),1)/12,Data[[#Headers],[3]]*12,-LoanAmount,0,IF(PaymentsDue="End of Period",0,1)), "")</f>
        <v/>
      </c>
    </row>
    <row r="653">
      <c r="A653" t="inlineStr">
        <is>
          <t>Loan analysis</t>
        </is>
      </c>
      <c r="B653" t="inlineStr">
        <is>
          <t>D60</t>
        </is>
      </c>
      <c r="C653" t="n">
        <v>60</v>
      </c>
      <c r="D653" t="n">
        <v>4</v>
      </c>
      <c r="E653" t="inlineStr">
        <is>
          <t>Output</t>
        </is>
      </c>
      <c r="F653" t="inlineStr">
        <is>
          <t>'=IFERROR(PMT(INDEX(Data[],ROW()-ROW(Data[[#Headers],[5]]),1)/12,Data[[#Headers],[5]]*12,-LoanAmount,0,IF(PaymentsDue="End of Period",0,1)), "")</t>
        </is>
      </c>
      <c r="G653" t="n">
        <v>232.4737529603103</v>
      </c>
      <c r="H653" t="inlineStr"/>
      <c r="I653" t="inlineStr">
        <is>
          <t>"$"#,##0.00_);[Red]\("$"#,##0.00\)</t>
        </is>
      </c>
      <c r="J653" t="b">
        <v>0</v>
      </c>
      <c r="K653" t="b">
        <v>0</v>
      </c>
      <c r="L653" t="n">
        <v>11</v>
      </c>
      <c r="M653" t="inlineStr">
        <is>
          <t>Values must be of type &lt;class 'str'&gt;</t>
        </is>
      </c>
      <c r="N653" t="inlineStr">
        <is>
          <t>00000000</t>
        </is>
      </c>
      <c r="O653" t="inlineStr">
        <is>
          <t>center</t>
        </is>
      </c>
      <c r="P653" t="inlineStr">
        <is>
          <t>center</t>
        </is>
      </c>
      <c r="R653" t="b">
        <v>1</v>
      </c>
      <c r="S653" t="inlineStr">
        <is>
          <t>G000003</t>
        </is>
      </c>
      <c r="T653" t="inlineStr">
        <is>
          <t>Vertical</t>
        </is>
      </c>
      <c r="U653" t="n">
        <v>57</v>
      </c>
      <c r="V653" t="b">
        <v>1</v>
      </c>
      <c r="W653" t="inlineStr">
        <is>
          <t>Loan analysis!D10:D66</t>
        </is>
      </c>
      <c r="X653">
        <f>IFERROR(PMT(INDEX(Data[],ROW()-ROW(Data[[#Headers],[5]]),1)/12,Data[[#Headers],[5]]*12,-LoanAmount,0,IF(PaymentsDue="End of Period",0,1)), "")</f>
        <v/>
      </c>
    </row>
    <row r="654">
      <c r="A654" t="inlineStr">
        <is>
          <t>Loan analysis</t>
        </is>
      </c>
      <c r="B654" t="inlineStr">
        <is>
          <t>E60</t>
        </is>
      </c>
      <c r="C654" t="n">
        <v>60</v>
      </c>
      <c r="D654" t="n">
        <v>5</v>
      </c>
      <c r="E654" t="inlineStr">
        <is>
          <t>Output</t>
        </is>
      </c>
      <c r="F654" t="inlineStr">
        <is>
          <t>'=IFERROR(PMT(INDEX(Data[],ROW()-ROW(Data[[#Headers],[10]]),1)/12,Data[[#Headers],[10]]*12,-LoanAmount,0,IF(PaymentsDue="End of Period",0,1)), "")</t>
        </is>
      </c>
      <c r="G654" t="n">
        <v>156.3969924084663</v>
      </c>
      <c r="H654" t="inlineStr"/>
      <c r="I654" t="inlineStr">
        <is>
          <t>"$"#,##0.00_);[Red]\("$"#,##0.00\)</t>
        </is>
      </c>
      <c r="J654" t="b">
        <v>0</v>
      </c>
      <c r="K654" t="b">
        <v>0</v>
      </c>
      <c r="L654" t="n">
        <v>11</v>
      </c>
      <c r="M654" t="inlineStr">
        <is>
          <t>Values must be of type &lt;class 'str'&gt;</t>
        </is>
      </c>
      <c r="N654" t="inlineStr">
        <is>
          <t>00000000</t>
        </is>
      </c>
      <c r="O654" t="inlineStr">
        <is>
          <t>center</t>
        </is>
      </c>
      <c r="P654" t="inlineStr">
        <is>
          <t>center</t>
        </is>
      </c>
      <c r="R654" t="b">
        <v>1</v>
      </c>
      <c r="S654" t="inlineStr">
        <is>
          <t>G000004</t>
        </is>
      </c>
      <c r="T654" t="inlineStr">
        <is>
          <t>Vertical</t>
        </is>
      </c>
      <c r="U654" t="n">
        <v>57</v>
      </c>
      <c r="V654" t="b">
        <v>1</v>
      </c>
      <c r="W654" t="inlineStr">
        <is>
          <t>Loan analysis!E10:E66</t>
        </is>
      </c>
      <c r="X654">
        <f>IFERROR(PMT(INDEX(Data[],ROW()-ROW(Data[[#Headers],[10]]),1)/12,Data[[#Headers],[10]]*12,-LoanAmount,0,IF(PaymentsDue="End of Period",0,1)), "")</f>
        <v/>
      </c>
    </row>
    <row r="655">
      <c r="A655" t="inlineStr">
        <is>
          <t>Loan analysis</t>
        </is>
      </c>
      <c r="B655" t="inlineStr">
        <is>
          <t>F60</t>
        </is>
      </c>
      <c r="C655" t="n">
        <v>60</v>
      </c>
      <c r="D655" t="n">
        <v>6</v>
      </c>
      <c r="E655" t="inlineStr">
        <is>
          <t>Output</t>
        </is>
      </c>
      <c r="F655" t="inlineStr">
        <is>
          <t>'=IFERROR(PMT(INDEX(Data[],ROW()-ROW(Data[[#Headers],[12]]),1)/12,Data[[#Headers],[12]]*12,-LoanAmount,0,IF(PaymentsDue="End of Period",0,1)), "")</t>
        </is>
      </c>
      <c r="G655" t="n">
        <v>145.1312295766147</v>
      </c>
      <c r="H655" t="inlineStr"/>
      <c r="I655" t="inlineStr">
        <is>
          <t>"$"#,##0.00_);[Red]\("$"#,##0.00\)</t>
        </is>
      </c>
      <c r="J655" t="b">
        <v>0</v>
      </c>
      <c r="K655" t="b">
        <v>0</v>
      </c>
      <c r="L655" t="n">
        <v>11</v>
      </c>
      <c r="M655" t="inlineStr">
        <is>
          <t>Values must be of type &lt;class 'str'&gt;</t>
        </is>
      </c>
      <c r="N655" t="inlineStr">
        <is>
          <t>00000000</t>
        </is>
      </c>
      <c r="O655" t="inlineStr">
        <is>
          <t>center</t>
        </is>
      </c>
      <c r="P655" t="inlineStr">
        <is>
          <t>center</t>
        </is>
      </c>
      <c r="R655" t="b">
        <v>1</v>
      </c>
      <c r="S655" t="inlineStr">
        <is>
          <t>G000005</t>
        </is>
      </c>
      <c r="T655" t="inlineStr">
        <is>
          <t>Vertical</t>
        </is>
      </c>
      <c r="U655" t="n">
        <v>57</v>
      </c>
      <c r="V655" t="b">
        <v>1</v>
      </c>
      <c r="W655" t="inlineStr">
        <is>
          <t>Loan analysis!F10:F66</t>
        </is>
      </c>
      <c r="X655">
        <f>IFERROR(PMT(INDEX(Data[],ROW()-ROW(Data[[#Headers],[12]]),1)/12,Data[[#Headers],[12]]*12,-LoanAmount,0,IF(PaymentsDue="End of Period",0,1)), "")</f>
        <v/>
      </c>
    </row>
    <row r="656">
      <c r="A656" t="inlineStr">
        <is>
          <t>Loan analysis</t>
        </is>
      </c>
      <c r="B656" t="inlineStr">
        <is>
          <t>G60</t>
        </is>
      </c>
      <c r="C656" t="n">
        <v>60</v>
      </c>
      <c r="D656" t="n">
        <v>7</v>
      </c>
      <c r="E656" t="inlineStr">
        <is>
          <t>Output</t>
        </is>
      </c>
      <c r="F656" t="inlineStr">
        <is>
          <t>'=IFERROR(PMT(INDEX(Data[],ROW()-ROW(Data[[#Headers],[15]]),1)/12,Data[[#Headers],[15]]*12,-LoanAmount,0,IF(PaymentsDue="End of Period",0,1)), "")</t>
        </is>
      </c>
      <c r="G656" t="n">
        <v>134.919805119627</v>
      </c>
      <c r="H656" t="inlineStr"/>
      <c r="I656" t="inlineStr">
        <is>
          <t>"$"#,##0.00_);[Red]\("$"#,##0.00\)</t>
        </is>
      </c>
      <c r="J656" t="b">
        <v>0</v>
      </c>
      <c r="K656" t="b">
        <v>0</v>
      </c>
      <c r="L656" t="n">
        <v>11</v>
      </c>
      <c r="M656" t="inlineStr">
        <is>
          <t>Values must be of type &lt;class 'str'&gt;</t>
        </is>
      </c>
      <c r="N656" t="inlineStr">
        <is>
          <t>00000000</t>
        </is>
      </c>
      <c r="O656" t="inlineStr">
        <is>
          <t>center</t>
        </is>
      </c>
      <c r="P656" t="inlineStr">
        <is>
          <t>center</t>
        </is>
      </c>
      <c r="R656" t="b">
        <v>1</v>
      </c>
      <c r="S656" t="inlineStr">
        <is>
          <t>G000006</t>
        </is>
      </c>
      <c r="T656" t="inlineStr">
        <is>
          <t>Vertical</t>
        </is>
      </c>
      <c r="U656" t="n">
        <v>57</v>
      </c>
      <c r="V656" t="b">
        <v>1</v>
      </c>
      <c r="W656" t="inlineStr">
        <is>
          <t>Loan analysis!G10:G66</t>
        </is>
      </c>
      <c r="X656">
        <f>IFERROR(PMT(INDEX(Data[],ROW()-ROW(Data[[#Headers],[15]]),1)/12,Data[[#Headers],[15]]*12,-LoanAmount,0,IF(PaymentsDue="End of Period",0,1)), "")</f>
        <v/>
      </c>
    </row>
    <row r="657">
      <c r="A657" t="inlineStr">
        <is>
          <t>Loan analysis</t>
        </is>
      </c>
      <c r="B657" t="inlineStr">
        <is>
          <t>H60</t>
        </is>
      </c>
      <c r="C657" t="n">
        <v>60</v>
      </c>
      <c r="D657" t="n">
        <v>8</v>
      </c>
      <c r="E657" t="inlineStr">
        <is>
          <t>Output</t>
        </is>
      </c>
      <c r="F657" t="inlineStr">
        <is>
          <t>'=IFERROR(PMT(INDEX(Data[],ROW()-ROW(Data[[#Headers],[20]]),1)/12,Data[[#Headers],[20]]*12,-LoanAmount,0,IF(PaymentsDue="End of Period",0,1)), "")</t>
        </is>
      </c>
      <c r="G657" t="n">
        <v>126.4715783978181</v>
      </c>
      <c r="H657" t="inlineStr"/>
      <c r="I657" t="inlineStr">
        <is>
          <t>"$"#,##0.00_);[Red]\("$"#,##0.00\)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00000000</t>
        </is>
      </c>
      <c r="O657" t="inlineStr">
        <is>
          <t>center</t>
        </is>
      </c>
      <c r="P657" t="inlineStr">
        <is>
          <t>center</t>
        </is>
      </c>
      <c r="R657" t="b">
        <v>1</v>
      </c>
      <c r="S657" t="inlineStr">
        <is>
          <t>G000007</t>
        </is>
      </c>
      <c r="T657" t="inlineStr">
        <is>
          <t>Vertical</t>
        </is>
      </c>
      <c r="U657" t="n">
        <v>57</v>
      </c>
      <c r="V657" t="b">
        <v>1</v>
      </c>
      <c r="W657" t="inlineStr">
        <is>
          <t>Loan analysis!H10:H66</t>
        </is>
      </c>
      <c r="X657">
        <f>IFERROR(PMT(INDEX(Data[],ROW()-ROW(Data[[#Headers],[20]]),1)/12,Data[[#Headers],[20]]*12,-LoanAmount,0,IF(PaymentsDue="End of Period",0,1)), "")</f>
        <v/>
      </c>
    </row>
    <row r="658">
      <c r="A658" t="inlineStr">
        <is>
          <t>Loan analysis</t>
        </is>
      </c>
      <c r="B658" t="inlineStr">
        <is>
          <t>I60</t>
        </is>
      </c>
      <c r="C658" t="n">
        <v>60</v>
      </c>
      <c r="D658" t="n">
        <v>9</v>
      </c>
      <c r="E658" t="inlineStr">
        <is>
          <t>Output</t>
        </is>
      </c>
      <c r="F658" t="inlineStr">
        <is>
          <t>'=IFERROR(PMT(INDEX(Data[],ROW()-ROW(Data[[#Headers],[25]]),1)/12,Data[[#Headers],[25]]*12,-LoanAmount,0,IF(PaymentsDue="End of Period",0,1)), "")</t>
        </is>
      </c>
      <c r="G658" t="n">
        <v>122.7332645828042</v>
      </c>
      <c r="H658" t="inlineStr"/>
      <c r="I658" t="inlineStr">
        <is>
          <t>"$"#,##0.00_);[Red]\("$"#,##0.00\)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00000000</t>
        </is>
      </c>
      <c r="O658" t="inlineStr">
        <is>
          <t>center</t>
        </is>
      </c>
      <c r="P658" t="inlineStr">
        <is>
          <t>center</t>
        </is>
      </c>
      <c r="R658" t="b">
        <v>1</v>
      </c>
      <c r="S658" t="inlineStr">
        <is>
          <t>G000008</t>
        </is>
      </c>
      <c r="T658" t="inlineStr">
        <is>
          <t>Vertical</t>
        </is>
      </c>
      <c r="U658" t="n">
        <v>57</v>
      </c>
      <c r="V658" t="b">
        <v>1</v>
      </c>
      <c r="W658" t="inlineStr">
        <is>
          <t>Loan analysis!I10:I66</t>
        </is>
      </c>
      <c r="X658">
        <f>IFERROR(PMT(INDEX(Data[],ROW()-ROW(Data[[#Headers],[25]]),1)/12,Data[[#Headers],[25]]*12,-LoanAmount,0,IF(PaymentsDue="End of Period",0,1)), "")</f>
        <v/>
      </c>
    </row>
    <row r="659">
      <c r="A659" t="inlineStr">
        <is>
          <t>Loan analysis</t>
        </is>
      </c>
      <c r="B659" t="inlineStr">
        <is>
          <t>J60</t>
        </is>
      </c>
      <c r="C659" t="n">
        <v>60</v>
      </c>
      <c r="D659" t="n">
        <v>10</v>
      </c>
      <c r="E659" t="inlineStr">
        <is>
          <t>Output</t>
        </is>
      </c>
      <c r="F659" t="inlineStr">
        <is>
          <t>'=IFERROR(PMT(INDEX(Data[],ROW()-ROW(Data[[#Headers],[30]]),1)/12,Data[[#Headers],[30]]*12,-LoanAmount,0,IF(PaymentsDue="End of Period",0,1)), "")</t>
        </is>
      </c>
      <c r="G659" t="n">
        <v>120.9935869359593</v>
      </c>
      <c r="H659" t="inlineStr"/>
      <c r="I659" t="inlineStr">
        <is>
          <t>"$"#,##0.00_);[Red]\("$"#,##0.00\)</t>
        </is>
      </c>
      <c r="J659" t="b">
        <v>0</v>
      </c>
      <c r="K659" t="b">
        <v>0</v>
      </c>
      <c r="L659" t="n">
        <v>11</v>
      </c>
      <c r="M659" t="inlineStr">
        <is>
          <t>Values must be of type &lt;class 'str'&gt;</t>
        </is>
      </c>
      <c r="N659" t="inlineStr">
        <is>
          <t>00000000</t>
        </is>
      </c>
      <c r="O659" t="inlineStr">
        <is>
          <t>center</t>
        </is>
      </c>
      <c r="P659" t="inlineStr">
        <is>
          <t>center</t>
        </is>
      </c>
      <c r="R659" t="b">
        <v>1</v>
      </c>
      <c r="S659" t="inlineStr">
        <is>
          <t>G000009</t>
        </is>
      </c>
      <c r="T659" t="inlineStr">
        <is>
          <t>Vertical</t>
        </is>
      </c>
      <c r="U659" t="n">
        <v>57</v>
      </c>
      <c r="V659" t="b">
        <v>1</v>
      </c>
      <c r="W659" t="inlineStr">
        <is>
          <t>Loan analysis!J10:J66</t>
        </is>
      </c>
      <c r="X659">
        <f>IFERROR(PMT(INDEX(Data[],ROW()-ROW(Data[[#Headers],[30]]),1)/12,Data[[#Headers],[30]]*12,-LoanAmount,0,IF(PaymentsDue="End of Period",0,1)), "")</f>
        <v/>
      </c>
    </row>
    <row r="660">
      <c r="A660" t="inlineStr">
        <is>
          <t>Loan analysis</t>
        </is>
      </c>
      <c r="B660" t="inlineStr">
        <is>
          <t>K60</t>
        </is>
      </c>
      <c r="C660" t="n">
        <v>60</v>
      </c>
      <c r="D660" t="n">
        <v>11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11</v>
      </c>
      <c r="M660" t="inlineStr">
        <is>
          <t>Values must be of type &lt;class 'str'&gt;</t>
        </is>
      </c>
      <c r="N660" t="inlineStr">
        <is>
          <t>Values must be of type &lt;class 'str'&gt;</t>
        </is>
      </c>
      <c r="O660" t="n">
        <v/>
      </c>
      <c r="P660" t="n">
        <v/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</row>
    <row r="661">
      <c r="A661" t="inlineStr">
        <is>
          <t>Loan analysis</t>
        </is>
      </c>
      <c r="B661" t="inlineStr">
        <is>
          <t>A61</t>
        </is>
      </c>
      <c r="C661" t="n">
        <v>61</v>
      </c>
      <c r="D661" t="n">
        <v>1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11</v>
      </c>
      <c r="M661" t="inlineStr">
        <is>
          <t>Values must be of type &lt;class 'str'&gt;</t>
        </is>
      </c>
      <c r="N661" t="inlineStr">
        <is>
          <t>Values must be of type &lt;class 'str'&gt;</t>
        </is>
      </c>
      <c r="O661" t="n">
        <v/>
      </c>
      <c r="P661" t="n">
        <v/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</row>
    <row r="662">
      <c r="A662" t="inlineStr">
        <is>
          <t>Loan analysis</t>
        </is>
      </c>
      <c r="B662" t="inlineStr">
        <is>
          <t>B61</t>
        </is>
      </c>
      <c r="C662" t="n">
        <v>61</v>
      </c>
      <c r="D662" t="n">
        <v>2</v>
      </c>
      <c r="E662" t="inlineStr">
        <is>
          <t>Output</t>
        </is>
      </c>
      <c r="F662" t="inlineStr">
        <is>
          <t>'=IFERROR(MAX((ROW()-ROW(Data[[#Headers],[RATE]]))*0.0025+0.0175,0.0025), "")</t>
        </is>
      </c>
      <c r="G662" t="n">
        <v>0.1475</v>
      </c>
      <c r="H662" t="inlineStr"/>
      <c r="I662" t="inlineStr">
        <is>
          <t>0.00%</t>
        </is>
      </c>
      <c r="J662" t="b">
        <v>0</v>
      </c>
      <c r="K662" t="b">
        <v>0</v>
      </c>
      <c r="L662" t="n">
        <v>11</v>
      </c>
      <c r="M662" t="inlineStr">
        <is>
          <t>Values must be of type &lt;class 'str'&gt;</t>
        </is>
      </c>
      <c r="N662" t="inlineStr">
        <is>
          <t>00000000</t>
        </is>
      </c>
      <c r="O662" t="inlineStr">
        <is>
          <t>center</t>
        </is>
      </c>
      <c r="P662" t="inlineStr">
        <is>
          <t>center</t>
        </is>
      </c>
      <c r="R662" t="b">
        <v>1</v>
      </c>
      <c r="S662" t="inlineStr">
        <is>
          <t>G000001</t>
        </is>
      </c>
      <c r="T662" t="inlineStr">
        <is>
          <t>Vertical</t>
        </is>
      </c>
      <c r="U662" t="n">
        <v>57</v>
      </c>
      <c r="V662" t="b">
        <v>1</v>
      </c>
      <c r="W662" t="inlineStr">
        <is>
          <t>Loan analysis!B10:B66</t>
        </is>
      </c>
      <c r="X662">
        <f>IFERROR(MAX((ROW()-ROW(Data[[#Headers],[RATE]]))*0.0025+0.0175,0.0025), "")</f>
        <v/>
      </c>
    </row>
    <row r="663">
      <c r="A663" t="inlineStr">
        <is>
          <t>Loan analysis</t>
        </is>
      </c>
      <c r="B663" t="inlineStr">
        <is>
          <t>C61</t>
        </is>
      </c>
      <c r="C663" t="n">
        <v>61</v>
      </c>
      <c r="D663" t="n">
        <v>3</v>
      </c>
      <c r="E663" t="inlineStr">
        <is>
          <t>Output</t>
        </is>
      </c>
      <c r="F663" t="inlineStr">
        <is>
          <t>'=IFERROR(PMT(INDEX(Data[],ROW()-ROW(Data[[#Headers],[3]]),1)/12,Data[[#Headers],[3]]*12,-LoanAmount,0,IF(PaymentsDue="End of Period",0,1)), "")</t>
        </is>
      </c>
      <c r="G663" t="n">
        <v>341.2359185399892</v>
      </c>
      <c r="H663" t="inlineStr"/>
      <c r="I663" t="inlineStr">
        <is>
          <t>"$"#,##0.00_);[Red]\("$"#,##0.00\)</t>
        </is>
      </c>
      <c r="J663" t="b">
        <v>0</v>
      </c>
      <c r="K663" t="b">
        <v>0</v>
      </c>
      <c r="L663" t="n">
        <v>11</v>
      </c>
      <c r="M663" t="inlineStr">
        <is>
          <t>Values must be of type &lt;class 'str'&gt;</t>
        </is>
      </c>
      <c r="N663" t="inlineStr">
        <is>
          <t>00000000</t>
        </is>
      </c>
      <c r="O663" t="inlineStr">
        <is>
          <t>center</t>
        </is>
      </c>
      <c r="P663" t="inlineStr">
        <is>
          <t>center</t>
        </is>
      </c>
      <c r="R663" t="b">
        <v>1</v>
      </c>
      <c r="S663" t="inlineStr">
        <is>
          <t>G000002</t>
        </is>
      </c>
      <c r="T663" t="inlineStr">
        <is>
          <t>Vertical</t>
        </is>
      </c>
      <c r="U663" t="n">
        <v>57</v>
      </c>
      <c r="V663" t="b">
        <v>1</v>
      </c>
      <c r="W663" t="inlineStr">
        <is>
          <t>Loan analysis!C10:C66</t>
        </is>
      </c>
      <c r="X663">
        <f>IFERROR(PMT(INDEX(Data[],ROW()-ROW(Data[[#Headers],[3]]),1)/12,Data[[#Headers],[3]]*12,-LoanAmount,0,IF(PaymentsDue="End of Period",0,1)), "")</f>
        <v/>
      </c>
    </row>
    <row r="664">
      <c r="A664" t="inlineStr">
        <is>
          <t>Loan analysis</t>
        </is>
      </c>
      <c r="B664" t="inlineStr">
        <is>
          <t>D61</t>
        </is>
      </c>
      <c r="C664" t="n">
        <v>61</v>
      </c>
      <c r="D664" t="n">
        <v>4</v>
      </c>
      <c r="E664" t="inlineStr">
        <is>
          <t>Output</t>
        </is>
      </c>
      <c r="F664" t="inlineStr">
        <is>
          <t>'=IFERROR(PMT(INDEX(Data[],ROW()-ROW(Data[[#Headers],[5]]),1)/12,Data[[#Headers],[5]]*12,-LoanAmount,0,IF(PaymentsDue="End of Period",0,1)), "")</t>
        </is>
      </c>
      <c r="G664" t="n">
        <v>233.7162740374102</v>
      </c>
      <c r="H664" t="inlineStr"/>
      <c r="I664" t="inlineStr">
        <is>
          <t>"$"#,##0.00_);[Red]\("$"#,##0.00\)</t>
        </is>
      </c>
      <c r="J664" t="b">
        <v>0</v>
      </c>
      <c r="K664" t="b">
        <v>0</v>
      </c>
      <c r="L664" t="n">
        <v>11</v>
      </c>
      <c r="M664" t="inlineStr">
        <is>
          <t>Values must be of type &lt;class 'str'&gt;</t>
        </is>
      </c>
      <c r="N664" t="inlineStr">
        <is>
          <t>00000000</t>
        </is>
      </c>
      <c r="O664" t="inlineStr">
        <is>
          <t>center</t>
        </is>
      </c>
      <c r="P664" t="inlineStr">
        <is>
          <t>center</t>
        </is>
      </c>
      <c r="R664" t="b">
        <v>1</v>
      </c>
      <c r="S664" t="inlineStr">
        <is>
          <t>G000003</t>
        </is>
      </c>
      <c r="T664" t="inlineStr">
        <is>
          <t>Vertical</t>
        </is>
      </c>
      <c r="U664" t="n">
        <v>57</v>
      </c>
      <c r="V664" t="b">
        <v>1</v>
      </c>
      <c r="W664" t="inlineStr">
        <is>
          <t>Loan analysis!D10:D66</t>
        </is>
      </c>
      <c r="X664">
        <f>IFERROR(PMT(INDEX(Data[],ROW()-ROW(Data[[#Headers],[5]]),1)/12,Data[[#Headers],[5]]*12,-LoanAmount,0,IF(PaymentsDue="End of Period",0,1)), "")</f>
        <v/>
      </c>
    </row>
    <row r="665">
      <c r="A665" t="inlineStr">
        <is>
          <t>Loan analysis</t>
        </is>
      </c>
      <c r="B665" t="inlineStr">
        <is>
          <t>E61</t>
        </is>
      </c>
      <c r="C665" t="n">
        <v>61</v>
      </c>
      <c r="D665" t="n">
        <v>5</v>
      </c>
      <c r="E665" t="inlineStr">
        <is>
          <t>Output</t>
        </is>
      </c>
      <c r="F665" t="inlineStr">
        <is>
          <t>'=IFERROR(PMT(INDEX(Data[],ROW()-ROW(Data[[#Headers],[10]]),1)/12,Data[[#Headers],[10]]*12,-LoanAmount,0,IF(PaymentsDue="End of Period",0,1)), "")</t>
        </is>
      </c>
      <c r="G665" t="n">
        <v>157.8669733036933</v>
      </c>
      <c r="H665" t="inlineStr"/>
      <c r="I665" t="inlineStr">
        <is>
          <t>"$"#,##0.00_);[Red]\("$"#,##0.00\)</t>
        </is>
      </c>
      <c r="J665" t="b">
        <v>0</v>
      </c>
      <c r="K665" t="b">
        <v>0</v>
      </c>
      <c r="L665" t="n">
        <v>11</v>
      </c>
      <c r="M665" t="inlineStr">
        <is>
          <t>Values must be of type &lt;class 'str'&gt;</t>
        </is>
      </c>
      <c r="N665" t="inlineStr">
        <is>
          <t>00000000</t>
        </is>
      </c>
      <c r="O665" t="inlineStr">
        <is>
          <t>center</t>
        </is>
      </c>
      <c r="P665" t="inlineStr">
        <is>
          <t>center</t>
        </is>
      </c>
      <c r="R665" t="b">
        <v>1</v>
      </c>
      <c r="S665" t="inlineStr">
        <is>
          <t>G000004</t>
        </is>
      </c>
      <c r="T665" t="inlineStr">
        <is>
          <t>Vertical</t>
        </is>
      </c>
      <c r="U665" t="n">
        <v>57</v>
      </c>
      <c r="V665" t="b">
        <v>1</v>
      </c>
      <c r="W665" t="inlineStr">
        <is>
          <t>Loan analysis!E10:E66</t>
        </is>
      </c>
      <c r="X665">
        <f>IFERROR(PMT(INDEX(Data[],ROW()-ROW(Data[[#Headers],[10]]),1)/12,Data[[#Headers],[10]]*12,-LoanAmount,0,IF(PaymentsDue="End of Period",0,1)), "")</f>
        <v/>
      </c>
    </row>
    <row r="666">
      <c r="A666" t="inlineStr">
        <is>
          <t>Loan analysis</t>
        </is>
      </c>
      <c r="B666" t="inlineStr">
        <is>
          <t>F61</t>
        </is>
      </c>
      <c r="C666" t="n">
        <v>61</v>
      </c>
      <c r="D666" t="n">
        <v>6</v>
      </c>
      <c r="E666" t="inlineStr">
        <is>
          <t>Output</t>
        </is>
      </c>
      <c r="F666" t="inlineStr">
        <is>
          <t>'=IFERROR(PMT(INDEX(Data[],ROW()-ROW(Data[[#Headers],[12]]),1)/12,Data[[#Headers],[12]]*12,-LoanAmount,0,IF(PaymentsDue="End of Period",0,1)), "")</t>
        </is>
      </c>
      <c r="G666" t="n">
        <v>146.6795661400227</v>
      </c>
      <c r="H666" t="inlineStr"/>
      <c r="I666" t="inlineStr">
        <is>
          <t>"$"#,##0.00_);[Red]\("$"#,##0.00\)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00000000</t>
        </is>
      </c>
      <c r="O666" t="inlineStr">
        <is>
          <t>center</t>
        </is>
      </c>
      <c r="P666" t="inlineStr">
        <is>
          <t>center</t>
        </is>
      </c>
      <c r="R666" t="b">
        <v>1</v>
      </c>
      <c r="S666" t="inlineStr">
        <is>
          <t>G000005</t>
        </is>
      </c>
      <c r="T666" t="inlineStr">
        <is>
          <t>Vertical</t>
        </is>
      </c>
      <c r="U666" t="n">
        <v>57</v>
      </c>
      <c r="V666" t="b">
        <v>1</v>
      </c>
      <c r="W666" t="inlineStr">
        <is>
          <t>Loan analysis!F10:F66</t>
        </is>
      </c>
      <c r="X666">
        <f>IFERROR(PMT(INDEX(Data[],ROW()-ROW(Data[[#Headers],[12]]),1)/12,Data[[#Headers],[12]]*12,-LoanAmount,0,IF(PaymentsDue="End of Period",0,1)), "")</f>
        <v/>
      </c>
    </row>
    <row r="667">
      <c r="A667" t="inlineStr">
        <is>
          <t>Loan analysis</t>
        </is>
      </c>
      <c r="B667" t="inlineStr">
        <is>
          <t>G61</t>
        </is>
      </c>
      <c r="C667" t="n">
        <v>61</v>
      </c>
      <c r="D667" t="n">
        <v>7</v>
      </c>
      <c r="E667" t="inlineStr">
        <is>
          <t>Output</t>
        </is>
      </c>
      <c r="F667" t="inlineStr">
        <is>
          <t>'=IFERROR(PMT(INDEX(Data[],ROW()-ROW(Data[[#Headers],[15]]),1)/12,Data[[#Headers],[15]]*12,-LoanAmount,0,IF(PaymentsDue="End of Period",0,1)), "")</t>
        </is>
      </c>
      <c r="G667" t="n">
        <v>136.5716820471008</v>
      </c>
      <c r="H667" t="inlineStr"/>
      <c r="I667" t="inlineStr">
        <is>
          <t>"$"#,##0.00_);[Red]\("$"#,##0.00\)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00000000</t>
        </is>
      </c>
      <c r="O667" t="inlineStr">
        <is>
          <t>center</t>
        </is>
      </c>
      <c r="P667" t="inlineStr">
        <is>
          <t>center</t>
        </is>
      </c>
      <c r="R667" t="b">
        <v>1</v>
      </c>
      <c r="S667" t="inlineStr">
        <is>
          <t>G000006</t>
        </is>
      </c>
      <c r="T667" t="inlineStr">
        <is>
          <t>Vertical</t>
        </is>
      </c>
      <c r="U667" t="n">
        <v>57</v>
      </c>
      <c r="V667" t="b">
        <v>1</v>
      </c>
      <c r="W667" t="inlineStr">
        <is>
          <t>Loan analysis!G10:G66</t>
        </is>
      </c>
      <c r="X667">
        <f>IFERROR(PMT(INDEX(Data[],ROW()-ROW(Data[[#Headers],[15]]),1)/12,Data[[#Headers],[15]]*12,-LoanAmount,0,IF(PaymentsDue="End of Period",0,1)), "")</f>
        <v/>
      </c>
    </row>
    <row r="668">
      <c r="A668" t="inlineStr">
        <is>
          <t>Loan analysis</t>
        </is>
      </c>
      <c r="B668" t="inlineStr">
        <is>
          <t>H61</t>
        </is>
      </c>
      <c r="C668" t="n">
        <v>61</v>
      </c>
      <c r="D668" t="n">
        <v>8</v>
      </c>
      <c r="E668" t="inlineStr">
        <is>
          <t>Output</t>
        </is>
      </c>
      <c r="F668" t="inlineStr">
        <is>
          <t>'=IFERROR(PMT(INDEX(Data[],ROW()-ROW(Data[[#Headers],[20]]),1)/12,Data[[#Headers],[20]]*12,-LoanAmount,0,IF(PaymentsDue="End of Period",0,1)), "")</t>
        </is>
      </c>
      <c r="G668" t="n">
        <v>128.2590129316756</v>
      </c>
      <c r="H668" t="inlineStr"/>
      <c r="I668" t="inlineStr">
        <is>
          <t>"$"#,##0.00_);[Red]\("$"#,##0.00\)</t>
        </is>
      </c>
      <c r="J668" t="b">
        <v>0</v>
      </c>
      <c r="K668" t="b">
        <v>0</v>
      </c>
      <c r="L668" t="n">
        <v>11</v>
      </c>
      <c r="M668" t="inlineStr">
        <is>
          <t>Values must be of type &lt;class 'str'&gt;</t>
        </is>
      </c>
      <c r="N668" t="inlineStr">
        <is>
          <t>00000000</t>
        </is>
      </c>
      <c r="O668" t="inlineStr">
        <is>
          <t>center</t>
        </is>
      </c>
      <c r="P668" t="inlineStr">
        <is>
          <t>center</t>
        </is>
      </c>
      <c r="R668" t="b">
        <v>1</v>
      </c>
      <c r="S668" t="inlineStr">
        <is>
          <t>G000007</t>
        </is>
      </c>
      <c r="T668" t="inlineStr">
        <is>
          <t>Vertical</t>
        </is>
      </c>
      <c r="U668" t="n">
        <v>57</v>
      </c>
      <c r="V668" t="b">
        <v>1</v>
      </c>
      <c r="W668" t="inlineStr">
        <is>
          <t>Loan analysis!H10:H66</t>
        </is>
      </c>
      <c r="X668">
        <f>IFERROR(PMT(INDEX(Data[],ROW()-ROW(Data[[#Headers],[20]]),1)/12,Data[[#Headers],[20]]*12,-LoanAmount,0,IF(PaymentsDue="End of Period",0,1)), "")</f>
        <v/>
      </c>
    </row>
    <row r="669">
      <c r="A669" t="inlineStr">
        <is>
          <t>Loan analysis</t>
        </is>
      </c>
      <c r="B669" t="inlineStr">
        <is>
          <t>I61</t>
        </is>
      </c>
      <c r="C669" t="n">
        <v>61</v>
      </c>
      <c r="D669" t="n">
        <v>9</v>
      </c>
      <c r="E669" t="inlineStr">
        <is>
          <t>Output</t>
        </is>
      </c>
      <c r="F669" t="inlineStr">
        <is>
          <t>'=IFERROR(PMT(INDEX(Data[],ROW()-ROW(Data[[#Headers],[25]]),1)/12,Data[[#Headers],[25]]*12,-LoanAmount,0,IF(PaymentsDue="End of Period",0,1)), "")</t>
        </is>
      </c>
      <c r="G669" t="n">
        <v>124.6147509680904</v>
      </c>
      <c r="H669" t="inlineStr"/>
      <c r="I669" t="inlineStr">
        <is>
          <t>"$"#,##0.00_);[Red]\("$"#,##0.00\)</t>
        </is>
      </c>
      <c r="J669" t="b">
        <v>0</v>
      </c>
      <c r="K669" t="b">
        <v>0</v>
      </c>
      <c r="L669" t="n">
        <v>11</v>
      </c>
      <c r="M669" t="inlineStr">
        <is>
          <t>Values must be of type &lt;class 'str'&gt;</t>
        </is>
      </c>
      <c r="N669" t="inlineStr">
        <is>
          <t>00000000</t>
        </is>
      </c>
      <c r="O669" t="inlineStr">
        <is>
          <t>center</t>
        </is>
      </c>
      <c r="P669" t="inlineStr">
        <is>
          <t>center</t>
        </is>
      </c>
      <c r="R669" t="b">
        <v>1</v>
      </c>
      <c r="S669" t="inlineStr">
        <is>
          <t>G000008</t>
        </is>
      </c>
      <c r="T669" t="inlineStr">
        <is>
          <t>Vertical</t>
        </is>
      </c>
      <c r="U669" t="n">
        <v>57</v>
      </c>
      <c r="V669" t="b">
        <v>1</v>
      </c>
      <c r="W669" t="inlineStr">
        <is>
          <t>Loan analysis!I10:I66</t>
        </is>
      </c>
      <c r="X669">
        <f>IFERROR(PMT(INDEX(Data[],ROW()-ROW(Data[[#Headers],[25]]),1)/12,Data[[#Headers],[25]]*12,-LoanAmount,0,IF(PaymentsDue="End of Period",0,1)), "")</f>
        <v/>
      </c>
    </row>
    <row r="670">
      <c r="A670" t="inlineStr">
        <is>
          <t>Loan analysis</t>
        </is>
      </c>
      <c r="B670" t="inlineStr">
        <is>
          <t>J61</t>
        </is>
      </c>
      <c r="C670" t="n">
        <v>61</v>
      </c>
      <c r="D670" t="n">
        <v>10</v>
      </c>
      <c r="E670" t="inlineStr">
        <is>
          <t>Output</t>
        </is>
      </c>
      <c r="F670" t="inlineStr">
        <is>
          <t>'=IFERROR(PMT(INDEX(Data[],ROW()-ROW(Data[[#Headers],[30]]),1)/12,Data[[#Headers],[30]]*12,-LoanAmount,0,IF(PaymentsDue="End of Period",0,1)), "")</t>
        </is>
      </c>
      <c r="G670" t="n">
        <v>122.9364773859918</v>
      </c>
      <c r="H670" t="inlineStr"/>
      <c r="I670" t="inlineStr">
        <is>
          <t>"$"#,##0.00_);[Red]\("$"#,##0.00\)</t>
        </is>
      </c>
      <c r="J670" t="b">
        <v>0</v>
      </c>
      <c r="K670" t="b">
        <v>0</v>
      </c>
      <c r="L670" t="n">
        <v>11</v>
      </c>
      <c r="M670" t="inlineStr">
        <is>
          <t>Values must be of type &lt;class 'str'&gt;</t>
        </is>
      </c>
      <c r="N670" t="inlineStr">
        <is>
          <t>00000000</t>
        </is>
      </c>
      <c r="O670" t="inlineStr">
        <is>
          <t>center</t>
        </is>
      </c>
      <c r="P670" t="inlineStr">
        <is>
          <t>center</t>
        </is>
      </c>
      <c r="R670" t="b">
        <v>1</v>
      </c>
      <c r="S670" t="inlineStr">
        <is>
          <t>G000009</t>
        </is>
      </c>
      <c r="T670" t="inlineStr">
        <is>
          <t>Vertical</t>
        </is>
      </c>
      <c r="U670" t="n">
        <v>57</v>
      </c>
      <c r="V670" t="b">
        <v>1</v>
      </c>
      <c r="W670" t="inlineStr">
        <is>
          <t>Loan analysis!J10:J66</t>
        </is>
      </c>
      <c r="X670">
        <f>IFERROR(PMT(INDEX(Data[],ROW()-ROW(Data[[#Headers],[30]]),1)/12,Data[[#Headers],[30]]*12,-LoanAmount,0,IF(PaymentsDue="End of Period",0,1)), "")</f>
        <v/>
      </c>
    </row>
    <row r="671">
      <c r="A671" t="inlineStr">
        <is>
          <t>Loan analysis</t>
        </is>
      </c>
      <c r="B671" t="inlineStr">
        <is>
          <t>K61</t>
        </is>
      </c>
      <c r="C671" t="n">
        <v>61</v>
      </c>
      <c r="D671" t="n">
        <v>11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11</v>
      </c>
      <c r="M671" t="inlineStr">
        <is>
          <t>Values must be of type &lt;class 'str'&gt;</t>
        </is>
      </c>
      <c r="N671" t="inlineStr">
        <is>
          <t>Values must be of type &lt;class 'str'&gt;</t>
        </is>
      </c>
      <c r="O671" t="n">
        <v/>
      </c>
      <c r="P671" t="n">
        <v/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</row>
    <row r="672">
      <c r="A672" t="inlineStr">
        <is>
          <t>Loan analysis</t>
        </is>
      </c>
      <c r="B672" t="inlineStr">
        <is>
          <t>A62</t>
        </is>
      </c>
      <c r="C672" t="n">
        <v>62</v>
      </c>
      <c r="D672" t="n">
        <v>1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11</v>
      </c>
      <c r="M672" t="inlineStr">
        <is>
          <t>Values must be of type &lt;class 'str'&gt;</t>
        </is>
      </c>
      <c r="N672" t="inlineStr">
        <is>
          <t>Values must be of type &lt;class 'str'&gt;</t>
        </is>
      </c>
      <c r="O672" t="n">
        <v/>
      </c>
      <c r="P672" t="n">
        <v/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</row>
    <row r="673">
      <c r="A673" t="inlineStr">
        <is>
          <t>Loan analysis</t>
        </is>
      </c>
      <c r="B673" t="inlineStr">
        <is>
          <t>B62</t>
        </is>
      </c>
      <c r="C673" t="n">
        <v>62</v>
      </c>
      <c r="D673" t="n">
        <v>2</v>
      </c>
      <c r="E673" t="inlineStr">
        <is>
          <t>Output</t>
        </is>
      </c>
      <c r="F673" t="inlineStr">
        <is>
          <t>'=IFERROR(MAX((ROW()-ROW(Data[[#Headers],[RATE]]))*0.0025+0.0175,0.0025), "")</t>
        </is>
      </c>
      <c r="G673" t="n">
        <v>0.15</v>
      </c>
      <c r="H673" t="inlineStr"/>
      <c r="I673" t="inlineStr">
        <is>
          <t>0.00%</t>
        </is>
      </c>
      <c r="J673" t="b">
        <v>0</v>
      </c>
      <c r="K673" t="b">
        <v>0</v>
      </c>
      <c r="L673" t="n">
        <v>11</v>
      </c>
      <c r="M673" t="inlineStr">
        <is>
          <t>Values must be of type &lt;class 'str'&gt;</t>
        </is>
      </c>
      <c r="N673" t="inlineStr">
        <is>
          <t>00000000</t>
        </is>
      </c>
      <c r="O673" t="inlineStr">
        <is>
          <t>center</t>
        </is>
      </c>
      <c r="P673" t="inlineStr">
        <is>
          <t>center</t>
        </is>
      </c>
      <c r="R673" t="b">
        <v>1</v>
      </c>
      <c r="S673" t="inlineStr">
        <is>
          <t>G000001</t>
        </is>
      </c>
      <c r="T673" t="inlineStr">
        <is>
          <t>Vertical</t>
        </is>
      </c>
      <c r="U673" t="n">
        <v>57</v>
      </c>
      <c r="V673" t="b">
        <v>1</v>
      </c>
      <c r="W673" t="inlineStr">
        <is>
          <t>Loan analysis!B10:B66</t>
        </is>
      </c>
      <c r="X673">
        <f>IFERROR(MAX((ROW()-ROW(Data[[#Headers],[RATE]]))*0.0025+0.0175,0.0025), "")</f>
        <v/>
      </c>
    </row>
    <row r="674">
      <c r="A674" t="inlineStr">
        <is>
          <t>Loan analysis</t>
        </is>
      </c>
      <c r="B674" t="inlineStr">
        <is>
          <t>C62</t>
        </is>
      </c>
      <c r="C674" t="n">
        <v>62</v>
      </c>
      <c r="D674" t="n">
        <v>3</v>
      </c>
      <c r="E674" t="inlineStr">
        <is>
          <t>Output</t>
        </is>
      </c>
      <c r="F674" t="inlineStr">
        <is>
          <t>'=IFERROR(PMT(INDEX(Data[],ROW()-ROW(Data[[#Headers],[3]]),1)/12,Data[[#Headers],[3]]*12,-LoanAmount,0,IF(PaymentsDue="End of Period",0,1)), "")</t>
        </is>
      </c>
      <c r="G674" t="n">
        <v>342.3736148562384</v>
      </c>
      <c r="H674" t="inlineStr"/>
      <c r="I674" t="inlineStr">
        <is>
          <t>"$"#,##0.00_);[Red]\("$"#,##0.00\)</t>
        </is>
      </c>
      <c r="J674" t="b">
        <v>0</v>
      </c>
      <c r="K674" t="b">
        <v>0</v>
      </c>
      <c r="L674" t="n">
        <v>11</v>
      </c>
      <c r="M674" t="inlineStr">
        <is>
          <t>Values must be of type &lt;class 'str'&gt;</t>
        </is>
      </c>
      <c r="N674" t="inlineStr">
        <is>
          <t>00000000</t>
        </is>
      </c>
      <c r="O674" t="inlineStr">
        <is>
          <t>center</t>
        </is>
      </c>
      <c r="P674" t="inlineStr">
        <is>
          <t>center</t>
        </is>
      </c>
      <c r="R674" t="b">
        <v>1</v>
      </c>
      <c r="S674" t="inlineStr">
        <is>
          <t>G000002</t>
        </is>
      </c>
      <c r="T674" t="inlineStr">
        <is>
          <t>Vertical</t>
        </is>
      </c>
      <c r="U674" t="n">
        <v>57</v>
      </c>
      <c r="V674" t="b">
        <v>1</v>
      </c>
      <c r="W674" t="inlineStr">
        <is>
          <t>Loan analysis!C10:C66</t>
        </is>
      </c>
      <c r="X674">
        <f>IFERROR(PMT(INDEX(Data[],ROW()-ROW(Data[[#Headers],[3]]),1)/12,Data[[#Headers],[3]]*12,-LoanAmount,0,IF(PaymentsDue="End of Period",0,1)), "")</f>
        <v/>
      </c>
    </row>
    <row r="675">
      <c r="A675" t="inlineStr">
        <is>
          <t>Loan analysis</t>
        </is>
      </c>
      <c r="B675" t="inlineStr">
        <is>
          <t>D62</t>
        </is>
      </c>
      <c r="C675" t="n">
        <v>62</v>
      </c>
      <c r="D675" t="n">
        <v>4</v>
      </c>
      <c r="E675" t="inlineStr">
        <is>
          <t>Output</t>
        </is>
      </c>
      <c r="F675" t="inlineStr">
        <is>
          <t>'=IFERROR(PMT(INDEX(Data[],ROW()-ROW(Data[[#Headers],[5]]),1)/12,Data[[#Headers],[5]]*12,-LoanAmount,0,IF(PaymentsDue="End of Period",0,1)), "")</t>
        </is>
      </c>
      <c r="G675" t="n">
        <v>234.9622724578641</v>
      </c>
      <c r="H675" t="inlineStr"/>
      <c r="I675" t="inlineStr">
        <is>
          <t>"$"#,##0.00_);[Red]\("$"#,##0.00\)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00000000</t>
        </is>
      </c>
      <c r="O675" t="inlineStr">
        <is>
          <t>center</t>
        </is>
      </c>
      <c r="P675" t="inlineStr">
        <is>
          <t>center</t>
        </is>
      </c>
      <c r="R675" t="b">
        <v>1</v>
      </c>
      <c r="S675" t="inlineStr">
        <is>
          <t>G000003</t>
        </is>
      </c>
      <c r="T675" t="inlineStr">
        <is>
          <t>Vertical</t>
        </is>
      </c>
      <c r="U675" t="n">
        <v>57</v>
      </c>
      <c r="V675" t="b">
        <v>1</v>
      </c>
      <c r="W675" t="inlineStr">
        <is>
          <t>Loan analysis!D10:D66</t>
        </is>
      </c>
      <c r="X675">
        <f>IFERROR(PMT(INDEX(Data[],ROW()-ROW(Data[[#Headers],[5]]),1)/12,Data[[#Headers],[5]]*12,-LoanAmount,0,IF(PaymentsDue="End of Period",0,1)), "")</f>
        <v/>
      </c>
    </row>
    <row r="676">
      <c r="A676" t="inlineStr">
        <is>
          <t>Loan analysis</t>
        </is>
      </c>
      <c r="B676" t="inlineStr">
        <is>
          <t>E62</t>
        </is>
      </c>
      <c r="C676" t="n">
        <v>62</v>
      </c>
      <c r="D676" t="n">
        <v>5</v>
      </c>
      <c r="E676" t="inlineStr">
        <is>
          <t>Output</t>
        </is>
      </c>
      <c r="F676" t="inlineStr">
        <is>
          <t>'=IFERROR(PMT(INDEX(Data[],ROW()-ROW(Data[[#Headers],[10]]),1)/12,Data[[#Headers],[10]]*12,-LoanAmount,0,IF(PaymentsDue="End of Period",0,1)), "")</t>
        </is>
      </c>
      <c r="G676" t="n">
        <v>159.3431674808055</v>
      </c>
      <c r="H676" t="inlineStr"/>
      <c r="I676" t="inlineStr">
        <is>
          <t>"$"#,##0.00_);[Red]\("$"#,##0.00\)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00000000</t>
        </is>
      </c>
      <c r="O676" t="inlineStr">
        <is>
          <t>center</t>
        </is>
      </c>
      <c r="P676" t="inlineStr">
        <is>
          <t>center</t>
        </is>
      </c>
      <c r="R676" t="b">
        <v>1</v>
      </c>
      <c r="S676" t="inlineStr">
        <is>
          <t>G000004</t>
        </is>
      </c>
      <c r="T676" t="inlineStr">
        <is>
          <t>Vertical</t>
        </is>
      </c>
      <c r="U676" t="n">
        <v>57</v>
      </c>
      <c r="V676" t="b">
        <v>1</v>
      </c>
      <c r="W676" t="inlineStr">
        <is>
          <t>Loan analysis!E10:E66</t>
        </is>
      </c>
      <c r="X676">
        <f>IFERROR(PMT(INDEX(Data[],ROW()-ROW(Data[[#Headers],[10]]),1)/12,Data[[#Headers],[10]]*12,-LoanAmount,0,IF(PaymentsDue="End of Period",0,1)), "")</f>
        <v/>
      </c>
    </row>
    <row r="677">
      <c r="A677" t="inlineStr">
        <is>
          <t>Loan analysis</t>
        </is>
      </c>
      <c r="B677" t="inlineStr">
        <is>
          <t>F62</t>
        </is>
      </c>
      <c r="C677" t="n">
        <v>62</v>
      </c>
      <c r="D677" t="n">
        <v>6</v>
      </c>
      <c r="E677" t="inlineStr">
        <is>
          <t>Output</t>
        </is>
      </c>
      <c r="F677" t="inlineStr">
        <is>
          <t>'=IFERROR(PMT(INDEX(Data[],ROW()-ROW(Data[[#Headers],[12]]),1)/12,Data[[#Headers],[12]]*12,-LoanAmount,0,IF(PaymentsDue="End of Period",0,1)), "")</t>
        </is>
      </c>
      <c r="G677" t="n">
        <v>148.2347423433294</v>
      </c>
      <c r="H677" t="inlineStr"/>
      <c r="I677" t="inlineStr">
        <is>
          <t>"$"#,##0.00_);[Red]\("$"#,##0.00\)</t>
        </is>
      </c>
      <c r="J677" t="b">
        <v>0</v>
      </c>
      <c r="K677" t="b">
        <v>0</v>
      </c>
      <c r="L677" t="n">
        <v>11</v>
      </c>
      <c r="M677" t="inlineStr">
        <is>
          <t>Values must be of type &lt;class 'str'&gt;</t>
        </is>
      </c>
      <c r="N677" t="inlineStr">
        <is>
          <t>00000000</t>
        </is>
      </c>
      <c r="O677" t="inlineStr">
        <is>
          <t>center</t>
        </is>
      </c>
      <c r="P677" t="inlineStr">
        <is>
          <t>center</t>
        </is>
      </c>
      <c r="R677" t="b">
        <v>1</v>
      </c>
      <c r="S677" t="inlineStr">
        <is>
          <t>G000005</t>
        </is>
      </c>
      <c r="T677" t="inlineStr">
        <is>
          <t>Vertical</t>
        </is>
      </c>
      <c r="U677" t="n">
        <v>57</v>
      </c>
      <c r="V677" t="b">
        <v>1</v>
      </c>
      <c r="W677" t="inlineStr">
        <is>
          <t>Loan analysis!F10:F66</t>
        </is>
      </c>
      <c r="X677">
        <f>IFERROR(PMT(INDEX(Data[],ROW()-ROW(Data[[#Headers],[12]]),1)/12,Data[[#Headers],[12]]*12,-LoanAmount,0,IF(PaymentsDue="End of Period",0,1)), "")</f>
        <v/>
      </c>
    </row>
    <row r="678">
      <c r="A678" t="inlineStr">
        <is>
          <t>Loan analysis</t>
        </is>
      </c>
      <c r="B678" t="inlineStr">
        <is>
          <t>G62</t>
        </is>
      </c>
      <c r="C678" t="n">
        <v>62</v>
      </c>
      <c r="D678" t="n">
        <v>7</v>
      </c>
      <c r="E678" t="inlineStr">
        <is>
          <t>Output</t>
        </is>
      </c>
      <c r="F678" t="inlineStr">
        <is>
          <t>'=IFERROR(PMT(INDEX(Data[],ROW()-ROW(Data[[#Headers],[15]]),1)/12,Data[[#Headers],[15]]*12,-LoanAmount,0,IF(PaymentsDue="End of Period",0,1)), "")</t>
        </is>
      </c>
      <c r="G678" t="n">
        <v>138.2308265426739</v>
      </c>
      <c r="H678" t="inlineStr"/>
      <c r="I678" t="inlineStr">
        <is>
          <t>"$"#,##0.00_);[Red]\("$"#,##0.00\)</t>
        </is>
      </c>
      <c r="J678" t="b">
        <v>0</v>
      </c>
      <c r="K678" t="b">
        <v>0</v>
      </c>
      <c r="L678" t="n">
        <v>11</v>
      </c>
      <c r="M678" t="inlineStr">
        <is>
          <t>Values must be of type &lt;class 'str'&gt;</t>
        </is>
      </c>
      <c r="N678" t="inlineStr">
        <is>
          <t>00000000</t>
        </is>
      </c>
      <c r="O678" t="inlineStr">
        <is>
          <t>center</t>
        </is>
      </c>
      <c r="P678" t="inlineStr">
        <is>
          <t>center</t>
        </is>
      </c>
      <c r="R678" t="b">
        <v>1</v>
      </c>
      <c r="S678" t="inlineStr">
        <is>
          <t>G000006</t>
        </is>
      </c>
      <c r="T678" t="inlineStr">
        <is>
          <t>Vertical</t>
        </is>
      </c>
      <c r="U678" t="n">
        <v>57</v>
      </c>
      <c r="V678" t="b">
        <v>1</v>
      </c>
      <c r="W678" t="inlineStr">
        <is>
          <t>Loan analysis!G10:G66</t>
        </is>
      </c>
      <c r="X678">
        <f>IFERROR(PMT(INDEX(Data[],ROW()-ROW(Data[[#Headers],[15]]),1)/12,Data[[#Headers],[15]]*12,-LoanAmount,0,IF(PaymentsDue="End of Period",0,1)), "")</f>
        <v/>
      </c>
    </row>
    <row r="679">
      <c r="A679" t="inlineStr">
        <is>
          <t>Loan analysis</t>
        </is>
      </c>
      <c r="B679" t="inlineStr">
        <is>
          <t>H62</t>
        </is>
      </c>
      <c r="C679" t="n">
        <v>62</v>
      </c>
      <c r="D679" t="n">
        <v>8</v>
      </c>
      <c r="E679" t="inlineStr">
        <is>
          <t>Output</t>
        </is>
      </c>
      <c r="F679" t="inlineStr">
        <is>
          <t>'=IFERROR(PMT(INDEX(Data[],ROW()-ROW(Data[[#Headers],[20]]),1)/12,Data[[#Headers],[20]]*12,-LoanAmount,0,IF(PaymentsDue="End of Period",0,1)), "")</t>
        </is>
      </c>
      <c r="G679" t="n">
        <v>130.0532921073222</v>
      </c>
      <c r="H679" t="inlineStr"/>
      <c r="I679" t="inlineStr">
        <is>
          <t>"$"#,##0.00_);[Red]\("$"#,##0.00\)</t>
        </is>
      </c>
      <c r="J679" t="b">
        <v>0</v>
      </c>
      <c r="K679" t="b">
        <v>0</v>
      </c>
      <c r="L679" t="n">
        <v>11</v>
      </c>
      <c r="M679" t="inlineStr">
        <is>
          <t>Values must be of type &lt;class 'str'&gt;</t>
        </is>
      </c>
      <c r="N679" t="inlineStr">
        <is>
          <t>00000000</t>
        </is>
      </c>
      <c r="O679" t="inlineStr">
        <is>
          <t>center</t>
        </is>
      </c>
      <c r="P679" t="inlineStr">
        <is>
          <t>center</t>
        </is>
      </c>
      <c r="R679" t="b">
        <v>1</v>
      </c>
      <c r="S679" t="inlineStr">
        <is>
          <t>G000007</t>
        </is>
      </c>
      <c r="T679" t="inlineStr">
        <is>
          <t>Vertical</t>
        </is>
      </c>
      <c r="U679" t="n">
        <v>57</v>
      </c>
      <c r="V679" t="b">
        <v>1</v>
      </c>
      <c r="W679" t="inlineStr">
        <is>
          <t>Loan analysis!H10:H66</t>
        </is>
      </c>
      <c r="X679">
        <f>IFERROR(PMT(INDEX(Data[],ROW()-ROW(Data[[#Headers],[20]]),1)/12,Data[[#Headers],[20]]*12,-LoanAmount,0,IF(PaymentsDue="End of Period",0,1)), "")</f>
        <v/>
      </c>
    </row>
    <row r="680">
      <c r="A680" t="inlineStr">
        <is>
          <t>Loan analysis</t>
        </is>
      </c>
      <c r="B680" t="inlineStr">
        <is>
          <t>I62</t>
        </is>
      </c>
      <c r="C680" t="n">
        <v>62</v>
      </c>
      <c r="D680" t="n">
        <v>9</v>
      </c>
      <c r="E680" t="inlineStr">
        <is>
          <t>Output</t>
        </is>
      </c>
      <c r="F680" t="inlineStr">
        <is>
          <t>'=IFERROR(PMT(INDEX(Data[],ROW()-ROW(Data[[#Headers],[25]]),1)/12,Data[[#Headers],[25]]*12,-LoanAmount,0,IF(PaymentsDue="End of Period",0,1)), "")</t>
        </is>
      </c>
      <c r="G680" t="n">
        <v>126.501788745969</v>
      </c>
      <c r="H680" t="inlineStr"/>
      <c r="I680" t="inlineStr">
        <is>
          <t>"$"#,##0.00_);[Red]\("$"#,##0.00\)</t>
        </is>
      </c>
      <c r="J680" t="b">
        <v>0</v>
      </c>
      <c r="K680" t="b">
        <v>0</v>
      </c>
      <c r="L680" t="n">
        <v>11</v>
      </c>
      <c r="M680" t="inlineStr">
        <is>
          <t>Values must be of type &lt;class 'str'&gt;</t>
        </is>
      </c>
      <c r="N680" t="inlineStr">
        <is>
          <t>00000000</t>
        </is>
      </c>
      <c r="O680" t="inlineStr">
        <is>
          <t>center</t>
        </is>
      </c>
      <c r="P680" t="inlineStr">
        <is>
          <t>center</t>
        </is>
      </c>
      <c r="R680" t="b">
        <v>1</v>
      </c>
      <c r="S680" t="inlineStr">
        <is>
          <t>G000008</t>
        </is>
      </c>
      <c r="T680" t="inlineStr">
        <is>
          <t>Vertical</t>
        </is>
      </c>
      <c r="U680" t="n">
        <v>57</v>
      </c>
      <c r="V680" t="b">
        <v>1</v>
      </c>
      <c r="W680" t="inlineStr">
        <is>
          <t>Loan analysis!I10:I66</t>
        </is>
      </c>
      <c r="X680">
        <f>IFERROR(PMT(INDEX(Data[],ROW()-ROW(Data[[#Headers],[25]]),1)/12,Data[[#Headers],[25]]*12,-LoanAmount,0,IF(PaymentsDue="End of Period",0,1)), "")</f>
        <v/>
      </c>
    </row>
    <row r="681">
      <c r="A681" t="inlineStr">
        <is>
          <t>Loan analysis</t>
        </is>
      </c>
      <c r="B681" t="inlineStr">
        <is>
          <t>J62</t>
        </is>
      </c>
      <c r="C681" t="n">
        <v>62</v>
      </c>
      <c r="D681" t="n">
        <v>10</v>
      </c>
      <c r="E681" t="inlineStr">
        <is>
          <t>Output</t>
        </is>
      </c>
      <c r="F681" t="inlineStr">
        <is>
          <t>'=IFERROR(PMT(INDEX(Data[],ROW()-ROW(Data[[#Headers],[30]]),1)/12,Data[[#Headers],[30]]*12,-LoanAmount,0,IF(PaymentsDue="End of Period",0,1)), "")</t>
        </is>
      </c>
      <c r="G681" t="n">
        <v>124.8833601545722</v>
      </c>
      <c r="H681" t="inlineStr"/>
      <c r="I681" t="inlineStr">
        <is>
          <t>"$"#,##0.00_);[Red]\("$"#,##0.00\)</t>
        </is>
      </c>
      <c r="J681" t="b">
        <v>0</v>
      </c>
      <c r="K681" t="b">
        <v>0</v>
      </c>
      <c r="L681" t="n">
        <v>11</v>
      </c>
      <c r="M681" t="inlineStr">
        <is>
          <t>Values must be of type &lt;class 'str'&gt;</t>
        </is>
      </c>
      <c r="N681" t="inlineStr">
        <is>
          <t>00000000</t>
        </is>
      </c>
      <c r="O681" t="inlineStr">
        <is>
          <t>center</t>
        </is>
      </c>
      <c r="P681" t="inlineStr">
        <is>
          <t>center</t>
        </is>
      </c>
      <c r="R681" t="b">
        <v>1</v>
      </c>
      <c r="S681" t="inlineStr">
        <is>
          <t>G000009</t>
        </is>
      </c>
      <c r="T681" t="inlineStr">
        <is>
          <t>Vertical</t>
        </is>
      </c>
      <c r="U681" t="n">
        <v>57</v>
      </c>
      <c r="V681" t="b">
        <v>1</v>
      </c>
      <c r="W681" t="inlineStr">
        <is>
          <t>Loan analysis!J10:J66</t>
        </is>
      </c>
      <c r="X681">
        <f>IFERROR(PMT(INDEX(Data[],ROW()-ROW(Data[[#Headers],[30]]),1)/12,Data[[#Headers],[30]]*12,-LoanAmount,0,IF(PaymentsDue="End of Period",0,1)), "")</f>
        <v/>
      </c>
    </row>
    <row r="682">
      <c r="A682" t="inlineStr">
        <is>
          <t>Loan analysis</t>
        </is>
      </c>
      <c r="B682" t="inlineStr">
        <is>
          <t>K62</t>
        </is>
      </c>
      <c r="C682" t="n">
        <v>62</v>
      </c>
      <c r="D682" t="n">
        <v>11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11</v>
      </c>
      <c r="M682" t="inlineStr">
        <is>
          <t>Values must be of type &lt;class 'str'&gt;</t>
        </is>
      </c>
      <c r="N682" t="inlineStr">
        <is>
          <t>Values must be of type &lt;class 'str'&gt;</t>
        </is>
      </c>
      <c r="O682" t="n">
        <v/>
      </c>
      <c r="P682" t="n">
        <v/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</row>
    <row r="683">
      <c r="A683" t="inlineStr">
        <is>
          <t>Loan analysis</t>
        </is>
      </c>
      <c r="B683" t="inlineStr">
        <is>
          <t>A63</t>
        </is>
      </c>
      <c r="C683" t="n">
        <v>63</v>
      </c>
      <c r="D683" t="n">
        <v>1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11</v>
      </c>
      <c r="M683" t="inlineStr">
        <is>
          <t>Values must be of type &lt;class 'str'&gt;</t>
        </is>
      </c>
      <c r="N683" t="inlineStr">
        <is>
          <t>Values must be of type &lt;class 'str'&gt;</t>
        </is>
      </c>
      <c r="O683" t="n">
        <v/>
      </c>
      <c r="P683" t="n">
        <v/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</row>
    <row r="684">
      <c r="A684" t="inlineStr">
        <is>
          <t>Loan analysis</t>
        </is>
      </c>
      <c r="B684" t="inlineStr">
        <is>
          <t>B63</t>
        </is>
      </c>
      <c r="C684" t="n">
        <v>63</v>
      </c>
      <c r="D684" t="n">
        <v>2</v>
      </c>
      <c r="E684" t="inlineStr">
        <is>
          <t>Output</t>
        </is>
      </c>
      <c r="F684" t="inlineStr">
        <is>
          <t>'=IFERROR(MAX((ROW()-ROW(Data[[#Headers],[RATE]]))*0.0025+0.0175,0.0025), "")</t>
        </is>
      </c>
      <c r="G684" t="n">
        <v>0.1525</v>
      </c>
      <c r="H684" t="inlineStr"/>
      <c r="I684" t="inlineStr">
        <is>
          <t>0.00%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00000000</t>
        </is>
      </c>
      <c r="O684" t="inlineStr">
        <is>
          <t>center</t>
        </is>
      </c>
      <c r="P684" t="inlineStr">
        <is>
          <t>center</t>
        </is>
      </c>
      <c r="R684" t="b">
        <v>1</v>
      </c>
      <c r="S684" t="inlineStr">
        <is>
          <t>G000001</t>
        </is>
      </c>
      <c r="T684" t="inlineStr">
        <is>
          <t>Vertical</t>
        </is>
      </c>
      <c r="U684" t="n">
        <v>57</v>
      </c>
      <c r="V684" t="b">
        <v>1</v>
      </c>
      <c r="W684" t="inlineStr">
        <is>
          <t>Loan analysis!B10:B66</t>
        </is>
      </c>
      <c r="X684">
        <f>IFERROR(MAX((ROW()-ROW(Data[[#Headers],[RATE]]))*0.0025+0.0175,0.0025), "")</f>
        <v/>
      </c>
    </row>
    <row r="685">
      <c r="A685" t="inlineStr">
        <is>
          <t>Loan analysis</t>
        </is>
      </c>
      <c r="B685" t="inlineStr">
        <is>
          <t>C63</t>
        </is>
      </c>
      <c r="C685" t="n">
        <v>63</v>
      </c>
      <c r="D685" t="n">
        <v>3</v>
      </c>
      <c r="E685" t="inlineStr">
        <is>
          <t>Output</t>
        </is>
      </c>
      <c r="F685" t="inlineStr">
        <is>
          <t>'=IFERROR(PMT(INDEX(Data[],ROW()-ROW(Data[[#Headers],[3]]),1)/12,Data[[#Headers],[3]]*12,-LoanAmount,0,IF(PaymentsDue="End of Period",0,1)), "")</t>
        </is>
      </c>
      <c r="G685" t="n">
        <v>343.5133153097413</v>
      </c>
      <c r="H685" t="inlineStr"/>
      <c r="I685" t="inlineStr">
        <is>
          <t>"$"#,##0.00_);[Red]\("$"#,##0.00\)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00000000</t>
        </is>
      </c>
      <c r="O685" t="inlineStr">
        <is>
          <t>center</t>
        </is>
      </c>
      <c r="P685" t="inlineStr">
        <is>
          <t>center</t>
        </is>
      </c>
      <c r="R685" t="b">
        <v>1</v>
      </c>
      <c r="S685" t="inlineStr">
        <is>
          <t>G000002</t>
        </is>
      </c>
      <c r="T685" t="inlineStr">
        <is>
          <t>Vertical</t>
        </is>
      </c>
      <c r="U685" t="n">
        <v>57</v>
      </c>
      <c r="V685" t="b">
        <v>1</v>
      </c>
      <c r="W685" t="inlineStr">
        <is>
          <t>Loan analysis!C10:C66</t>
        </is>
      </c>
      <c r="X685">
        <f>IFERROR(PMT(INDEX(Data[],ROW()-ROW(Data[[#Headers],[3]]),1)/12,Data[[#Headers],[3]]*12,-LoanAmount,0,IF(PaymentsDue="End of Period",0,1)), "")</f>
        <v/>
      </c>
    </row>
    <row r="686">
      <c r="A686" t="inlineStr">
        <is>
          <t>Loan analysis</t>
        </is>
      </c>
      <c r="B686" t="inlineStr">
        <is>
          <t>D63</t>
        </is>
      </c>
      <c r="C686" t="n">
        <v>63</v>
      </c>
      <c r="D686" t="n">
        <v>4</v>
      </c>
      <c r="E686" t="inlineStr">
        <is>
          <t>Output</t>
        </is>
      </c>
      <c r="F686" t="inlineStr">
        <is>
          <t>'=IFERROR(PMT(INDEX(Data[],ROW()-ROW(Data[[#Headers],[5]]),1)/12,Data[[#Headers],[5]]*12,-LoanAmount,0,IF(PaymentsDue="End of Period",0,1)), "")</t>
        </is>
      </c>
      <c r="G686" t="n">
        <v>236.211737649789</v>
      </c>
      <c r="H686" t="inlineStr"/>
      <c r="I686" t="inlineStr">
        <is>
          <t>"$"#,##0.00_);[Red]\("$"#,##0.00\)</t>
        </is>
      </c>
      <c r="J686" t="b">
        <v>0</v>
      </c>
      <c r="K686" t="b">
        <v>0</v>
      </c>
      <c r="L686" t="n">
        <v>11</v>
      </c>
      <c r="M686" t="inlineStr">
        <is>
          <t>Values must be of type &lt;class 'str'&gt;</t>
        </is>
      </c>
      <c r="N686" t="inlineStr">
        <is>
          <t>00000000</t>
        </is>
      </c>
      <c r="O686" t="inlineStr">
        <is>
          <t>center</t>
        </is>
      </c>
      <c r="P686" t="inlineStr">
        <is>
          <t>center</t>
        </is>
      </c>
      <c r="R686" t="b">
        <v>1</v>
      </c>
      <c r="S686" t="inlineStr">
        <is>
          <t>G000003</t>
        </is>
      </c>
      <c r="T686" t="inlineStr">
        <is>
          <t>Vertical</t>
        </is>
      </c>
      <c r="U686" t="n">
        <v>57</v>
      </c>
      <c r="V686" t="b">
        <v>1</v>
      </c>
      <c r="W686" t="inlineStr">
        <is>
          <t>Loan analysis!D10:D66</t>
        </is>
      </c>
      <c r="X686">
        <f>IFERROR(PMT(INDEX(Data[],ROW()-ROW(Data[[#Headers],[5]]),1)/12,Data[[#Headers],[5]]*12,-LoanAmount,0,IF(PaymentsDue="End of Period",0,1)), "")</f>
        <v/>
      </c>
    </row>
    <row r="687">
      <c r="A687" t="inlineStr">
        <is>
          <t>Loan analysis</t>
        </is>
      </c>
      <c r="B687" t="inlineStr">
        <is>
          <t>E63</t>
        </is>
      </c>
      <c r="C687" t="n">
        <v>63</v>
      </c>
      <c r="D687" t="n">
        <v>5</v>
      </c>
      <c r="E687" t="inlineStr">
        <is>
          <t>Output</t>
        </is>
      </c>
      <c r="F687" t="inlineStr">
        <is>
          <t>'=IFERROR(PMT(INDEX(Data[],ROW()-ROW(Data[[#Headers],[10]]),1)/12,Data[[#Headers],[10]]*12,-LoanAmount,0,IF(PaymentsDue="End of Period",0,1)), "")</t>
        </is>
      </c>
      <c r="G687" t="n">
        <v>160.825521378828</v>
      </c>
      <c r="H687" t="inlineStr"/>
      <c r="I687" t="inlineStr">
        <is>
          <t>"$"#,##0.00_);[Red]\("$"#,##0.00\)</t>
        </is>
      </c>
      <c r="J687" t="b">
        <v>0</v>
      </c>
      <c r="K687" t="b">
        <v>0</v>
      </c>
      <c r="L687" t="n">
        <v>11</v>
      </c>
      <c r="M687" t="inlineStr">
        <is>
          <t>Values must be of type &lt;class 'str'&gt;</t>
        </is>
      </c>
      <c r="N687" t="inlineStr">
        <is>
          <t>00000000</t>
        </is>
      </c>
      <c r="O687" t="inlineStr">
        <is>
          <t>center</t>
        </is>
      </c>
      <c r="P687" t="inlineStr">
        <is>
          <t>center</t>
        </is>
      </c>
      <c r="R687" t="b">
        <v>1</v>
      </c>
      <c r="S687" t="inlineStr">
        <is>
          <t>G000004</t>
        </is>
      </c>
      <c r="T687" t="inlineStr">
        <is>
          <t>Vertical</t>
        </is>
      </c>
      <c r="U687" t="n">
        <v>57</v>
      </c>
      <c r="V687" t="b">
        <v>1</v>
      </c>
      <c r="W687" t="inlineStr">
        <is>
          <t>Loan analysis!E10:E66</t>
        </is>
      </c>
      <c r="X687">
        <f>IFERROR(PMT(INDEX(Data[],ROW()-ROW(Data[[#Headers],[10]]),1)/12,Data[[#Headers],[10]]*12,-LoanAmount,0,IF(PaymentsDue="End of Period",0,1)), "")</f>
        <v/>
      </c>
    </row>
    <row r="688">
      <c r="A688" t="inlineStr">
        <is>
          <t>Loan analysis</t>
        </is>
      </c>
      <c r="B688" t="inlineStr">
        <is>
          <t>F63</t>
        </is>
      </c>
      <c r="C688" t="n">
        <v>63</v>
      </c>
      <c r="D688" t="n">
        <v>6</v>
      </c>
      <c r="E688" t="inlineStr">
        <is>
          <t>Output</t>
        </is>
      </c>
      <c r="F688" t="inlineStr">
        <is>
          <t>'=IFERROR(PMT(INDEX(Data[],ROW()-ROW(Data[[#Headers],[12]]),1)/12,Data[[#Headers],[12]]*12,-LoanAmount,0,IF(PaymentsDue="End of Period",0,1)), "")</t>
        </is>
      </c>
      <c r="G688" t="n">
        <v>149.796677826521</v>
      </c>
      <c r="H688" t="inlineStr"/>
      <c r="I688" t="inlineStr">
        <is>
          <t>"$"#,##0.00_);[Red]\("$"#,##0.00\)</t>
        </is>
      </c>
      <c r="J688" t="b">
        <v>0</v>
      </c>
      <c r="K688" t="b">
        <v>0</v>
      </c>
      <c r="L688" t="n">
        <v>11</v>
      </c>
      <c r="M688" t="inlineStr">
        <is>
          <t>Values must be of type &lt;class 'str'&gt;</t>
        </is>
      </c>
      <c r="N688" t="inlineStr">
        <is>
          <t>00000000</t>
        </is>
      </c>
      <c r="O688" t="inlineStr">
        <is>
          <t>center</t>
        </is>
      </c>
      <c r="P688" t="inlineStr">
        <is>
          <t>center</t>
        </is>
      </c>
      <c r="R688" t="b">
        <v>1</v>
      </c>
      <c r="S688" t="inlineStr">
        <is>
          <t>G000005</t>
        </is>
      </c>
      <c r="T688" t="inlineStr">
        <is>
          <t>Vertical</t>
        </is>
      </c>
      <c r="U688" t="n">
        <v>57</v>
      </c>
      <c r="V688" t="b">
        <v>1</v>
      </c>
      <c r="W688" t="inlineStr">
        <is>
          <t>Loan analysis!F10:F66</t>
        </is>
      </c>
      <c r="X688">
        <f>IFERROR(PMT(INDEX(Data[],ROW()-ROW(Data[[#Headers],[12]]),1)/12,Data[[#Headers],[12]]*12,-LoanAmount,0,IF(PaymentsDue="End of Period",0,1)), "")</f>
        <v/>
      </c>
    </row>
    <row r="689">
      <c r="A689" t="inlineStr">
        <is>
          <t>Loan analysis</t>
        </is>
      </c>
      <c r="B689" t="inlineStr">
        <is>
          <t>G63</t>
        </is>
      </c>
      <c r="C689" t="n">
        <v>63</v>
      </c>
      <c r="D689" t="n">
        <v>7</v>
      </c>
      <c r="E689" t="inlineStr">
        <is>
          <t>Output</t>
        </is>
      </c>
      <c r="F689" t="inlineStr">
        <is>
          <t>'=IFERROR(PMT(INDEX(Data[],ROW()-ROW(Data[[#Headers],[15]]),1)/12,Data[[#Headers],[15]]*12,-LoanAmount,0,IF(PaymentsDue="End of Period",0,1)), "")</t>
        </is>
      </c>
      <c r="G689" t="n">
        <v>139.8971129685371</v>
      </c>
      <c r="H689" t="inlineStr"/>
      <c r="I689" t="inlineStr">
        <is>
          <t>"$"#,##0.00_);[Red]\("$"#,##0.00\)</t>
        </is>
      </c>
      <c r="J689" t="b">
        <v>0</v>
      </c>
      <c r="K689" t="b">
        <v>0</v>
      </c>
      <c r="L689" t="n">
        <v>11</v>
      </c>
      <c r="M689" t="inlineStr">
        <is>
          <t>Values must be of type &lt;class 'str'&gt;</t>
        </is>
      </c>
      <c r="N689" t="inlineStr">
        <is>
          <t>00000000</t>
        </is>
      </c>
      <c r="O689" t="inlineStr">
        <is>
          <t>center</t>
        </is>
      </c>
      <c r="P689" t="inlineStr">
        <is>
          <t>center</t>
        </is>
      </c>
      <c r="R689" t="b">
        <v>1</v>
      </c>
      <c r="S689" t="inlineStr">
        <is>
          <t>G000006</t>
        </is>
      </c>
      <c r="T689" t="inlineStr">
        <is>
          <t>Vertical</t>
        </is>
      </c>
      <c r="U689" t="n">
        <v>57</v>
      </c>
      <c r="V689" t="b">
        <v>1</v>
      </c>
      <c r="W689" t="inlineStr">
        <is>
          <t>Loan analysis!G10:G66</t>
        </is>
      </c>
      <c r="X689">
        <f>IFERROR(PMT(INDEX(Data[],ROW()-ROW(Data[[#Headers],[15]]),1)/12,Data[[#Headers],[15]]*12,-LoanAmount,0,IF(PaymentsDue="End of Period",0,1)), "")</f>
        <v/>
      </c>
    </row>
    <row r="690">
      <c r="A690" t="inlineStr">
        <is>
          <t>Loan analysis</t>
        </is>
      </c>
      <c r="B690" t="inlineStr">
        <is>
          <t>H63</t>
        </is>
      </c>
      <c r="C690" t="n">
        <v>63</v>
      </c>
      <c r="D690" t="n">
        <v>8</v>
      </c>
      <c r="E690" t="inlineStr">
        <is>
          <t>Output</t>
        </is>
      </c>
      <c r="F690" t="inlineStr">
        <is>
          <t>'=IFERROR(PMT(INDEX(Data[],ROW()-ROW(Data[[#Headers],[20]]),1)/12,Data[[#Headers],[20]]*12,-LoanAmount,0,IF(PaymentsDue="End of Period",0,1)), "")</t>
        </is>
      </c>
      <c r="G690" t="n">
        <v>131.8542207590572</v>
      </c>
      <c r="H690" t="inlineStr"/>
      <c r="I690" t="inlineStr">
        <is>
          <t>"$"#,##0.00_);[Red]\("$"#,##0.00\)</t>
        </is>
      </c>
      <c r="J690" t="b">
        <v>0</v>
      </c>
      <c r="K690" t="b">
        <v>0</v>
      </c>
      <c r="L690" t="n">
        <v>11</v>
      </c>
      <c r="M690" t="inlineStr">
        <is>
          <t>Values must be of type &lt;class 'str'&gt;</t>
        </is>
      </c>
      <c r="N690" t="inlineStr">
        <is>
          <t>00000000</t>
        </is>
      </c>
      <c r="O690" t="inlineStr">
        <is>
          <t>center</t>
        </is>
      </c>
      <c r="P690" t="inlineStr">
        <is>
          <t>center</t>
        </is>
      </c>
      <c r="R690" t="b">
        <v>1</v>
      </c>
      <c r="S690" t="inlineStr">
        <is>
          <t>G000007</t>
        </is>
      </c>
      <c r="T690" t="inlineStr">
        <is>
          <t>Vertical</t>
        </is>
      </c>
      <c r="U690" t="n">
        <v>57</v>
      </c>
      <c r="V690" t="b">
        <v>1</v>
      </c>
      <c r="W690" t="inlineStr">
        <is>
          <t>Loan analysis!H10:H66</t>
        </is>
      </c>
      <c r="X690">
        <f>IFERROR(PMT(INDEX(Data[],ROW()-ROW(Data[[#Headers],[20]]),1)/12,Data[[#Headers],[20]]*12,-LoanAmount,0,IF(PaymentsDue="End of Period",0,1)), "")</f>
        <v/>
      </c>
    </row>
    <row r="691">
      <c r="A691" t="inlineStr">
        <is>
          <t>Loan analysis</t>
        </is>
      </c>
      <c r="B691" t="inlineStr">
        <is>
          <t>I63</t>
        </is>
      </c>
      <c r="C691" t="n">
        <v>63</v>
      </c>
      <c r="D691" t="n">
        <v>9</v>
      </c>
      <c r="E691" t="inlineStr">
        <is>
          <t>Output</t>
        </is>
      </c>
      <c r="F691" t="inlineStr">
        <is>
          <t>'=IFERROR(PMT(INDEX(Data[],ROW()-ROW(Data[[#Headers],[25]]),1)/12,Data[[#Headers],[25]]*12,-LoanAmount,0,IF(PaymentsDue="End of Period",0,1)), "")</t>
        </is>
      </c>
      <c r="G691" t="n">
        <v>128.3941443327655</v>
      </c>
      <c r="H691" t="inlineStr"/>
      <c r="I691" t="inlineStr">
        <is>
          <t>"$"#,##0.00_);[Red]\("$"#,##0.00\)</t>
        </is>
      </c>
      <c r="J691" t="b">
        <v>0</v>
      </c>
      <c r="K691" t="b">
        <v>0</v>
      </c>
      <c r="L691" t="n">
        <v>11</v>
      </c>
      <c r="M691" t="inlineStr">
        <is>
          <t>Values must be of type &lt;class 'str'&gt;</t>
        </is>
      </c>
      <c r="N691" t="inlineStr">
        <is>
          <t>00000000</t>
        </is>
      </c>
      <c r="O691" t="inlineStr">
        <is>
          <t>center</t>
        </is>
      </c>
      <c r="P691" t="inlineStr">
        <is>
          <t>center</t>
        </is>
      </c>
      <c r="R691" t="b">
        <v>1</v>
      </c>
      <c r="S691" t="inlineStr">
        <is>
          <t>G000008</t>
        </is>
      </c>
      <c r="T691" t="inlineStr">
        <is>
          <t>Vertical</t>
        </is>
      </c>
      <c r="U691" t="n">
        <v>57</v>
      </c>
      <c r="V691" t="b">
        <v>1</v>
      </c>
      <c r="W691" t="inlineStr">
        <is>
          <t>Loan analysis!I10:I66</t>
        </is>
      </c>
      <c r="X691">
        <f>IFERROR(PMT(INDEX(Data[],ROW()-ROW(Data[[#Headers],[25]]),1)/12,Data[[#Headers],[25]]*12,-LoanAmount,0,IF(PaymentsDue="End of Period",0,1)), "")</f>
        <v/>
      </c>
    </row>
    <row r="692">
      <c r="A692" t="inlineStr">
        <is>
          <t>Loan analysis</t>
        </is>
      </c>
      <c r="B692" t="inlineStr">
        <is>
          <t>J63</t>
        </is>
      </c>
      <c r="C692" t="n">
        <v>63</v>
      </c>
      <c r="D692" t="n">
        <v>10</v>
      </c>
      <c r="E692" t="inlineStr">
        <is>
          <t>Output</t>
        </is>
      </c>
      <c r="F692" t="inlineStr">
        <is>
          <t>'=IFERROR(PMT(INDEX(Data[],ROW()-ROW(Data[[#Headers],[30]]),1)/12,Data[[#Headers],[30]]*12,-LoanAmount,0,IF(PaymentsDue="End of Period",0,1)), "")</t>
        </is>
      </c>
      <c r="G692" t="n">
        <v>126.8340016164791</v>
      </c>
      <c r="H692" t="inlineStr"/>
      <c r="I692" t="inlineStr">
        <is>
          <t>"$"#,##0.00_);[Red]\("$"#,##0.00\)</t>
        </is>
      </c>
      <c r="J692" t="b">
        <v>0</v>
      </c>
      <c r="K692" t="b">
        <v>0</v>
      </c>
      <c r="L692" t="n">
        <v>11</v>
      </c>
      <c r="M692" t="inlineStr">
        <is>
          <t>Values must be of type &lt;class 'str'&gt;</t>
        </is>
      </c>
      <c r="N692" t="inlineStr">
        <is>
          <t>00000000</t>
        </is>
      </c>
      <c r="O692" t="inlineStr">
        <is>
          <t>center</t>
        </is>
      </c>
      <c r="P692" t="inlineStr">
        <is>
          <t>center</t>
        </is>
      </c>
      <c r="R692" t="b">
        <v>1</v>
      </c>
      <c r="S692" t="inlineStr">
        <is>
          <t>G000009</t>
        </is>
      </c>
      <c r="T692" t="inlineStr">
        <is>
          <t>Vertical</t>
        </is>
      </c>
      <c r="U692" t="n">
        <v>57</v>
      </c>
      <c r="V692" t="b">
        <v>1</v>
      </c>
      <c r="W692" t="inlineStr">
        <is>
          <t>Loan analysis!J10:J66</t>
        </is>
      </c>
      <c r="X692">
        <f>IFERROR(PMT(INDEX(Data[],ROW()-ROW(Data[[#Headers],[30]]),1)/12,Data[[#Headers],[30]]*12,-LoanAmount,0,IF(PaymentsDue="End of Period",0,1)), "")</f>
        <v/>
      </c>
    </row>
    <row r="693">
      <c r="A693" t="inlineStr">
        <is>
          <t>Loan analysis</t>
        </is>
      </c>
      <c r="B693" t="inlineStr">
        <is>
          <t>K63</t>
        </is>
      </c>
      <c r="C693" t="n">
        <v>63</v>
      </c>
      <c r="D693" t="n">
        <v>11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Values must be of type &lt;class 'str'&gt;</t>
        </is>
      </c>
      <c r="O693" t="n">
        <v/>
      </c>
      <c r="P693" t="n">
        <v/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</row>
    <row r="694">
      <c r="A694" t="inlineStr">
        <is>
          <t>Loan analysis</t>
        </is>
      </c>
      <c r="B694" t="inlineStr">
        <is>
          <t>A64</t>
        </is>
      </c>
      <c r="C694" t="n">
        <v>64</v>
      </c>
      <c r="D694" t="n">
        <v>1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Values must be of type &lt;class 'str'&gt;</t>
        </is>
      </c>
      <c r="O694" t="n">
        <v/>
      </c>
      <c r="P694" t="n">
        <v/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</row>
    <row r="695">
      <c r="A695" t="inlineStr">
        <is>
          <t>Loan analysis</t>
        </is>
      </c>
      <c r="B695" t="inlineStr">
        <is>
          <t>B64</t>
        </is>
      </c>
      <c r="C695" t="n">
        <v>64</v>
      </c>
      <c r="D695" t="n">
        <v>2</v>
      </c>
      <c r="E695" t="inlineStr">
        <is>
          <t>Output</t>
        </is>
      </c>
      <c r="F695" t="inlineStr">
        <is>
          <t>'=IFERROR(MAX((ROW()-ROW(Data[[#Headers],[RATE]]))*0.0025+0.0175,0.0025), "")</t>
        </is>
      </c>
      <c r="G695" t="n">
        <v>0.155</v>
      </c>
      <c r="H695" t="inlineStr"/>
      <c r="I695" t="inlineStr">
        <is>
          <t>0.00%</t>
        </is>
      </c>
      <c r="J695" t="b">
        <v>0</v>
      </c>
      <c r="K695" t="b">
        <v>0</v>
      </c>
      <c r="L695" t="n">
        <v>11</v>
      </c>
      <c r="M695" t="inlineStr">
        <is>
          <t>Values must be of type &lt;class 'str'&gt;</t>
        </is>
      </c>
      <c r="N695" t="inlineStr">
        <is>
          <t>00000000</t>
        </is>
      </c>
      <c r="O695" t="inlineStr">
        <is>
          <t>center</t>
        </is>
      </c>
      <c r="P695" t="inlineStr">
        <is>
          <t>center</t>
        </is>
      </c>
      <c r="R695" t="b">
        <v>1</v>
      </c>
      <c r="S695" t="inlineStr">
        <is>
          <t>G000001</t>
        </is>
      </c>
      <c r="T695" t="inlineStr">
        <is>
          <t>Vertical</t>
        </is>
      </c>
      <c r="U695" t="n">
        <v>57</v>
      </c>
      <c r="V695" t="b">
        <v>1</v>
      </c>
      <c r="W695" t="inlineStr">
        <is>
          <t>Loan analysis!B10:B66</t>
        </is>
      </c>
      <c r="X695">
        <f>IFERROR(MAX((ROW()-ROW(Data[[#Headers],[RATE]]))*0.0025+0.0175,0.0025), "")</f>
        <v/>
      </c>
    </row>
    <row r="696">
      <c r="A696" t="inlineStr">
        <is>
          <t>Loan analysis</t>
        </is>
      </c>
      <c r="B696" t="inlineStr">
        <is>
          <t>C64</t>
        </is>
      </c>
      <c r="C696" t="n">
        <v>64</v>
      </c>
      <c r="D696" t="n">
        <v>3</v>
      </c>
      <c r="E696" t="inlineStr">
        <is>
          <t>Output</t>
        </is>
      </c>
      <c r="F696" t="inlineStr">
        <is>
          <t>'=IFERROR(PMT(INDEX(Data[],ROW()-ROW(Data[[#Headers],[3]]),1)/12,Data[[#Headers],[3]]*12,-LoanAmount,0,IF(PaymentsDue="End of Period",0,1)), "")</t>
        </is>
      </c>
      <c r="G696" t="n">
        <v>344.6550162579558</v>
      </c>
      <c r="H696" t="inlineStr"/>
      <c r="I696" t="inlineStr">
        <is>
          <t>"$"#,##0.00_);[Red]\("$"#,##0.00\)</t>
        </is>
      </c>
      <c r="J696" t="b">
        <v>0</v>
      </c>
      <c r="K696" t="b">
        <v>0</v>
      </c>
      <c r="L696" t="n">
        <v>11</v>
      </c>
      <c r="M696" t="inlineStr">
        <is>
          <t>Values must be of type &lt;class 'str'&gt;</t>
        </is>
      </c>
      <c r="N696" t="inlineStr">
        <is>
          <t>00000000</t>
        </is>
      </c>
      <c r="O696" t="inlineStr">
        <is>
          <t>center</t>
        </is>
      </c>
      <c r="P696" t="inlineStr">
        <is>
          <t>center</t>
        </is>
      </c>
      <c r="R696" t="b">
        <v>1</v>
      </c>
      <c r="S696" t="inlineStr">
        <is>
          <t>G000002</t>
        </is>
      </c>
      <c r="T696" t="inlineStr">
        <is>
          <t>Vertical</t>
        </is>
      </c>
      <c r="U696" t="n">
        <v>57</v>
      </c>
      <c r="V696" t="b">
        <v>1</v>
      </c>
      <c r="W696" t="inlineStr">
        <is>
          <t>Loan analysis!C10:C66</t>
        </is>
      </c>
      <c r="X696">
        <f>IFERROR(PMT(INDEX(Data[],ROW()-ROW(Data[[#Headers],[3]]),1)/12,Data[[#Headers],[3]]*12,-LoanAmount,0,IF(PaymentsDue="End of Period",0,1)), "")</f>
        <v/>
      </c>
    </row>
    <row r="697">
      <c r="A697" t="inlineStr">
        <is>
          <t>Loan analysis</t>
        </is>
      </c>
      <c r="B697" t="inlineStr">
        <is>
          <t>D64</t>
        </is>
      </c>
      <c r="C697" t="n">
        <v>64</v>
      </c>
      <c r="D697" t="n">
        <v>4</v>
      </c>
      <c r="E697" t="inlineStr">
        <is>
          <t>Output</t>
        </is>
      </c>
      <c r="F697" t="inlineStr">
        <is>
          <t>'=IFERROR(PMT(INDEX(Data[],ROW()-ROW(Data[[#Headers],[5]]),1)/12,Data[[#Headers],[5]]*12,-LoanAmount,0,IF(PaymentsDue="End of Period",0,1)), "")</t>
        </is>
      </c>
      <c r="G697" t="n">
        <v>237.4646589522802</v>
      </c>
      <c r="H697" t="inlineStr"/>
      <c r="I697" t="inlineStr">
        <is>
          <t>"$"#,##0.00_);[Red]\("$"#,##0.00\)</t>
        </is>
      </c>
      <c r="J697" t="b">
        <v>0</v>
      </c>
      <c r="K697" t="b">
        <v>0</v>
      </c>
      <c r="L697" t="n">
        <v>11</v>
      </c>
      <c r="M697" t="inlineStr">
        <is>
          <t>Values must be of type &lt;class 'str'&gt;</t>
        </is>
      </c>
      <c r="N697" t="inlineStr">
        <is>
          <t>00000000</t>
        </is>
      </c>
      <c r="O697" t="inlineStr">
        <is>
          <t>center</t>
        </is>
      </c>
      <c r="P697" t="inlineStr">
        <is>
          <t>center</t>
        </is>
      </c>
      <c r="R697" t="b">
        <v>1</v>
      </c>
      <c r="S697" t="inlineStr">
        <is>
          <t>G000003</t>
        </is>
      </c>
      <c r="T697" t="inlineStr">
        <is>
          <t>Vertical</t>
        </is>
      </c>
      <c r="U697" t="n">
        <v>57</v>
      </c>
      <c r="V697" t="b">
        <v>1</v>
      </c>
      <c r="W697" t="inlineStr">
        <is>
          <t>Loan analysis!D10:D66</t>
        </is>
      </c>
      <c r="X697">
        <f>IFERROR(PMT(INDEX(Data[],ROW()-ROW(Data[[#Headers],[5]]),1)/12,Data[[#Headers],[5]]*12,-LoanAmount,0,IF(PaymentsDue="End of Period",0,1)), "")</f>
        <v/>
      </c>
    </row>
    <row r="698">
      <c r="A698" t="inlineStr">
        <is>
          <t>Loan analysis</t>
        </is>
      </c>
      <c r="B698" t="inlineStr">
        <is>
          <t>E64</t>
        </is>
      </c>
      <c r="C698" t="n">
        <v>64</v>
      </c>
      <c r="D698" t="n">
        <v>5</v>
      </c>
      <c r="E698" t="inlineStr">
        <is>
          <t>Output</t>
        </is>
      </c>
      <c r="F698" t="inlineStr">
        <is>
          <t>'=IFERROR(PMT(INDEX(Data[],ROW()-ROW(Data[[#Headers],[10]]),1)/12,Data[[#Headers],[10]]*12,-LoanAmount,0,IF(PaymentsDue="End of Period",0,1)), "")</t>
        </is>
      </c>
      <c r="G698" t="n">
        <v>162.3139811299062</v>
      </c>
      <c r="H698" t="inlineStr"/>
      <c r="I698" t="inlineStr">
        <is>
          <t>"$"#,##0.00_);[Red]\("$"#,##0.00\)</t>
        </is>
      </c>
      <c r="J698" t="b">
        <v>0</v>
      </c>
      <c r="K698" t="b">
        <v>0</v>
      </c>
      <c r="L698" t="n">
        <v>11</v>
      </c>
      <c r="M698" t="inlineStr">
        <is>
          <t>Values must be of type &lt;class 'str'&gt;</t>
        </is>
      </c>
      <c r="N698" t="inlineStr">
        <is>
          <t>00000000</t>
        </is>
      </c>
      <c r="O698" t="inlineStr">
        <is>
          <t>center</t>
        </is>
      </c>
      <c r="P698" t="inlineStr">
        <is>
          <t>center</t>
        </is>
      </c>
      <c r="R698" t="b">
        <v>1</v>
      </c>
      <c r="S698" t="inlineStr">
        <is>
          <t>G000004</t>
        </is>
      </c>
      <c r="T698" t="inlineStr">
        <is>
          <t>Vertical</t>
        </is>
      </c>
      <c r="U698" t="n">
        <v>57</v>
      </c>
      <c r="V698" t="b">
        <v>1</v>
      </c>
      <c r="W698" t="inlineStr">
        <is>
          <t>Loan analysis!E10:E66</t>
        </is>
      </c>
      <c r="X698">
        <f>IFERROR(PMT(INDEX(Data[],ROW()-ROW(Data[[#Headers],[10]]),1)/12,Data[[#Headers],[10]]*12,-LoanAmount,0,IF(PaymentsDue="End of Period",0,1)), "")</f>
        <v/>
      </c>
    </row>
    <row r="699">
      <c r="A699" t="inlineStr">
        <is>
          <t>Loan analysis</t>
        </is>
      </c>
      <c r="B699" t="inlineStr">
        <is>
          <t>F64</t>
        </is>
      </c>
      <c r="C699" t="n">
        <v>64</v>
      </c>
      <c r="D699" t="n">
        <v>6</v>
      </c>
      <c r="E699" t="inlineStr">
        <is>
          <t>Output</t>
        </is>
      </c>
      <c r="F699" t="inlineStr">
        <is>
          <t>'=IFERROR(PMT(INDEX(Data[],ROW()-ROW(Data[[#Headers],[12]]),1)/12,Data[[#Headers],[12]]*12,-LoanAmount,0,IF(PaymentsDue="End of Period",0,1)), "")</t>
        </is>
      </c>
      <c r="G699" t="n">
        <v>151.3652920080177</v>
      </c>
      <c r="H699" t="inlineStr"/>
      <c r="I699" t="inlineStr">
        <is>
          <t>"$"#,##0.00_);[Red]\("$"#,##0.00\)</t>
        </is>
      </c>
      <c r="J699" t="b">
        <v>0</v>
      </c>
      <c r="K699" t="b">
        <v>0</v>
      </c>
      <c r="L699" t="n">
        <v>11</v>
      </c>
      <c r="M699" t="inlineStr">
        <is>
          <t>Values must be of type &lt;class 'str'&gt;</t>
        </is>
      </c>
      <c r="N699" t="inlineStr">
        <is>
          <t>00000000</t>
        </is>
      </c>
      <c r="O699" t="inlineStr">
        <is>
          <t>center</t>
        </is>
      </c>
      <c r="P699" t="inlineStr">
        <is>
          <t>center</t>
        </is>
      </c>
      <c r="R699" t="b">
        <v>1</v>
      </c>
      <c r="S699" t="inlineStr">
        <is>
          <t>G000005</t>
        </is>
      </c>
      <c r="T699" t="inlineStr">
        <is>
          <t>Vertical</t>
        </is>
      </c>
      <c r="U699" t="n">
        <v>57</v>
      </c>
      <c r="V699" t="b">
        <v>1</v>
      </c>
      <c r="W699" t="inlineStr">
        <is>
          <t>Loan analysis!F10:F66</t>
        </is>
      </c>
      <c r="X699">
        <f>IFERROR(PMT(INDEX(Data[],ROW()-ROW(Data[[#Headers],[12]]),1)/12,Data[[#Headers],[12]]*12,-LoanAmount,0,IF(PaymentsDue="End of Period",0,1)), "")</f>
        <v/>
      </c>
    </row>
    <row r="700">
      <c r="A700" t="inlineStr">
        <is>
          <t>Loan analysis</t>
        </is>
      </c>
      <c r="B700" t="inlineStr">
        <is>
          <t>G64</t>
        </is>
      </c>
      <c r="C700" t="n">
        <v>64</v>
      </c>
      <c r="D700" t="n">
        <v>7</v>
      </c>
      <c r="E700" t="inlineStr">
        <is>
          <t>Output</t>
        </is>
      </c>
      <c r="F700" t="inlineStr">
        <is>
          <t>'=IFERROR(PMT(INDEX(Data[],ROW()-ROW(Data[[#Headers],[15]]),1)/12,Data[[#Headers],[15]]*12,-LoanAmount,0,IF(PaymentsDue="End of Period",0,1)), "")</t>
        </is>
      </c>
      <c r="G700" t="n">
        <v>141.5704160457269</v>
      </c>
      <c r="H700" t="inlineStr"/>
      <c r="I700" t="inlineStr">
        <is>
          <t>"$"#,##0.00_);[Red]\("$"#,##0.00\)</t>
        </is>
      </c>
      <c r="J700" t="b">
        <v>0</v>
      </c>
      <c r="K700" t="b">
        <v>0</v>
      </c>
      <c r="L700" t="n">
        <v>11</v>
      </c>
      <c r="M700" t="inlineStr">
        <is>
          <t>Values must be of type &lt;class 'str'&gt;</t>
        </is>
      </c>
      <c r="N700" t="inlineStr">
        <is>
          <t>00000000</t>
        </is>
      </c>
      <c r="O700" t="inlineStr">
        <is>
          <t>center</t>
        </is>
      </c>
      <c r="P700" t="inlineStr">
        <is>
          <t>center</t>
        </is>
      </c>
      <c r="R700" t="b">
        <v>1</v>
      </c>
      <c r="S700" t="inlineStr">
        <is>
          <t>G000006</t>
        </is>
      </c>
      <c r="T700" t="inlineStr">
        <is>
          <t>Vertical</t>
        </is>
      </c>
      <c r="U700" t="n">
        <v>57</v>
      </c>
      <c r="V700" t="b">
        <v>1</v>
      </c>
      <c r="W700" t="inlineStr">
        <is>
          <t>Loan analysis!G10:G66</t>
        </is>
      </c>
      <c r="X700">
        <f>IFERROR(PMT(INDEX(Data[],ROW()-ROW(Data[[#Headers],[15]]),1)/12,Data[[#Headers],[15]]*12,-LoanAmount,0,IF(PaymentsDue="End of Period",0,1)), "")</f>
        <v/>
      </c>
    </row>
    <row r="701">
      <c r="A701" t="inlineStr">
        <is>
          <t>Loan analysis</t>
        </is>
      </c>
      <c r="B701" t="inlineStr">
        <is>
          <t>H64</t>
        </is>
      </c>
      <c r="C701" t="n">
        <v>64</v>
      </c>
      <c r="D701" t="n">
        <v>8</v>
      </c>
      <c r="E701" t="inlineStr">
        <is>
          <t>Output</t>
        </is>
      </c>
      <c r="F701" t="inlineStr">
        <is>
          <t>'=IFERROR(PMT(INDEX(Data[],ROW()-ROW(Data[[#Headers],[20]]),1)/12,Data[[#Headers],[20]]*12,-LoanAmount,0,IF(PaymentsDue="End of Period",0,1)), "")</t>
        </is>
      </c>
      <c r="G701" t="n">
        <v>133.6616065032658</v>
      </c>
      <c r="H701" t="inlineStr"/>
      <c r="I701" t="inlineStr">
        <is>
          <t>"$"#,##0.00_);[Red]\("$"#,##0.00\)</t>
        </is>
      </c>
      <c r="J701" t="b">
        <v>0</v>
      </c>
      <c r="K701" t="b">
        <v>0</v>
      </c>
      <c r="L701" t="n">
        <v>11</v>
      </c>
      <c r="M701" t="inlineStr">
        <is>
          <t>Values must be of type &lt;class 'str'&gt;</t>
        </is>
      </c>
      <c r="N701" t="inlineStr">
        <is>
          <t>00000000</t>
        </is>
      </c>
      <c r="O701" t="inlineStr">
        <is>
          <t>center</t>
        </is>
      </c>
      <c r="P701" t="inlineStr">
        <is>
          <t>center</t>
        </is>
      </c>
      <c r="R701" t="b">
        <v>1</v>
      </c>
      <c r="S701" t="inlineStr">
        <is>
          <t>G000007</t>
        </is>
      </c>
      <c r="T701" t="inlineStr">
        <is>
          <t>Vertical</t>
        </is>
      </c>
      <c r="U701" t="n">
        <v>57</v>
      </c>
      <c r="V701" t="b">
        <v>1</v>
      </c>
      <c r="W701" t="inlineStr">
        <is>
          <t>Loan analysis!H10:H66</t>
        </is>
      </c>
      <c r="X701">
        <f>IFERROR(PMT(INDEX(Data[],ROW()-ROW(Data[[#Headers],[20]]),1)/12,Data[[#Headers],[20]]*12,-LoanAmount,0,IF(PaymentsDue="End of Period",0,1)), "")</f>
        <v/>
      </c>
    </row>
    <row r="702">
      <c r="A702" t="inlineStr">
        <is>
          <t>Loan analysis</t>
        </is>
      </c>
      <c r="B702" t="inlineStr">
        <is>
          <t>I64</t>
        </is>
      </c>
      <c r="C702" t="n">
        <v>64</v>
      </c>
      <c r="D702" t="n">
        <v>9</v>
      </c>
      <c r="E702" t="inlineStr">
        <is>
          <t>Output</t>
        </is>
      </c>
      <c r="F702" t="inlineStr">
        <is>
          <t>'=IFERROR(PMT(INDEX(Data[],ROW()-ROW(Data[[#Headers],[25]]),1)/12,Data[[#Headers],[25]]*12,-LoanAmount,0,IF(PaymentsDue="End of Period",0,1)), "")</t>
        </is>
      </c>
      <c r="G702" t="n">
        <v>130.291590475186</v>
      </c>
      <c r="H702" t="inlineStr"/>
      <c r="I702" t="inlineStr">
        <is>
          <t>"$"#,##0.00_);[Red]\("$"#,##0.00\)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00000000</t>
        </is>
      </c>
      <c r="O702" t="inlineStr">
        <is>
          <t>center</t>
        </is>
      </c>
      <c r="P702" t="inlineStr">
        <is>
          <t>center</t>
        </is>
      </c>
      <c r="R702" t="b">
        <v>1</v>
      </c>
      <c r="S702" t="inlineStr">
        <is>
          <t>G000008</t>
        </is>
      </c>
      <c r="T702" t="inlineStr">
        <is>
          <t>Vertical</t>
        </is>
      </c>
      <c r="U702" t="n">
        <v>57</v>
      </c>
      <c r="V702" t="b">
        <v>1</v>
      </c>
      <c r="W702" t="inlineStr">
        <is>
          <t>Loan analysis!I10:I66</t>
        </is>
      </c>
      <c r="X702">
        <f>IFERROR(PMT(INDEX(Data[],ROW()-ROW(Data[[#Headers],[25]]),1)/12,Data[[#Headers],[25]]*12,-LoanAmount,0,IF(PaymentsDue="End of Period",0,1)), "")</f>
        <v/>
      </c>
    </row>
    <row r="703">
      <c r="A703" t="inlineStr">
        <is>
          <t>Loan analysis</t>
        </is>
      </c>
      <c r="B703" t="inlineStr">
        <is>
          <t>J64</t>
        </is>
      </c>
      <c r="C703" t="n">
        <v>64</v>
      </c>
      <c r="D703" t="n">
        <v>10</v>
      </c>
      <c r="E703" t="inlineStr">
        <is>
          <t>Output</t>
        </is>
      </c>
      <c r="F703" t="inlineStr">
        <is>
          <t>'=IFERROR(PMT(INDEX(Data[],ROW()-ROW(Data[[#Headers],[30]]),1)/12,Data[[#Headers],[30]]*12,-LoanAmount,0,IF(PaymentsDue="End of Period",0,1)), "")</t>
        </is>
      </c>
      <c r="G703" t="n">
        <v>128.7881776190451</v>
      </c>
      <c r="H703" t="inlineStr"/>
      <c r="I703" t="inlineStr">
        <is>
          <t>"$"#,##0.00_);[Red]\("$"#,##0.00\)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00000000</t>
        </is>
      </c>
      <c r="O703" t="inlineStr">
        <is>
          <t>center</t>
        </is>
      </c>
      <c r="P703" t="inlineStr">
        <is>
          <t>center</t>
        </is>
      </c>
      <c r="R703" t="b">
        <v>1</v>
      </c>
      <c r="S703" t="inlineStr">
        <is>
          <t>G000009</t>
        </is>
      </c>
      <c r="T703" t="inlineStr">
        <is>
          <t>Vertical</t>
        </is>
      </c>
      <c r="U703" t="n">
        <v>57</v>
      </c>
      <c r="V703" t="b">
        <v>1</v>
      </c>
      <c r="W703" t="inlineStr">
        <is>
          <t>Loan analysis!J10:J66</t>
        </is>
      </c>
      <c r="X703">
        <f>IFERROR(PMT(INDEX(Data[],ROW()-ROW(Data[[#Headers],[30]]),1)/12,Data[[#Headers],[30]]*12,-LoanAmount,0,IF(PaymentsDue="End of Period",0,1)), "")</f>
        <v/>
      </c>
    </row>
    <row r="704">
      <c r="A704" t="inlineStr">
        <is>
          <t>Loan analysis</t>
        </is>
      </c>
      <c r="B704" t="inlineStr">
        <is>
          <t>K64</t>
        </is>
      </c>
      <c r="C704" t="n">
        <v>64</v>
      </c>
      <c r="D704" t="n">
        <v>11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11</v>
      </c>
      <c r="M704" t="inlineStr">
        <is>
          <t>Values must be of type &lt;class 'str'&gt;</t>
        </is>
      </c>
      <c r="N704" t="inlineStr">
        <is>
          <t>Values must be of type &lt;class 'str'&gt;</t>
        </is>
      </c>
      <c r="O704" t="n">
        <v/>
      </c>
      <c r="P704" t="n">
        <v/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</row>
    <row r="705">
      <c r="A705" t="inlineStr">
        <is>
          <t>Loan analysis</t>
        </is>
      </c>
      <c r="B705" t="inlineStr">
        <is>
          <t>A65</t>
        </is>
      </c>
      <c r="C705" t="n">
        <v>65</v>
      </c>
      <c r="D705" t="n">
        <v>1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11</v>
      </c>
      <c r="M705" t="inlineStr">
        <is>
          <t>Values must be of type &lt;class 'str'&gt;</t>
        </is>
      </c>
      <c r="N705" t="inlineStr">
        <is>
          <t>Values must be of type &lt;class 'str'&gt;</t>
        </is>
      </c>
      <c r="O705" t="n">
        <v/>
      </c>
      <c r="P705" t="n">
        <v/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</row>
    <row r="706">
      <c r="A706" t="inlineStr">
        <is>
          <t>Loan analysis</t>
        </is>
      </c>
      <c r="B706" t="inlineStr">
        <is>
          <t>B65</t>
        </is>
      </c>
      <c r="C706" t="n">
        <v>65</v>
      </c>
      <c r="D706" t="n">
        <v>2</v>
      </c>
      <c r="E706" t="inlineStr">
        <is>
          <t>Output</t>
        </is>
      </c>
      <c r="F706" t="inlineStr">
        <is>
          <t>'=IFERROR(MAX((ROW()-ROW(Data[[#Headers],[RATE]]))*0.0025+0.0175,0.0025), "")</t>
        </is>
      </c>
      <c r="G706" t="n">
        <v>0.1575</v>
      </c>
      <c r="H706" t="inlineStr"/>
      <c r="I706" t="inlineStr">
        <is>
          <t>0.00%</t>
        </is>
      </c>
      <c r="J706" t="b">
        <v>0</v>
      </c>
      <c r="K706" t="b">
        <v>0</v>
      </c>
      <c r="L706" t="n">
        <v>11</v>
      </c>
      <c r="M706" t="inlineStr">
        <is>
          <t>Values must be of type &lt;class 'str'&gt;</t>
        </is>
      </c>
      <c r="N706" t="inlineStr">
        <is>
          <t>00000000</t>
        </is>
      </c>
      <c r="O706" t="inlineStr">
        <is>
          <t>center</t>
        </is>
      </c>
      <c r="P706" t="inlineStr">
        <is>
          <t>center</t>
        </is>
      </c>
      <c r="R706" t="b">
        <v>1</v>
      </c>
      <c r="S706" t="inlineStr">
        <is>
          <t>G000001</t>
        </is>
      </c>
      <c r="T706" t="inlineStr">
        <is>
          <t>Vertical</t>
        </is>
      </c>
      <c r="U706" t="n">
        <v>57</v>
      </c>
      <c r="V706" t="b">
        <v>1</v>
      </c>
      <c r="W706" t="inlineStr">
        <is>
          <t>Loan analysis!B10:B66</t>
        </is>
      </c>
      <c r="X706">
        <f>IFERROR(MAX((ROW()-ROW(Data[[#Headers],[RATE]]))*0.0025+0.0175,0.0025), "")</f>
        <v/>
      </c>
    </row>
    <row r="707">
      <c r="A707" t="inlineStr">
        <is>
          <t>Loan analysis</t>
        </is>
      </c>
      <c r="B707" t="inlineStr">
        <is>
          <t>C65</t>
        </is>
      </c>
      <c r="C707" t="n">
        <v>65</v>
      </c>
      <c r="D707" t="n">
        <v>3</v>
      </c>
      <c r="E707" t="inlineStr">
        <is>
          <t>Output</t>
        </is>
      </c>
      <c r="F707" t="inlineStr">
        <is>
          <t>'=IFERROR(PMT(INDEX(Data[],ROW()-ROW(Data[[#Headers],[3]]),1)/12,Data[[#Headers],[3]]*12,-LoanAmount,0,IF(PaymentsDue="End of Period",0,1)), "")</t>
        </is>
      </c>
      <c r="G707" t="n">
        <v>345.7987140374411</v>
      </c>
      <c r="H707" t="inlineStr"/>
      <c r="I707" t="inlineStr">
        <is>
          <t>"$"#,##0.00_);[Red]\("$"#,##0.00\)</t>
        </is>
      </c>
      <c r="J707" t="b">
        <v>0</v>
      </c>
      <c r="K707" t="b">
        <v>0</v>
      </c>
      <c r="L707" t="n">
        <v>11</v>
      </c>
      <c r="M707" t="inlineStr">
        <is>
          <t>Values must be of type &lt;class 'str'&gt;</t>
        </is>
      </c>
      <c r="N707" t="inlineStr">
        <is>
          <t>00000000</t>
        </is>
      </c>
      <c r="O707" t="inlineStr">
        <is>
          <t>center</t>
        </is>
      </c>
      <c r="P707" t="inlineStr">
        <is>
          <t>center</t>
        </is>
      </c>
      <c r="R707" t="b">
        <v>1</v>
      </c>
      <c r="S707" t="inlineStr">
        <is>
          <t>G000002</t>
        </is>
      </c>
      <c r="T707" t="inlineStr">
        <is>
          <t>Vertical</t>
        </is>
      </c>
      <c r="U707" t="n">
        <v>57</v>
      </c>
      <c r="V707" t="b">
        <v>1</v>
      </c>
      <c r="W707" t="inlineStr">
        <is>
          <t>Loan analysis!C10:C66</t>
        </is>
      </c>
      <c r="X707">
        <f>IFERROR(PMT(INDEX(Data[],ROW()-ROW(Data[[#Headers],[3]]),1)/12,Data[[#Headers],[3]]*12,-LoanAmount,0,IF(PaymentsDue="End of Period",0,1)), "")</f>
        <v/>
      </c>
    </row>
    <row r="708">
      <c r="A708" t="inlineStr">
        <is>
          <t>Loan analysis</t>
        </is>
      </c>
      <c r="B708" t="inlineStr">
        <is>
          <t>D65</t>
        </is>
      </c>
      <c r="C708" t="n">
        <v>65</v>
      </c>
      <c r="D708" t="n">
        <v>4</v>
      </c>
      <c r="E708" t="inlineStr">
        <is>
          <t>Output</t>
        </is>
      </c>
      <c r="F708" t="inlineStr">
        <is>
          <t>'=IFERROR(PMT(INDEX(Data[],ROW()-ROW(Data[[#Headers],[5]]),1)/12,Data[[#Headers],[5]]*12,-LoanAmount,0,IF(PaymentsDue="End of Period",0,1)), "")</t>
        </is>
      </c>
      <c r="G708" t="n">
        <v>238.7210256164005</v>
      </c>
      <c r="H708" t="inlineStr"/>
      <c r="I708" t="inlineStr">
        <is>
          <t>"$"#,##0.00_);[Red]\("$"#,##0.00\)</t>
        </is>
      </c>
      <c r="J708" t="b">
        <v>0</v>
      </c>
      <c r="K708" t="b">
        <v>0</v>
      </c>
      <c r="L708" t="n">
        <v>11</v>
      </c>
      <c r="M708" t="inlineStr">
        <is>
          <t>Values must be of type &lt;class 'str'&gt;</t>
        </is>
      </c>
      <c r="N708" t="inlineStr">
        <is>
          <t>00000000</t>
        </is>
      </c>
      <c r="O708" t="inlineStr">
        <is>
          <t>center</t>
        </is>
      </c>
      <c r="P708" t="inlineStr">
        <is>
          <t>center</t>
        </is>
      </c>
      <c r="R708" t="b">
        <v>1</v>
      </c>
      <c r="S708" t="inlineStr">
        <is>
          <t>G000003</t>
        </is>
      </c>
      <c r="T708" t="inlineStr">
        <is>
          <t>Vertical</t>
        </is>
      </c>
      <c r="U708" t="n">
        <v>57</v>
      </c>
      <c r="V708" t="b">
        <v>1</v>
      </c>
      <c r="W708" t="inlineStr">
        <is>
          <t>Loan analysis!D10:D66</t>
        </is>
      </c>
      <c r="X708">
        <f>IFERROR(PMT(INDEX(Data[],ROW()-ROW(Data[[#Headers],[5]]),1)/12,Data[[#Headers],[5]]*12,-LoanAmount,0,IF(PaymentsDue="End of Period",0,1)), "")</f>
        <v/>
      </c>
    </row>
    <row r="709">
      <c r="A709" t="inlineStr">
        <is>
          <t>Loan analysis</t>
        </is>
      </c>
      <c r="B709" t="inlineStr">
        <is>
          <t>E65</t>
        </is>
      </c>
      <c r="C709" t="n">
        <v>65</v>
      </c>
      <c r="D709" t="n">
        <v>5</v>
      </c>
      <c r="E709" t="inlineStr">
        <is>
          <t>Output</t>
        </is>
      </c>
      <c r="F709" t="inlineStr">
        <is>
          <t>'=IFERROR(PMT(INDEX(Data[],ROW()-ROW(Data[[#Headers],[10]]),1)/12,Data[[#Headers],[10]]*12,-LoanAmount,0,IF(PaymentsDue="End of Period",0,1)), "")</t>
        </is>
      </c>
      <c r="G709" t="n">
        <v>163.8084925761222</v>
      </c>
      <c r="H709" t="inlineStr"/>
      <c r="I709" t="inlineStr">
        <is>
          <t>"$"#,##0.00_);[Red]\("$"#,##0.00\)</t>
        </is>
      </c>
      <c r="J709" t="b">
        <v>0</v>
      </c>
      <c r="K709" t="b">
        <v>0</v>
      </c>
      <c r="L709" t="n">
        <v>11</v>
      </c>
      <c r="M709" t="inlineStr">
        <is>
          <t>Values must be of type &lt;class 'str'&gt;</t>
        </is>
      </c>
      <c r="N709" t="inlineStr">
        <is>
          <t>00000000</t>
        </is>
      </c>
      <c r="O709" t="inlineStr">
        <is>
          <t>center</t>
        </is>
      </c>
      <c r="P709" t="inlineStr">
        <is>
          <t>center</t>
        </is>
      </c>
      <c r="R709" t="b">
        <v>1</v>
      </c>
      <c r="S709" t="inlineStr">
        <is>
          <t>G000004</t>
        </is>
      </c>
      <c r="T709" t="inlineStr">
        <is>
          <t>Vertical</t>
        </is>
      </c>
      <c r="U709" t="n">
        <v>57</v>
      </c>
      <c r="V709" t="b">
        <v>1</v>
      </c>
      <c r="W709" t="inlineStr">
        <is>
          <t>Loan analysis!E10:E66</t>
        </is>
      </c>
      <c r="X709">
        <f>IFERROR(PMT(INDEX(Data[],ROW()-ROW(Data[[#Headers],[10]]),1)/12,Data[[#Headers],[10]]*12,-LoanAmount,0,IF(PaymentsDue="End of Period",0,1)), "")</f>
        <v/>
      </c>
    </row>
    <row r="710">
      <c r="A710" t="inlineStr">
        <is>
          <t>Loan analysis</t>
        </is>
      </c>
      <c r="B710" t="inlineStr">
        <is>
          <t>F65</t>
        </is>
      </c>
      <c r="C710" t="n">
        <v>65</v>
      </c>
      <c r="D710" t="n">
        <v>6</v>
      </c>
      <c r="E710" t="inlineStr">
        <is>
          <t>Output</t>
        </is>
      </c>
      <c r="F710" t="inlineStr">
        <is>
          <t>'=IFERROR(PMT(INDEX(Data[],ROW()-ROW(Data[[#Headers],[12]]),1)/12,Data[[#Headers],[12]]*12,-LoanAmount,0,IF(PaymentsDue="End of Period",0,1)), "")</t>
        </is>
      </c>
      <c r="G710" t="n">
        <v>152.9405041165693</v>
      </c>
      <c r="H710" t="inlineStr"/>
      <c r="I710" t="inlineStr">
        <is>
          <t>"$"#,##0.00_);[Red]\("$"#,##0.00\)</t>
        </is>
      </c>
      <c r="J710" t="b">
        <v>0</v>
      </c>
      <c r="K710" t="b">
        <v>0</v>
      </c>
      <c r="L710" t="n">
        <v>11</v>
      </c>
      <c r="M710" t="inlineStr">
        <is>
          <t>Values must be of type &lt;class 'str'&gt;</t>
        </is>
      </c>
      <c r="N710" t="inlineStr">
        <is>
          <t>00000000</t>
        </is>
      </c>
      <c r="O710" t="inlineStr">
        <is>
          <t>center</t>
        </is>
      </c>
      <c r="P710" t="inlineStr">
        <is>
          <t>center</t>
        </is>
      </c>
      <c r="R710" t="b">
        <v>1</v>
      </c>
      <c r="S710" t="inlineStr">
        <is>
          <t>G000005</t>
        </is>
      </c>
      <c r="T710" t="inlineStr">
        <is>
          <t>Vertical</t>
        </is>
      </c>
      <c r="U710" t="n">
        <v>57</v>
      </c>
      <c r="V710" t="b">
        <v>1</v>
      </c>
      <c r="W710" t="inlineStr">
        <is>
          <t>Loan analysis!F10:F66</t>
        </is>
      </c>
      <c r="X710">
        <f>IFERROR(PMT(INDEX(Data[],ROW()-ROW(Data[[#Headers],[12]]),1)/12,Data[[#Headers],[12]]*12,-LoanAmount,0,IF(PaymentsDue="End of Period",0,1)), "")</f>
        <v/>
      </c>
    </row>
    <row r="711">
      <c r="A711" t="inlineStr">
        <is>
          <t>Loan analysis</t>
        </is>
      </c>
      <c r="B711" t="inlineStr">
        <is>
          <t>G65</t>
        </is>
      </c>
      <c r="C711" t="n">
        <v>65</v>
      </c>
      <c r="D711" t="n">
        <v>7</v>
      </c>
      <c r="E711" t="inlineStr">
        <is>
          <t>Output</t>
        </is>
      </c>
      <c r="F711" t="inlineStr">
        <is>
          <t>'=IFERROR(PMT(INDEX(Data[],ROW()-ROW(Data[[#Headers],[15]]),1)/12,Data[[#Headers],[15]]*12,-LoanAmount,0,IF(PaymentsDue="End of Period",0,1)), "")</t>
        </is>
      </c>
      <c r="G711" t="n">
        <v>143.25061091362</v>
      </c>
      <c r="H711" t="inlineStr"/>
      <c r="I711" t="inlineStr">
        <is>
          <t>"$"#,##0.00_);[Red]\("$"#,##0.00\)</t>
        </is>
      </c>
      <c r="J711" t="b">
        <v>0</v>
      </c>
      <c r="K711" t="b">
        <v>0</v>
      </c>
      <c r="L711" t="n">
        <v>11</v>
      </c>
      <c r="M711" t="inlineStr">
        <is>
          <t>Values must be of type &lt;class 'str'&gt;</t>
        </is>
      </c>
      <c r="N711" t="inlineStr">
        <is>
          <t>00000000</t>
        </is>
      </c>
      <c r="O711" t="inlineStr">
        <is>
          <t>center</t>
        </is>
      </c>
      <c r="P711" t="inlineStr">
        <is>
          <t>center</t>
        </is>
      </c>
      <c r="R711" t="b">
        <v>1</v>
      </c>
      <c r="S711" t="inlineStr">
        <is>
          <t>G000006</t>
        </is>
      </c>
      <c r="T711" t="inlineStr">
        <is>
          <t>Vertical</t>
        </is>
      </c>
      <c r="U711" t="n">
        <v>57</v>
      </c>
      <c r="V711" t="b">
        <v>1</v>
      </c>
      <c r="W711" t="inlineStr">
        <is>
          <t>Loan analysis!G10:G66</t>
        </is>
      </c>
      <c r="X711">
        <f>IFERROR(PMT(INDEX(Data[],ROW()-ROW(Data[[#Headers],[15]]),1)/12,Data[[#Headers],[15]]*12,-LoanAmount,0,IF(PaymentsDue="End of Period",0,1)), "")</f>
        <v/>
      </c>
    </row>
    <row r="712">
      <c r="A712" t="inlineStr">
        <is>
          <t>Loan analysis</t>
        </is>
      </c>
      <c r="B712" t="inlineStr">
        <is>
          <t>H65</t>
        </is>
      </c>
      <c r="C712" t="n">
        <v>65</v>
      </c>
      <c r="D712" t="n">
        <v>8</v>
      </c>
      <c r="E712" t="inlineStr">
        <is>
          <t>Output</t>
        </is>
      </c>
      <c r="F712" t="inlineStr">
        <is>
          <t>'=IFERROR(PMT(INDEX(Data[],ROW()-ROW(Data[[#Headers],[20]]),1)/12,Data[[#Headers],[20]]*12,-LoanAmount,0,IF(PaymentsDue="End of Period",0,1)), "")</t>
        </is>
      </c>
      <c r="G712" t="n">
        <v>135.475259812348</v>
      </c>
      <c r="H712" t="inlineStr"/>
      <c r="I712" t="inlineStr">
        <is>
          <t>"$"#,##0.00_);[Red]\("$"#,##0.00\)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00000000</t>
        </is>
      </c>
      <c r="O712" t="inlineStr">
        <is>
          <t>center</t>
        </is>
      </c>
      <c r="P712" t="inlineStr">
        <is>
          <t>center</t>
        </is>
      </c>
      <c r="R712" t="b">
        <v>1</v>
      </c>
      <c r="S712" t="inlineStr">
        <is>
          <t>G000007</t>
        </is>
      </c>
      <c r="T712" t="inlineStr">
        <is>
          <t>Vertical</t>
        </is>
      </c>
      <c r="U712" t="n">
        <v>57</v>
      </c>
      <c r="V712" t="b">
        <v>1</v>
      </c>
      <c r="W712" t="inlineStr">
        <is>
          <t>Loan analysis!H10:H66</t>
        </is>
      </c>
      <c r="X712">
        <f>IFERROR(PMT(INDEX(Data[],ROW()-ROW(Data[[#Headers],[20]]),1)/12,Data[[#Headers],[20]]*12,-LoanAmount,0,IF(PaymentsDue="End of Period",0,1)), "")</f>
        <v/>
      </c>
    </row>
    <row r="713">
      <c r="A713" t="inlineStr">
        <is>
          <t>Loan analysis</t>
        </is>
      </c>
      <c r="B713" t="inlineStr">
        <is>
          <t>I65</t>
        </is>
      </c>
      <c r="C713" t="n">
        <v>65</v>
      </c>
      <c r="D713" t="n">
        <v>9</v>
      </c>
      <c r="E713" t="inlineStr">
        <is>
          <t>Output</t>
        </is>
      </c>
      <c r="F713" t="inlineStr">
        <is>
          <t>'=IFERROR(PMT(INDEX(Data[],ROW()-ROW(Data[[#Headers],[25]]),1)/12,Data[[#Headers],[25]]*12,-LoanAmount,0,IF(PaymentsDue="End of Period",0,1)), "")</t>
        </is>
      </c>
      <c r="G713" t="n">
        <v>132.1939062283899</v>
      </c>
      <c r="H713" t="inlineStr"/>
      <c r="I713" t="inlineStr">
        <is>
          <t>"$"#,##0.00_);[Red]\("$"#,##0.00\)</t>
        </is>
      </c>
      <c r="J713" t="b">
        <v>0</v>
      </c>
      <c r="K713" t="b">
        <v>0</v>
      </c>
      <c r="L713" t="n">
        <v>11</v>
      </c>
      <c r="M713" t="inlineStr">
        <is>
          <t>Values must be of type &lt;class 'str'&gt;</t>
        </is>
      </c>
      <c r="N713" t="inlineStr">
        <is>
          <t>00000000</t>
        </is>
      </c>
      <c r="O713" t="inlineStr">
        <is>
          <t>center</t>
        </is>
      </c>
      <c r="P713" t="inlineStr">
        <is>
          <t>center</t>
        </is>
      </c>
      <c r="R713" t="b">
        <v>1</v>
      </c>
      <c r="S713" t="inlineStr">
        <is>
          <t>G000008</t>
        </is>
      </c>
      <c r="T713" t="inlineStr">
        <is>
          <t>Vertical</t>
        </is>
      </c>
      <c r="U713" t="n">
        <v>57</v>
      </c>
      <c r="V713" t="b">
        <v>1</v>
      </c>
      <c r="W713" t="inlineStr">
        <is>
          <t>Loan analysis!I10:I66</t>
        </is>
      </c>
      <c r="X713">
        <f>IFERROR(PMT(INDEX(Data[],ROW()-ROW(Data[[#Headers],[25]]),1)/12,Data[[#Headers],[25]]*12,-LoanAmount,0,IF(PaymentsDue="End of Period",0,1)), "")</f>
        <v/>
      </c>
    </row>
    <row r="714">
      <c r="A714" t="inlineStr">
        <is>
          <t>Loan analysis</t>
        </is>
      </c>
      <c r="B714" t="inlineStr">
        <is>
          <t>J65</t>
        </is>
      </c>
      <c r="C714" t="n">
        <v>65</v>
      </c>
      <c r="D714" t="n">
        <v>10</v>
      </c>
      <c r="E714" t="inlineStr">
        <is>
          <t>Output</t>
        </is>
      </c>
      <c r="F714" t="inlineStr">
        <is>
          <t>'=IFERROR(PMT(INDEX(Data[],ROW()-ROW(Data[[#Headers],[30]]),1)/12,Data[[#Headers],[30]]*12,-LoanAmount,0,IF(PaymentsDue="End of Period",0,1)), "")</t>
        </is>
      </c>
      <c r="G714" t="n">
        <v>130.7456732521237</v>
      </c>
      <c r="H714" t="inlineStr"/>
      <c r="I714" t="inlineStr">
        <is>
          <t>"$"#,##0.00_);[Red]\("$"#,##0.00\)</t>
        </is>
      </c>
      <c r="J714" t="b">
        <v>0</v>
      </c>
      <c r="K714" t="b">
        <v>0</v>
      </c>
      <c r="L714" t="n">
        <v>11</v>
      </c>
      <c r="M714" t="inlineStr">
        <is>
          <t>Values must be of type &lt;class 'str'&gt;</t>
        </is>
      </c>
      <c r="N714" t="inlineStr">
        <is>
          <t>00000000</t>
        </is>
      </c>
      <c r="O714" t="inlineStr">
        <is>
          <t>center</t>
        </is>
      </c>
      <c r="P714" t="inlineStr">
        <is>
          <t>center</t>
        </is>
      </c>
      <c r="R714" t="b">
        <v>1</v>
      </c>
      <c r="S714" t="inlineStr">
        <is>
          <t>G000009</t>
        </is>
      </c>
      <c r="T714" t="inlineStr">
        <is>
          <t>Vertical</t>
        </is>
      </c>
      <c r="U714" t="n">
        <v>57</v>
      </c>
      <c r="V714" t="b">
        <v>1</v>
      </c>
      <c r="W714" t="inlineStr">
        <is>
          <t>Loan analysis!J10:J66</t>
        </is>
      </c>
      <c r="X714">
        <f>IFERROR(PMT(INDEX(Data[],ROW()-ROW(Data[[#Headers],[30]]),1)/12,Data[[#Headers],[30]]*12,-LoanAmount,0,IF(PaymentsDue="End of Period",0,1)), "")</f>
        <v/>
      </c>
    </row>
    <row r="715">
      <c r="A715" t="inlineStr">
        <is>
          <t>Loan analysis</t>
        </is>
      </c>
      <c r="B715" t="inlineStr">
        <is>
          <t>K65</t>
        </is>
      </c>
      <c r="C715" t="n">
        <v>65</v>
      </c>
      <c r="D715" t="n">
        <v>11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0</v>
      </c>
      <c r="K715" t="b">
        <v>0</v>
      </c>
      <c r="L715" t="n">
        <v>11</v>
      </c>
      <c r="M715" t="inlineStr">
        <is>
          <t>Values must be of type &lt;class 'str'&gt;</t>
        </is>
      </c>
      <c r="N715" t="inlineStr">
        <is>
          <t>Values must be of type &lt;class 'str'&gt;</t>
        </is>
      </c>
      <c r="O715" t="n">
        <v/>
      </c>
      <c r="P715" t="n">
        <v/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</row>
    <row r="716">
      <c r="A716" t="inlineStr">
        <is>
          <t>Loan analysis</t>
        </is>
      </c>
      <c r="B716" t="inlineStr">
        <is>
          <t>A66</t>
        </is>
      </c>
      <c r="C716" t="n">
        <v>66</v>
      </c>
      <c r="D716" t="n">
        <v>1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0</v>
      </c>
      <c r="K716" t="b">
        <v>0</v>
      </c>
      <c r="L716" t="n">
        <v>11</v>
      </c>
      <c r="M716" t="inlineStr">
        <is>
          <t>Values must be of type &lt;class 'str'&gt;</t>
        </is>
      </c>
      <c r="N716" t="inlineStr">
        <is>
          <t>Values must be of type &lt;class 'str'&gt;</t>
        </is>
      </c>
      <c r="O716" t="n">
        <v/>
      </c>
      <c r="P716" t="n">
        <v/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</row>
    <row r="717">
      <c r="A717" t="inlineStr">
        <is>
          <t>Loan analysis</t>
        </is>
      </c>
      <c r="B717" t="inlineStr">
        <is>
          <t>B66</t>
        </is>
      </c>
      <c r="C717" t="n">
        <v>66</v>
      </c>
      <c r="D717" t="n">
        <v>2</v>
      </c>
      <c r="E717" t="inlineStr">
        <is>
          <t>Output</t>
        </is>
      </c>
      <c r="F717" t="inlineStr">
        <is>
          <t>'=IFERROR(MAX((ROW()-ROW(Data[[#Headers],[RATE]]))*0.0025+0.0175,0.0025), "")</t>
        </is>
      </c>
      <c r="G717" t="n">
        <v>0.16</v>
      </c>
      <c r="H717" t="inlineStr"/>
      <c r="I717" t="inlineStr">
        <is>
          <t>0.00%</t>
        </is>
      </c>
      <c r="J717" t="b">
        <v>0</v>
      </c>
      <c r="K717" t="b">
        <v>0</v>
      </c>
      <c r="L717" t="n">
        <v>11</v>
      </c>
      <c r="M717" t="inlineStr">
        <is>
          <t>Values must be of type &lt;class 'str'&gt;</t>
        </is>
      </c>
      <c r="N717" t="inlineStr">
        <is>
          <t>00000000</t>
        </is>
      </c>
      <c r="O717" t="inlineStr">
        <is>
          <t>center</t>
        </is>
      </c>
      <c r="P717" t="inlineStr">
        <is>
          <t>center</t>
        </is>
      </c>
      <c r="R717" t="b">
        <v>1</v>
      </c>
      <c r="S717" t="inlineStr">
        <is>
          <t>G000001</t>
        </is>
      </c>
      <c r="T717" t="inlineStr">
        <is>
          <t>Vertical</t>
        </is>
      </c>
      <c r="U717" t="n">
        <v>57</v>
      </c>
      <c r="V717" t="b">
        <v>1</v>
      </c>
      <c r="W717" t="inlineStr">
        <is>
          <t>Loan analysis!B10:B66</t>
        </is>
      </c>
      <c r="X717">
        <f>IFERROR(MAX((ROW()-ROW(Data[[#Headers],[RATE]]))*0.0025+0.0175,0.0025), "")</f>
        <v/>
      </c>
    </row>
    <row r="718">
      <c r="A718" t="inlineStr">
        <is>
          <t>Loan analysis</t>
        </is>
      </c>
      <c r="B718" t="inlineStr">
        <is>
          <t>C66</t>
        </is>
      </c>
      <c r="C718" t="n">
        <v>66</v>
      </c>
      <c r="D718" t="n">
        <v>3</v>
      </c>
      <c r="E718" t="inlineStr">
        <is>
          <t>Output</t>
        </is>
      </c>
      <c r="F718" t="inlineStr">
        <is>
          <t>'=IFERROR(PMT(INDEX(Data[],ROW()-ROW(Data[[#Headers],[3]]),1)/12,Data[[#Headers],[3]]*12,-LoanAmount,0,IF(PaymentsDue="End of Period",0,1)), "")</t>
        </is>
      </c>
      <c r="G718" t="n">
        <v>346.9444049639811</v>
      </c>
      <c r="H718" t="inlineStr"/>
      <c r="I718" t="inlineStr">
        <is>
          <t>"$"#,##0.00_);[Red]\("$"#,##0.00\)</t>
        </is>
      </c>
      <c r="J718" t="b">
        <v>0</v>
      </c>
      <c r="K718" t="b">
        <v>0</v>
      </c>
      <c r="L718" t="n">
        <v>11</v>
      </c>
      <c r="M718" t="inlineStr">
        <is>
          <t>Values must be of type &lt;class 'str'&gt;</t>
        </is>
      </c>
      <c r="N718" t="inlineStr">
        <is>
          <t>00000000</t>
        </is>
      </c>
      <c r="O718" t="inlineStr">
        <is>
          <t>center</t>
        </is>
      </c>
      <c r="P718" t="inlineStr">
        <is>
          <t>center</t>
        </is>
      </c>
      <c r="R718" t="b">
        <v>1</v>
      </c>
      <c r="S718" t="inlineStr">
        <is>
          <t>G000002</t>
        </is>
      </c>
      <c r="T718" t="inlineStr">
        <is>
          <t>Vertical</t>
        </is>
      </c>
      <c r="U718" t="n">
        <v>57</v>
      </c>
      <c r="V718" t="b">
        <v>1</v>
      </c>
      <c r="W718" t="inlineStr">
        <is>
          <t>Loan analysis!C10:C66</t>
        </is>
      </c>
      <c r="X718">
        <f>IFERROR(PMT(INDEX(Data[],ROW()-ROW(Data[[#Headers],[3]]),1)/12,Data[[#Headers],[3]]*12,-LoanAmount,0,IF(PaymentsDue="End of Period",0,1)), "")</f>
        <v/>
      </c>
    </row>
    <row r="719">
      <c r="A719" t="inlineStr">
        <is>
          <t>Loan analysis</t>
        </is>
      </c>
      <c r="B719" t="inlineStr">
        <is>
          <t>D66</t>
        </is>
      </c>
      <c r="C719" t="n">
        <v>66</v>
      </c>
      <c r="D719" t="n">
        <v>4</v>
      </c>
      <c r="E719" t="inlineStr">
        <is>
          <t>Output</t>
        </is>
      </c>
      <c r="F719" t="inlineStr">
        <is>
          <t>'=IFERROR(PMT(INDEX(Data[],ROW()-ROW(Data[[#Headers],[5]]),1)/12,Data[[#Headers],[5]]*12,-LoanAmount,0,IF(PaymentsDue="End of Period",0,1)), "")</t>
        </is>
      </c>
      <c r="G719" t="n">
        <v>239.9808268061757</v>
      </c>
      <c r="H719" t="inlineStr"/>
      <c r="I719" t="inlineStr">
        <is>
          <t>"$"#,##0.00_);[Red]\("$"#,##0.00\)</t>
        </is>
      </c>
      <c r="J719" t="b">
        <v>0</v>
      </c>
      <c r="K719" t="b">
        <v>0</v>
      </c>
      <c r="L719" t="n">
        <v>11</v>
      </c>
      <c r="M719" t="inlineStr">
        <is>
          <t>Values must be of type &lt;class 'str'&gt;</t>
        </is>
      </c>
      <c r="N719" t="inlineStr">
        <is>
          <t>00000000</t>
        </is>
      </c>
      <c r="O719" t="inlineStr">
        <is>
          <t>center</t>
        </is>
      </c>
      <c r="P719" t="inlineStr">
        <is>
          <t>center</t>
        </is>
      </c>
      <c r="R719" t="b">
        <v>1</v>
      </c>
      <c r="S719" t="inlineStr">
        <is>
          <t>G000003</t>
        </is>
      </c>
      <c r="T719" t="inlineStr">
        <is>
          <t>Vertical</t>
        </is>
      </c>
      <c r="U719" t="n">
        <v>57</v>
      </c>
      <c r="V719" t="b">
        <v>1</v>
      </c>
      <c r="W719" t="inlineStr">
        <is>
          <t>Loan analysis!D10:D66</t>
        </is>
      </c>
      <c r="X719">
        <f>IFERROR(PMT(INDEX(Data[],ROW()-ROW(Data[[#Headers],[5]]),1)/12,Data[[#Headers],[5]]*12,-LoanAmount,0,IF(PaymentsDue="End of Period",0,1)), "")</f>
        <v/>
      </c>
    </row>
    <row r="720">
      <c r="A720" t="inlineStr">
        <is>
          <t>Loan analysis</t>
        </is>
      </c>
      <c r="B720" t="inlineStr">
        <is>
          <t>E66</t>
        </is>
      </c>
      <c r="C720" t="n">
        <v>66</v>
      </c>
      <c r="D720" t="n">
        <v>5</v>
      </c>
      <c r="E720" t="inlineStr">
        <is>
          <t>Output</t>
        </is>
      </c>
      <c r="F720" t="inlineStr">
        <is>
          <t>'=IFERROR(PMT(INDEX(Data[],ROW()-ROW(Data[[#Headers],[10]]),1)/12,Data[[#Headers],[10]]*12,-LoanAmount,0,IF(PaymentsDue="End of Period",0,1)), "")</t>
        </is>
      </c>
      <c r="G720" t="n">
        <v>165.3090012862229</v>
      </c>
      <c r="H720" t="inlineStr"/>
      <c r="I720" t="inlineStr">
        <is>
          <t>"$"#,##0.00_);[Red]\("$"#,##0.00\)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00000000</t>
        </is>
      </c>
      <c r="O720" t="inlineStr">
        <is>
          <t>center</t>
        </is>
      </c>
      <c r="P720" t="inlineStr">
        <is>
          <t>center</t>
        </is>
      </c>
      <c r="R720" t="b">
        <v>1</v>
      </c>
      <c r="S720" t="inlineStr">
        <is>
          <t>G000004</t>
        </is>
      </c>
      <c r="T720" t="inlineStr">
        <is>
          <t>Vertical</t>
        </is>
      </c>
      <c r="U720" t="n">
        <v>57</v>
      </c>
      <c r="V720" t="b">
        <v>1</v>
      </c>
      <c r="W720" t="inlineStr">
        <is>
          <t>Loan analysis!E10:E66</t>
        </is>
      </c>
      <c r="X720">
        <f>IFERROR(PMT(INDEX(Data[],ROW()-ROW(Data[[#Headers],[10]]),1)/12,Data[[#Headers],[10]]*12,-LoanAmount,0,IF(PaymentsDue="End of Period",0,1)), "")</f>
        <v/>
      </c>
    </row>
    <row r="721">
      <c r="A721" t="inlineStr">
        <is>
          <t>Loan analysis</t>
        </is>
      </c>
      <c r="B721" t="inlineStr">
        <is>
          <t>F66</t>
        </is>
      </c>
      <c r="C721" t="n">
        <v>66</v>
      </c>
      <c r="D721" t="n">
        <v>6</v>
      </c>
      <c r="E721" t="inlineStr">
        <is>
          <t>Output</t>
        </is>
      </c>
      <c r="F721" t="inlineStr">
        <is>
          <t>'=IFERROR(PMT(INDEX(Data[],ROW()-ROW(Data[[#Headers],[12]]),1)/12,Data[[#Headers],[12]]*12,-LoanAmount,0,IF(PaymentsDue="End of Period",0,1)), "")</t>
        </is>
      </c>
      <c r="G721" t="n">
        <v>154.5222332227232</v>
      </c>
      <c r="H721" t="inlineStr"/>
      <c r="I721" t="inlineStr">
        <is>
          <t>"$"#,##0.00_);[Red]\("$"#,##0.00\)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00000000</t>
        </is>
      </c>
      <c r="O721" t="inlineStr">
        <is>
          <t>center</t>
        </is>
      </c>
      <c r="P721" t="inlineStr">
        <is>
          <t>center</t>
        </is>
      </c>
      <c r="R721" t="b">
        <v>1</v>
      </c>
      <c r="S721" t="inlineStr">
        <is>
          <t>G000005</t>
        </is>
      </c>
      <c r="T721" t="inlineStr">
        <is>
          <t>Vertical</t>
        </is>
      </c>
      <c r="U721" t="n">
        <v>57</v>
      </c>
      <c r="V721" t="b">
        <v>1</v>
      </c>
      <c r="W721" t="inlineStr">
        <is>
          <t>Loan analysis!F10:F66</t>
        </is>
      </c>
      <c r="X721">
        <f>IFERROR(PMT(INDEX(Data[],ROW()-ROW(Data[[#Headers],[12]]),1)/12,Data[[#Headers],[12]]*12,-LoanAmount,0,IF(PaymentsDue="End of Period",0,1)), "")</f>
        <v/>
      </c>
    </row>
    <row r="722">
      <c r="A722" t="inlineStr">
        <is>
          <t>Loan analysis</t>
        </is>
      </c>
      <c r="B722" t="inlineStr">
        <is>
          <t>G66</t>
        </is>
      </c>
      <c r="C722" t="n">
        <v>66</v>
      </c>
      <c r="D722" t="n">
        <v>7</v>
      </c>
      <c r="E722" t="inlineStr">
        <is>
          <t>Output</t>
        </is>
      </c>
      <c r="F722" t="inlineStr">
        <is>
          <t>'=IFERROR(PMT(INDEX(Data[],ROW()-ROW(Data[[#Headers],[15]]),1)/12,Data[[#Headers],[15]]*12,-LoanAmount,0,IF(PaymentsDue="End of Period",0,1)), "")</t>
        </is>
      </c>
      <c r="G722" t="n">
        <v>144.937573187589</v>
      </c>
      <c r="H722" t="inlineStr"/>
      <c r="I722" t="inlineStr">
        <is>
          <t>"$"#,##0.00_);[Red]\("$"#,##0.00\)</t>
        </is>
      </c>
      <c r="J722" t="b">
        <v>0</v>
      </c>
      <c r="K722" t="b">
        <v>0</v>
      </c>
      <c r="L722" t="n">
        <v>11</v>
      </c>
      <c r="M722" t="inlineStr">
        <is>
          <t>Values must be of type &lt;class 'str'&gt;</t>
        </is>
      </c>
      <c r="N722" t="inlineStr">
        <is>
          <t>00000000</t>
        </is>
      </c>
      <c r="O722" t="inlineStr">
        <is>
          <t>center</t>
        </is>
      </c>
      <c r="P722" t="inlineStr">
        <is>
          <t>center</t>
        </is>
      </c>
      <c r="R722" t="b">
        <v>1</v>
      </c>
      <c r="S722" t="inlineStr">
        <is>
          <t>G000006</t>
        </is>
      </c>
      <c r="T722" t="inlineStr">
        <is>
          <t>Vertical</t>
        </is>
      </c>
      <c r="U722" t="n">
        <v>57</v>
      </c>
      <c r="V722" t="b">
        <v>1</v>
      </c>
      <c r="W722" t="inlineStr">
        <is>
          <t>Loan analysis!G10:G66</t>
        </is>
      </c>
      <c r="X722">
        <f>IFERROR(PMT(INDEX(Data[],ROW()-ROW(Data[[#Headers],[15]]),1)/12,Data[[#Headers],[15]]*12,-LoanAmount,0,IF(PaymentsDue="End of Period",0,1)), "")</f>
        <v/>
      </c>
    </row>
    <row r="723">
      <c r="A723" t="inlineStr">
        <is>
          <t>Loan analysis</t>
        </is>
      </c>
      <c r="B723" t="inlineStr">
        <is>
          <t>H66</t>
        </is>
      </c>
      <c r="C723" t="n">
        <v>66</v>
      </c>
      <c r="D723" t="n">
        <v>8</v>
      </c>
      <c r="E723" t="inlineStr">
        <is>
          <t>Output</t>
        </is>
      </c>
      <c r="F723" t="inlineStr">
        <is>
          <t>'=IFERROR(PMT(INDEX(Data[],ROW()-ROW(Data[[#Headers],[20]]),1)/12,Data[[#Headers],[20]]*12,-LoanAmount,0,IF(PaymentsDue="End of Period",0,1)), "")</t>
        </is>
      </c>
      <c r="G723" t="n">
        <v>137.2949940816232</v>
      </c>
      <c r="H723" t="inlineStr"/>
      <c r="I723" t="inlineStr">
        <is>
          <t>"$"#,##0.00_);[Red]\("$"#,##0.00\)</t>
        </is>
      </c>
      <c r="J723" t="b">
        <v>0</v>
      </c>
      <c r="K723" t="b">
        <v>0</v>
      </c>
      <c r="L723" t="n">
        <v>11</v>
      </c>
      <c r="M723" t="inlineStr">
        <is>
          <t>Values must be of type &lt;class 'str'&gt;</t>
        </is>
      </c>
      <c r="N723" t="inlineStr">
        <is>
          <t>00000000</t>
        </is>
      </c>
      <c r="O723" t="inlineStr">
        <is>
          <t>center</t>
        </is>
      </c>
      <c r="P723" t="inlineStr">
        <is>
          <t>center</t>
        </is>
      </c>
      <c r="R723" t="b">
        <v>1</v>
      </c>
      <c r="S723" t="inlineStr">
        <is>
          <t>G000007</t>
        </is>
      </c>
      <c r="T723" t="inlineStr">
        <is>
          <t>Vertical</t>
        </is>
      </c>
      <c r="U723" t="n">
        <v>57</v>
      </c>
      <c r="V723" t="b">
        <v>1</v>
      </c>
      <c r="W723" t="inlineStr">
        <is>
          <t>Loan analysis!H10:H66</t>
        </is>
      </c>
      <c r="X723">
        <f>IFERROR(PMT(INDEX(Data[],ROW()-ROW(Data[[#Headers],[20]]),1)/12,Data[[#Headers],[20]]*12,-LoanAmount,0,IF(PaymentsDue="End of Period",0,1)), "")</f>
        <v/>
      </c>
    </row>
    <row r="724">
      <c r="A724" t="inlineStr">
        <is>
          <t>Loan analysis</t>
        </is>
      </c>
      <c r="B724" t="inlineStr">
        <is>
          <t>I66</t>
        </is>
      </c>
      <c r="C724" t="n">
        <v>66</v>
      </c>
      <c r="D724" t="n">
        <v>9</v>
      </c>
      <c r="E724" t="inlineStr">
        <is>
          <t>Output</t>
        </is>
      </c>
      <c r="F724" t="inlineStr">
        <is>
          <t>'=IFERROR(PMT(INDEX(Data[],ROW()-ROW(Data[[#Headers],[25]]),1)/12,Data[[#Headers],[25]]*12,-LoanAmount,0,IF(PaymentsDue="End of Period",0,1)), "")</t>
        </is>
      </c>
      <c r="G724" t="n">
        <v>134.1008769224666</v>
      </c>
      <c r="H724" t="inlineStr"/>
      <c r="I724" t="inlineStr">
        <is>
          <t>"$"#,##0.00_);[Red]\("$"#,##0.00\)</t>
        </is>
      </c>
      <c r="J724" t="b">
        <v>0</v>
      </c>
      <c r="K724" t="b">
        <v>0</v>
      </c>
      <c r="L724" t="n">
        <v>11</v>
      </c>
      <c r="M724" t="inlineStr">
        <is>
          <t>Values must be of type &lt;class 'str'&gt;</t>
        </is>
      </c>
      <c r="N724" t="inlineStr">
        <is>
          <t>00000000</t>
        </is>
      </c>
      <c r="O724" t="inlineStr">
        <is>
          <t>center</t>
        </is>
      </c>
      <c r="P724" t="inlineStr">
        <is>
          <t>center</t>
        </is>
      </c>
      <c r="R724" t="b">
        <v>1</v>
      </c>
      <c r="S724" t="inlineStr">
        <is>
          <t>G000008</t>
        </is>
      </c>
      <c r="T724" t="inlineStr">
        <is>
          <t>Vertical</t>
        </is>
      </c>
      <c r="U724" t="n">
        <v>57</v>
      </c>
      <c r="V724" t="b">
        <v>1</v>
      </c>
      <c r="W724" t="inlineStr">
        <is>
          <t>Loan analysis!I10:I66</t>
        </is>
      </c>
      <c r="X724">
        <f>IFERROR(PMT(INDEX(Data[],ROW()-ROW(Data[[#Headers],[25]]),1)/12,Data[[#Headers],[25]]*12,-LoanAmount,0,IF(PaymentsDue="End of Period",0,1)), "")</f>
        <v/>
      </c>
    </row>
    <row r="725">
      <c r="A725" t="inlineStr">
        <is>
          <t>Loan analysis</t>
        </is>
      </c>
      <c r="B725" t="inlineStr">
        <is>
          <t>J66</t>
        </is>
      </c>
      <c r="C725" t="n">
        <v>66</v>
      </c>
      <c r="D725" t="n">
        <v>10</v>
      </c>
      <c r="E725" t="inlineStr">
        <is>
          <t>Output</t>
        </is>
      </c>
      <c r="F725" t="inlineStr">
        <is>
          <t>'=IFERROR(PMT(INDEX(Data[],ROW()-ROW(Data[[#Headers],[30]]),1)/12,Data[[#Headers],[30]]*12,-LoanAmount,0,IF(PaymentsDue="End of Period",0,1)), "")</t>
        </is>
      </c>
      <c r="G725" t="n">
        <v>132.7062826101784</v>
      </c>
      <c r="H725" t="inlineStr"/>
      <c r="I725" t="inlineStr">
        <is>
          <t>"$"#,##0.00_);[Red]\("$"#,##0.00\)</t>
        </is>
      </c>
      <c r="J725" t="b">
        <v>0</v>
      </c>
      <c r="K725" t="b">
        <v>0</v>
      </c>
      <c r="L725" t="n">
        <v>11</v>
      </c>
      <c r="M725" t="inlineStr">
        <is>
          <t>Values must be of type &lt;class 'str'&gt;</t>
        </is>
      </c>
      <c r="N725" t="inlineStr">
        <is>
          <t>00000000</t>
        </is>
      </c>
      <c r="O725" t="inlineStr">
        <is>
          <t>center</t>
        </is>
      </c>
      <c r="P725" t="inlineStr">
        <is>
          <t>center</t>
        </is>
      </c>
      <c r="R725" t="b">
        <v>1</v>
      </c>
      <c r="S725" t="inlineStr">
        <is>
          <t>G000009</t>
        </is>
      </c>
      <c r="T725" t="inlineStr">
        <is>
          <t>Vertical</t>
        </is>
      </c>
      <c r="U725" t="n">
        <v>57</v>
      </c>
      <c r="V725" t="b">
        <v>1</v>
      </c>
      <c r="W725" t="inlineStr">
        <is>
          <t>Loan analysis!J10:J66</t>
        </is>
      </c>
      <c r="X725">
        <f>IFERROR(PMT(INDEX(Data[],ROW()-ROW(Data[[#Headers],[30]]),1)/12,Data[[#Headers],[30]]*12,-LoanAmount,0,IF(PaymentsDue="End of Period",0,1)), "")</f>
        <v/>
      </c>
    </row>
    <row r="726">
      <c r="A726" t="inlineStr">
        <is>
          <t>Loan analysis</t>
        </is>
      </c>
      <c r="B726" t="inlineStr">
        <is>
          <t>K66</t>
        </is>
      </c>
      <c r="C726" t="n">
        <v>66</v>
      </c>
      <c r="D726" t="n">
        <v>11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11</v>
      </c>
      <c r="M726" t="inlineStr">
        <is>
          <t>Values must be of type &lt;class 'str'&gt;</t>
        </is>
      </c>
      <c r="N726" t="inlineStr">
        <is>
          <t>Values must be of type &lt;class 'str'&gt;</t>
        </is>
      </c>
      <c r="O726" t="n">
        <v/>
      </c>
      <c r="P726" t="n">
        <v/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</row>
    <row r="727">
      <c r="A727" t="inlineStr">
        <is>
          <t>Loan analysis</t>
        </is>
      </c>
      <c r="B727" t="inlineStr">
        <is>
          <t>A67</t>
        </is>
      </c>
      <c r="C727" t="n">
        <v>67</v>
      </c>
      <c r="D727" t="n">
        <v>1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11</v>
      </c>
      <c r="M727" t="inlineStr">
        <is>
          <t>Values must be of type &lt;class 'str'&gt;</t>
        </is>
      </c>
      <c r="N727" t="inlineStr">
        <is>
          <t>Values must be of type &lt;class 'str'&gt;</t>
        </is>
      </c>
      <c r="O727" t="n">
        <v/>
      </c>
      <c r="P727" t="n">
        <v/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</row>
    <row r="728">
      <c r="A728" t="inlineStr">
        <is>
          <t>Loan analysis</t>
        </is>
      </c>
      <c r="B728" t="inlineStr">
        <is>
          <t>B67</t>
        </is>
      </c>
      <c r="C728" t="n">
        <v>67</v>
      </c>
      <c r="D728" t="n">
        <v>2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11</v>
      </c>
      <c r="M728" t="inlineStr">
        <is>
          <t>Values must be of type &lt;class 'str'&gt;</t>
        </is>
      </c>
      <c r="N728" t="inlineStr">
        <is>
          <t>Values must be of type &lt;class 'str'&gt;</t>
        </is>
      </c>
      <c r="O728" t="n">
        <v/>
      </c>
      <c r="P728" t="n">
        <v/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</row>
    <row r="729">
      <c r="A729" t="inlineStr">
        <is>
          <t>Loan analysis</t>
        </is>
      </c>
      <c r="B729" t="inlineStr">
        <is>
          <t>C67</t>
        </is>
      </c>
      <c r="C729" t="n">
        <v>67</v>
      </c>
      <c r="D729" t="n">
        <v>3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Values must be of type &lt;class 'str'&gt;</t>
        </is>
      </c>
      <c r="O729" t="n">
        <v/>
      </c>
      <c r="P729" t="n">
        <v/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Loan analysis</t>
        </is>
      </c>
      <c r="B730" t="inlineStr">
        <is>
          <t>D67</t>
        </is>
      </c>
      <c r="C730" t="n">
        <v>67</v>
      </c>
      <c r="D730" t="n">
        <v>4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Values must be of type &lt;class 'str'&gt;</t>
        </is>
      </c>
      <c r="O730" t="n">
        <v/>
      </c>
      <c r="P730" t="n">
        <v/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</row>
    <row r="731">
      <c r="A731" t="inlineStr">
        <is>
          <t>Loan analysis</t>
        </is>
      </c>
      <c r="B731" t="inlineStr">
        <is>
          <t>E67</t>
        </is>
      </c>
      <c r="C731" t="n">
        <v>67</v>
      </c>
      <c r="D731" t="n">
        <v>5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11</v>
      </c>
      <c r="M731" t="inlineStr">
        <is>
          <t>Values must be of type &lt;class 'str'&gt;</t>
        </is>
      </c>
      <c r="N731" t="inlineStr">
        <is>
          <t>Values must be of type &lt;class 'str'&gt;</t>
        </is>
      </c>
      <c r="O731" t="n">
        <v/>
      </c>
      <c r="P731" t="n">
        <v/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</row>
    <row r="732">
      <c r="A732" t="inlineStr">
        <is>
          <t>Loan analysis</t>
        </is>
      </c>
      <c r="B732" t="inlineStr">
        <is>
          <t>F67</t>
        </is>
      </c>
      <c r="C732" t="n">
        <v>67</v>
      </c>
      <c r="D732" t="n">
        <v>6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11</v>
      </c>
      <c r="M732" t="inlineStr">
        <is>
          <t>Values must be of type &lt;class 'str'&gt;</t>
        </is>
      </c>
      <c r="N732" t="inlineStr">
        <is>
          <t>Values must be of type &lt;class 'str'&gt;</t>
        </is>
      </c>
      <c r="O732" t="n">
        <v/>
      </c>
      <c r="P732" t="n">
        <v/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</row>
    <row r="733">
      <c r="A733" t="inlineStr">
        <is>
          <t>Loan analysis</t>
        </is>
      </c>
      <c r="B733" t="inlineStr">
        <is>
          <t>G67</t>
        </is>
      </c>
      <c r="C733" t="n">
        <v>67</v>
      </c>
      <c r="D733" t="n">
        <v>7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0</v>
      </c>
      <c r="K733" t="b">
        <v>0</v>
      </c>
      <c r="L733" t="n">
        <v>11</v>
      </c>
      <c r="M733" t="inlineStr">
        <is>
          <t>Values must be of type &lt;class 'str'&gt;</t>
        </is>
      </c>
      <c r="N733" t="inlineStr">
        <is>
          <t>Values must be of type &lt;class 'str'&gt;</t>
        </is>
      </c>
      <c r="O733" t="n">
        <v/>
      </c>
      <c r="P733" t="n">
        <v/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</row>
    <row r="734">
      <c r="A734" t="inlineStr">
        <is>
          <t>Loan analysis</t>
        </is>
      </c>
      <c r="B734" t="inlineStr">
        <is>
          <t>H67</t>
        </is>
      </c>
      <c r="C734" t="n">
        <v>67</v>
      </c>
      <c r="D734" t="n">
        <v>8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11</v>
      </c>
      <c r="M734" t="inlineStr">
        <is>
          <t>Values must be of type &lt;class 'str'&gt;</t>
        </is>
      </c>
      <c r="N734" t="inlineStr">
        <is>
          <t>Values must be of type &lt;class 'str'&gt;</t>
        </is>
      </c>
      <c r="O734" t="n">
        <v/>
      </c>
      <c r="P734" t="n">
        <v/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</row>
    <row r="735">
      <c r="A735" t="inlineStr">
        <is>
          <t>Loan analysis</t>
        </is>
      </c>
      <c r="B735" t="inlineStr">
        <is>
          <t>I67</t>
        </is>
      </c>
      <c r="C735" t="n">
        <v>67</v>
      </c>
      <c r="D735" t="n">
        <v>9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11</v>
      </c>
      <c r="M735" t="inlineStr">
        <is>
          <t>Values must be of type &lt;class 'str'&gt;</t>
        </is>
      </c>
      <c r="N735" t="inlineStr">
        <is>
          <t>Values must be of type &lt;class 'str'&gt;</t>
        </is>
      </c>
      <c r="O735" t="n">
        <v/>
      </c>
      <c r="P735" t="n">
        <v/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</row>
    <row r="736">
      <c r="A736" t="inlineStr">
        <is>
          <t>Loan analysis</t>
        </is>
      </c>
      <c r="B736" t="inlineStr">
        <is>
          <t>J67</t>
        </is>
      </c>
      <c r="C736" t="n">
        <v>67</v>
      </c>
      <c r="D736" t="n">
        <v>10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11</v>
      </c>
      <c r="M736" t="inlineStr">
        <is>
          <t>Values must be of type &lt;class 'str'&gt;</t>
        </is>
      </c>
      <c r="N736" t="inlineStr">
        <is>
          <t>Values must be of type &lt;class 'str'&gt;</t>
        </is>
      </c>
      <c r="O736" t="n">
        <v/>
      </c>
      <c r="P736" t="n">
        <v/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</row>
    <row r="737">
      <c r="A737" t="inlineStr">
        <is>
          <t>Loan analysis</t>
        </is>
      </c>
      <c r="B737" t="inlineStr">
        <is>
          <t>K67</t>
        </is>
      </c>
      <c r="C737" t="n">
        <v>67</v>
      </c>
      <c r="D737" t="n">
        <v>11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11</v>
      </c>
      <c r="M737" t="inlineStr">
        <is>
          <t>Values must be of type &lt;class 'str'&gt;</t>
        </is>
      </c>
      <c r="N737" t="inlineStr">
        <is>
          <t>Values must be of type &lt;class 'str'&gt;</t>
        </is>
      </c>
      <c r="O737" t="n">
        <v/>
      </c>
      <c r="P737" t="n">
        <v/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/home/nitish/Documents/github/Excel-To-Python/Codex/ExcelFiles/TF7b509ab0-9b81-4f16-8e2f-b8fd20cd9fd56229c2f9_wac-bb7d2591b1d5.xlsx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/home/nitish/Documents/github/Excel-To-Python/Codex/ExcelFiles/TF7b509ab0-9b81-4f16-8e2f-b8fd20cd9fd56229c2f9_wac-bb7d2591b1d5.xlsx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["Loan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"2026-03-05T04:05:14.220736+00:00"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Loan analysis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Loan analysis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Loan analysis</t>
        </is>
      </c>
      <c r="C9" t="inlineStr">
        <is>
          <t>TabColor</t>
        </is>
      </c>
      <c r="D9" t="inlineStr">
        <is>
          <t>Values must be of type &lt;class 'str'&gt;</t>
        </is>
      </c>
    </row>
    <row r="10">
      <c r="A10" t="inlineStr">
        <is>
          <t>SheetLayout</t>
        </is>
      </c>
      <c r="B10" t="inlineStr">
        <is>
          <t>Loan analysis</t>
        </is>
      </c>
      <c r="C10" t="inlineStr">
        <is>
          <t>MergedRanges</t>
        </is>
      </c>
      <c r="D10" t="inlineStr">
        <is>
          <t>["L2:L16", "A1:K1", "B8:J8", "B2:J2"]</t>
        </is>
      </c>
    </row>
    <row r="11">
      <c r="A11" t="inlineStr">
        <is>
          <t>SheetLayout</t>
        </is>
      </c>
      <c r="B11" t="inlineStr">
        <is>
          <t>Loan analysis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Loan analysis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Loan analysis</t>
        </is>
      </c>
      <c r="C2" t="inlineStr">
        <is>
          <t>Vertical</t>
        </is>
      </c>
      <c r="D2" t="n">
        <v>57</v>
      </c>
      <c r="E2" t="inlineStr">
        <is>
          <t>Loan analysis!B10:B66</t>
        </is>
      </c>
      <c r="F2" t="inlineStr">
        <is>
          <t>'=IFERROR(MAX((ROW()-ROW(Data[[#Headers],[RATE]]))*0.0025+0.0175,0.0025), "")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Loan analysis</t>
        </is>
      </c>
      <c r="C3" t="inlineStr">
        <is>
          <t>Vertical</t>
        </is>
      </c>
      <c r="D3" t="n">
        <v>57</v>
      </c>
      <c r="E3" t="inlineStr">
        <is>
          <t>Loan analysis!C10:C66</t>
        </is>
      </c>
      <c r="F3" t="inlineStr">
        <is>
          <t>'=IFERROR(PMT(INDEX(Data[],ROW()-ROW(Data[[#Headers],[3]]),1)/12,Data[[#Headers],[3]]*12,-LoanAmount,0,IF(PaymentsDue="End of Period",0,1)), "")</t>
        </is>
      </c>
      <c r="G3" t="inlineStr">
        <is>
          <t>Vectorizable</t>
        </is>
      </c>
    </row>
    <row r="4">
      <c r="A4" t="inlineStr">
        <is>
          <t>G000003</t>
        </is>
      </c>
      <c r="B4" t="inlineStr">
        <is>
          <t>Loan analysis</t>
        </is>
      </c>
      <c r="C4" t="inlineStr">
        <is>
          <t>Vertical</t>
        </is>
      </c>
      <c r="D4" t="n">
        <v>57</v>
      </c>
      <c r="E4" t="inlineStr">
        <is>
          <t>Loan analysis!D10:D66</t>
        </is>
      </c>
      <c r="F4" t="inlineStr">
        <is>
          <t>'=IFERROR(PMT(INDEX(Data[],ROW()-ROW(Data[[#Headers],[5]]),1)/12,Data[[#Headers],[5]]*12,-LoanAmount,0,IF(PaymentsDue="End of Period",0,1)), "")</t>
        </is>
      </c>
      <c r="G4" t="inlineStr">
        <is>
          <t>Vectorizable</t>
        </is>
      </c>
    </row>
    <row r="5">
      <c r="A5" t="inlineStr">
        <is>
          <t>G000004</t>
        </is>
      </c>
      <c r="B5" t="inlineStr">
        <is>
          <t>Loan analysis</t>
        </is>
      </c>
      <c r="C5" t="inlineStr">
        <is>
          <t>Vertical</t>
        </is>
      </c>
      <c r="D5" t="n">
        <v>57</v>
      </c>
      <c r="E5" t="inlineStr">
        <is>
          <t>Loan analysis!E10:E66</t>
        </is>
      </c>
      <c r="F5" t="inlineStr">
        <is>
          <t>'=IFERROR(PMT(INDEX(Data[],ROW()-ROW(Data[[#Headers],[10]]),1)/12,Data[[#Headers],[10]]*12,-LoanAmount,0,IF(PaymentsDue="End of Period",0,1)), "")</t>
        </is>
      </c>
      <c r="G5" t="inlineStr">
        <is>
          <t>Vectorizable</t>
        </is>
      </c>
    </row>
    <row r="6">
      <c r="A6" t="inlineStr">
        <is>
          <t>G000005</t>
        </is>
      </c>
      <c r="B6" t="inlineStr">
        <is>
          <t>Loan analysis</t>
        </is>
      </c>
      <c r="C6" t="inlineStr">
        <is>
          <t>Vertical</t>
        </is>
      </c>
      <c r="D6" t="n">
        <v>57</v>
      </c>
      <c r="E6" t="inlineStr">
        <is>
          <t>Loan analysis!F10:F66</t>
        </is>
      </c>
      <c r="F6" t="inlineStr">
        <is>
          <t>'=IFERROR(PMT(INDEX(Data[],ROW()-ROW(Data[[#Headers],[12]]),1)/12,Data[[#Headers],[12]]*12,-LoanAmount,0,IF(PaymentsDue="End of Period",0,1)), "")</t>
        </is>
      </c>
      <c r="G6" t="inlineStr">
        <is>
          <t>Vectorizable</t>
        </is>
      </c>
    </row>
    <row r="7">
      <c r="A7" t="inlineStr">
        <is>
          <t>G000006</t>
        </is>
      </c>
      <c r="B7" t="inlineStr">
        <is>
          <t>Loan analysis</t>
        </is>
      </c>
      <c r="C7" t="inlineStr">
        <is>
          <t>Vertical</t>
        </is>
      </c>
      <c r="D7" t="n">
        <v>57</v>
      </c>
      <c r="E7" t="inlineStr">
        <is>
          <t>Loan analysis!G10:G66</t>
        </is>
      </c>
      <c r="F7" t="inlineStr">
        <is>
          <t>'=IFERROR(PMT(INDEX(Data[],ROW()-ROW(Data[[#Headers],[15]]),1)/12,Data[[#Headers],[15]]*12,-LoanAmount,0,IF(PaymentsDue="End of Period",0,1)), "")</t>
        </is>
      </c>
      <c r="G7" t="inlineStr">
        <is>
          <t>Vectorizable</t>
        </is>
      </c>
    </row>
    <row r="8">
      <c r="A8" t="inlineStr">
        <is>
          <t>G000007</t>
        </is>
      </c>
      <c r="B8" t="inlineStr">
        <is>
          <t>Loan analysis</t>
        </is>
      </c>
      <c r="C8" t="inlineStr">
        <is>
          <t>Vertical</t>
        </is>
      </c>
      <c r="D8" t="n">
        <v>57</v>
      </c>
      <c r="E8" t="inlineStr">
        <is>
          <t>Loan analysis!H10:H66</t>
        </is>
      </c>
      <c r="F8" t="inlineStr">
        <is>
          <t>'=IFERROR(PMT(INDEX(Data[],ROW()-ROW(Data[[#Headers],[20]]),1)/12,Data[[#Headers],[20]]*12,-LoanAmount,0,IF(PaymentsDue="End of Period",0,1)), "")</t>
        </is>
      </c>
      <c r="G8" t="inlineStr">
        <is>
          <t>Vectorizable</t>
        </is>
      </c>
    </row>
    <row r="9">
      <c r="A9" t="inlineStr">
        <is>
          <t>G000008</t>
        </is>
      </c>
      <c r="B9" t="inlineStr">
        <is>
          <t>Loan analysis</t>
        </is>
      </c>
      <c r="C9" t="inlineStr">
        <is>
          <t>Vertical</t>
        </is>
      </c>
      <c r="D9" t="n">
        <v>57</v>
      </c>
      <c r="E9" t="inlineStr">
        <is>
          <t>Loan analysis!I10:I66</t>
        </is>
      </c>
      <c r="F9" t="inlineStr">
        <is>
          <t>'=IFERROR(PMT(INDEX(Data[],ROW()-ROW(Data[[#Headers],[25]]),1)/12,Data[[#Headers],[25]]*12,-LoanAmount,0,IF(PaymentsDue="End of Period",0,1)), "")</t>
        </is>
      </c>
      <c r="G9" t="inlineStr">
        <is>
          <t>Vectorizable</t>
        </is>
      </c>
    </row>
    <row r="10">
      <c r="A10" t="inlineStr">
        <is>
          <t>G000009</t>
        </is>
      </c>
      <c r="B10" t="inlineStr">
        <is>
          <t>Loan analysis</t>
        </is>
      </c>
      <c r="C10" t="inlineStr">
        <is>
          <t>Vertical</t>
        </is>
      </c>
      <c r="D10" t="n">
        <v>57</v>
      </c>
      <c r="E10" t="inlineStr">
        <is>
          <t>Loan analysis!J10:J66</t>
        </is>
      </c>
      <c r="F10" t="inlineStr">
        <is>
          <t>'=IFERROR(PMT(INDEX(Data[],ROW()-ROW(Data[[#Headers],[30]]),1)/12,Data[[#Headers],[30]]*12,-LoanAmount,0,IF(PaymentsDue="End of Period",0,1)), "")</t>
        </is>
      </c>
      <c r="G10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2026-03-05T04:05:14Z</dcterms:created>
  <dcterms:modified xsi:type="dcterms:W3CDTF">2026-03-05T04:05:15Z</dcterms:modified>
</cp:coreProperties>
</file>